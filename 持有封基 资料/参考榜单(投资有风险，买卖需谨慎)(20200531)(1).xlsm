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trlProps/ctrlProp6.xml" ContentType="application/vnd.ms-excel.controlproperties+xml"/>
  <Override PartName="/xl/ctrlProps/ctrlProp5.xml" ContentType="application/vnd.ms-excel.controlproperties+xml"/>
  <Override PartName="/xl/sharedStrings.xml" ContentType="application/vnd.openxmlformats-officedocument.spreadsheetml.sharedString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7" rupBuild="4507" codeName="{B08E4597-CF32-672E-EC9B-63DB714DCB7F}"/>
  <workbookPr codeName="ThisWorkbook"/>
  <bookViews>
    <workbookView xWindow="-108" yWindow="-108" windowWidth="23256" windowHeight="12576" tabRatio="954" activeTab="4"/>
  </bookViews>
  <sheets>
    <sheet name="说明" sheetId="410" r:id="rId1"/>
    <sheet name="每日提醒" sheetId="413" r:id="rId2"/>
    <sheet name="新手必读" sheetId="414" r:id="rId3"/>
    <sheet name="债券" sheetId="393" r:id="rId4"/>
    <sheet name="轮动可转债" sheetId="408" r:id="rId5"/>
    <sheet name="死守可转债" sheetId="416" r:id="rId6"/>
    <sheet name="场外基金" sheetId="412" r:id="rId7"/>
    <sheet name="场内基金" sheetId="411" r:id="rId8"/>
    <sheet name="晨星奖" sheetId="415" r:id="rId9"/>
    <sheet name="股票" sheetId="403" r:id="rId10"/>
    <sheet name="轮动业绩" sheetId="392" r:id="rId11"/>
    <sheet name="2" sheetId="2" r:id="rId12"/>
    <sheet name="1" sheetId="1" r:id="rId13"/>
    <sheet name="定投招商白酒" sheetId="399" r:id="rId14"/>
  </sheets>
  <definedNames>
    <definedName name="_xlnm._FilterDatabase" localSheetId="12" hidden="1">'1'!$A$1:$Q$227</definedName>
    <definedName name="_xlnm._FilterDatabase" localSheetId="11" hidden="1">'2'!$A$1:$K$55</definedName>
    <definedName name="_xlnm._FilterDatabase" localSheetId="7" hidden="1">场内基金!$A$1:$I$29</definedName>
    <definedName name="_xlnm._FilterDatabase" localSheetId="6" hidden="1">场外基金!$A$1:$N$11</definedName>
    <definedName name="_xlnm._FilterDatabase" localSheetId="9" hidden="1">股票!$A$1:$G$10</definedName>
    <definedName name="_xlnm._FilterDatabase" localSheetId="4" hidden="1">轮动可转债!$K$1:$P$85</definedName>
    <definedName name="_xlnm._FilterDatabase" localSheetId="5" hidden="1">死守可转债!$A$1:$T$132</definedName>
  </definedNames>
  <calcPr calcId="125725"/>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55" i="2"/>
  <c r="I55"/>
  <c r="J55"/>
  <c r="K55"/>
  <c r="L55"/>
  <c r="H56"/>
  <c r="I56"/>
  <c r="J56"/>
  <c r="K56"/>
  <c r="L56"/>
  <c r="H57"/>
  <c r="I57"/>
  <c r="J57"/>
  <c r="K57"/>
  <c r="L57"/>
  <c r="H58"/>
  <c r="I58"/>
  <c r="J58"/>
  <c r="K58"/>
  <c r="L58"/>
  <c r="H59"/>
  <c r="I59"/>
  <c r="J59"/>
  <c r="K59"/>
  <c r="L59"/>
  <c r="H60"/>
  <c r="I60"/>
  <c r="J60"/>
  <c r="K60"/>
  <c r="L60"/>
  <c r="H61"/>
  <c r="I61"/>
  <c r="J61"/>
  <c r="K61"/>
  <c r="L61"/>
  <c r="H62"/>
  <c r="I62"/>
  <c r="J62"/>
  <c r="K62"/>
  <c r="L62"/>
  <c r="H63"/>
  <c r="I63"/>
  <c r="J63"/>
  <c r="K63"/>
  <c r="L63"/>
  <c r="H64"/>
  <c r="I64"/>
  <c r="J64"/>
  <c r="K64"/>
  <c r="L64"/>
  <c r="H65"/>
  <c r="I65"/>
  <c r="J65"/>
  <c r="K65"/>
  <c r="L65"/>
  <c r="H66"/>
  <c r="I66"/>
  <c r="J66"/>
  <c r="K66"/>
  <c r="L66"/>
  <c r="H67"/>
  <c r="I67"/>
  <c r="J67"/>
  <c r="K67"/>
  <c r="L67"/>
  <c r="H68"/>
  <c r="I68"/>
  <c r="J68"/>
  <c r="K68"/>
  <c r="L68"/>
  <c r="H69"/>
  <c r="I69"/>
  <c r="J69"/>
  <c r="K69"/>
  <c r="L69"/>
  <c r="H70"/>
  <c r="I70"/>
  <c r="J70"/>
  <c r="K70"/>
  <c r="L70"/>
  <c r="I60" i="408" l="1"/>
  <c r="I61"/>
  <c r="I62"/>
  <c r="I63"/>
  <c r="I64"/>
  <c r="I65"/>
  <c r="I66"/>
  <c r="I67"/>
  <c r="I68"/>
  <c r="I69"/>
  <c r="I70"/>
  <c r="I71"/>
  <c r="I72"/>
  <c r="I73"/>
  <c r="I74"/>
  <c r="I75"/>
  <c r="I76"/>
  <c r="I77"/>
  <c r="I78"/>
  <c r="I79"/>
  <c r="I80"/>
  <c r="I81"/>
  <c r="I82"/>
  <c r="I83"/>
  <c r="I84"/>
  <c r="I85"/>
  <c r="I86"/>
  <c r="I87"/>
  <c r="I88"/>
  <c r="I89"/>
  <c r="R3" i="416"/>
  <c r="R4"/>
  <c r="R5"/>
  <c r="R6"/>
  <c r="R7"/>
  <c r="R8"/>
  <c r="R9"/>
  <c r="R10"/>
  <c r="R11"/>
  <c r="R12"/>
  <c r="R13"/>
  <c r="R14"/>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C22"/>
  <c r="G22"/>
  <c r="N133"/>
  <c r="J300" i="1"/>
  <c r="K300"/>
  <c r="L300"/>
  <c r="M300"/>
  <c r="J301"/>
  <c r="K301"/>
  <c r="L301"/>
  <c r="M301"/>
  <c r="J302"/>
  <c r="K302"/>
  <c r="L302"/>
  <c r="M302"/>
  <c r="J303"/>
  <c r="K303"/>
  <c r="L303"/>
  <c r="M303"/>
  <c r="J304"/>
  <c r="K304"/>
  <c r="L304"/>
  <c r="M304"/>
  <c r="J305"/>
  <c r="K305"/>
  <c r="L305"/>
  <c r="M305"/>
  <c r="J306"/>
  <c r="K306"/>
  <c r="L306"/>
  <c r="M306"/>
  <c r="J307"/>
  <c r="K307"/>
  <c r="L307"/>
  <c r="M307"/>
  <c r="J308"/>
  <c r="K308"/>
  <c r="L308"/>
  <c r="M308"/>
  <c r="J309"/>
  <c r="K309"/>
  <c r="L309"/>
  <c r="M309"/>
  <c r="J310"/>
  <c r="K310"/>
  <c r="L310"/>
  <c r="M310"/>
  <c r="J311"/>
  <c r="K311"/>
  <c r="L311"/>
  <c r="M311"/>
  <c r="J312"/>
  <c r="K312"/>
  <c r="L312"/>
  <c r="M312"/>
  <c r="J313"/>
  <c r="K313"/>
  <c r="L313"/>
  <c r="M313"/>
  <c r="J314"/>
  <c r="K314"/>
  <c r="L314"/>
  <c r="M314"/>
  <c r="J315"/>
  <c r="K315"/>
  <c r="L315"/>
  <c r="M315"/>
  <c r="J316"/>
  <c r="K316"/>
  <c r="L316"/>
  <c r="M316"/>
  <c r="J317"/>
  <c r="K317"/>
  <c r="L317"/>
  <c r="M317"/>
  <c r="J318"/>
  <c r="K318"/>
  <c r="L318"/>
  <c r="M318"/>
  <c r="J319"/>
  <c r="K319"/>
  <c r="L319"/>
  <c r="M319"/>
  <c r="J320"/>
  <c r="K320"/>
  <c r="L320"/>
  <c r="M320"/>
  <c r="R2" i="416"/>
  <c r="J283" i="1"/>
  <c r="K283"/>
  <c r="L283"/>
  <c r="M283"/>
  <c r="J284"/>
  <c r="K284"/>
  <c r="L284"/>
  <c r="M284"/>
  <c r="J285"/>
  <c r="K285"/>
  <c r="L285"/>
  <c r="M285"/>
  <c r="J286"/>
  <c r="K286"/>
  <c r="L286"/>
  <c r="M286"/>
  <c r="J287"/>
  <c r="K287"/>
  <c r="L287"/>
  <c r="M287"/>
  <c r="J288"/>
  <c r="K288"/>
  <c r="L288"/>
  <c r="M288"/>
  <c r="J289"/>
  <c r="K289"/>
  <c r="L289"/>
  <c r="M289"/>
  <c r="J290"/>
  <c r="K290"/>
  <c r="L290"/>
  <c r="M290"/>
  <c r="J291"/>
  <c r="K291"/>
  <c r="L291"/>
  <c r="M291"/>
  <c r="J292"/>
  <c r="K292"/>
  <c r="L292"/>
  <c r="M292"/>
  <c r="J293"/>
  <c r="K293"/>
  <c r="L293"/>
  <c r="M293"/>
  <c r="J294"/>
  <c r="K294"/>
  <c r="L294"/>
  <c r="M294"/>
  <c r="J295"/>
  <c r="K295"/>
  <c r="L295"/>
  <c r="M295"/>
  <c r="J296"/>
  <c r="K296"/>
  <c r="L296"/>
  <c r="M296"/>
  <c r="J297"/>
  <c r="K297"/>
  <c r="L297"/>
  <c r="M297"/>
  <c r="J298"/>
  <c r="K298"/>
  <c r="L298"/>
  <c r="M298"/>
  <c r="J299"/>
  <c r="K299"/>
  <c r="L299"/>
  <c r="M299"/>
  <c r="J3" i="416"/>
  <c r="J4"/>
  <c r="J5"/>
  <c r="J6"/>
  <c r="J7"/>
  <c r="J8"/>
  <c r="J9"/>
  <c r="J10"/>
  <c r="J11"/>
  <c r="J12"/>
  <c r="J13"/>
  <c r="J14"/>
  <c r="J15"/>
  <c r="J16"/>
  <c r="J17"/>
  <c r="J18"/>
  <c r="J19"/>
  <c r="J20"/>
  <c r="J21"/>
  <c r="J2"/>
  <c r="M282" i="1" l="1"/>
  <c r="L282"/>
  <c r="K282"/>
  <c r="J282"/>
  <c r="K281" l="1"/>
  <c r="L281"/>
  <c r="M281"/>
  <c r="J281"/>
  <c r="H9" i="412" l="1"/>
  <c r="K280" i="1" l="1"/>
  <c r="L280"/>
  <c r="M280"/>
  <c r="J280"/>
  <c r="G19" i="393" l="1"/>
  <c r="J276" i="1" l="1"/>
  <c r="K276"/>
  <c r="L276"/>
  <c r="M276"/>
  <c r="J277"/>
  <c r="K277"/>
  <c r="L277"/>
  <c r="M277"/>
  <c r="J278"/>
  <c r="K278"/>
  <c r="D85" i="408" s="1"/>
  <c r="H85" s="1"/>
  <c r="L278" i="1"/>
  <c r="E85" i="408" s="1"/>
  <c r="M278" i="1"/>
  <c r="J279"/>
  <c r="K279"/>
  <c r="D88" i="408" s="1"/>
  <c r="H88" s="1"/>
  <c r="L279" i="1"/>
  <c r="E88" i="408" s="1"/>
  <c r="M279" i="1"/>
  <c r="P72" i="408"/>
  <c r="P73"/>
  <c r="P74"/>
  <c r="P75"/>
  <c r="P76"/>
  <c r="P77"/>
  <c r="P78"/>
  <c r="P79"/>
  <c r="P80"/>
  <c r="P81"/>
  <c r="P82"/>
  <c r="J274" i="1"/>
  <c r="J275"/>
  <c r="K273" l="1"/>
  <c r="L273"/>
  <c r="M273"/>
  <c r="K274"/>
  <c r="L274"/>
  <c r="M274"/>
  <c r="K275"/>
  <c r="L275"/>
  <c r="M275"/>
  <c r="J273"/>
  <c r="K272" l="1"/>
  <c r="D65" i="408" s="1"/>
  <c r="H65" s="1"/>
  <c r="L272" i="1"/>
  <c r="E65" i="408" s="1"/>
  <c r="M272" i="1"/>
  <c r="J272"/>
  <c r="P83" i="408"/>
  <c r="P84"/>
  <c r="P25" l="1"/>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J271" i="1"/>
  <c r="J264" l="1"/>
  <c r="K264"/>
  <c r="L264"/>
  <c r="M264"/>
  <c r="J265"/>
  <c r="K265"/>
  <c r="L265"/>
  <c r="M265"/>
  <c r="J266"/>
  <c r="K266"/>
  <c r="L266"/>
  <c r="M266"/>
  <c r="J267"/>
  <c r="K267"/>
  <c r="L267"/>
  <c r="M267"/>
  <c r="J268"/>
  <c r="K268"/>
  <c r="D83" i="408" s="1"/>
  <c r="H83" s="1"/>
  <c r="L268" i="1"/>
  <c r="E83" i="408" s="1"/>
  <c r="M268" i="1"/>
  <c r="J269"/>
  <c r="K269"/>
  <c r="D74" i="408" s="1"/>
  <c r="H74" s="1"/>
  <c r="L269" i="1"/>
  <c r="E74" i="408" s="1"/>
  <c r="M269" i="1"/>
  <c r="J270"/>
  <c r="K270"/>
  <c r="D84" i="408" s="1"/>
  <c r="H84" s="1"/>
  <c r="L270" i="1"/>
  <c r="E84" i="408" s="1"/>
  <c r="M270" i="1"/>
  <c r="P22" i="408"/>
  <c r="P23"/>
  <c r="P24"/>
  <c r="K262" i="1" l="1"/>
  <c r="D77" i="408" s="1"/>
  <c r="H77" s="1"/>
  <c r="L262" i="1"/>
  <c r="E77" i="408" s="1"/>
  <c r="M262" i="1"/>
  <c r="K263"/>
  <c r="L263"/>
  <c r="M263"/>
  <c r="K271"/>
  <c r="L271"/>
  <c r="M271"/>
  <c r="J263"/>
  <c r="J262"/>
  <c r="J258" l="1"/>
  <c r="K258"/>
  <c r="L258"/>
  <c r="M258"/>
  <c r="J259"/>
  <c r="K259"/>
  <c r="L259"/>
  <c r="M259"/>
  <c r="J260"/>
  <c r="K260"/>
  <c r="L260"/>
  <c r="M260"/>
  <c r="J261"/>
  <c r="K261"/>
  <c r="L261"/>
  <c r="M261"/>
  <c r="J257" l="1"/>
  <c r="C14" i="411" l="1"/>
  <c r="I51" i="408" l="1"/>
  <c r="I52"/>
  <c r="I53"/>
  <c r="I54"/>
  <c r="I55"/>
  <c r="I56"/>
  <c r="I57"/>
  <c r="I58"/>
  <c r="I59"/>
  <c r="K256" i="1" l="1"/>
  <c r="L256"/>
  <c r="M256"/>
  <c r="K257"/>
  <c r="L257"/>
  <c r="M257"/>
  <c r="J256"/>
  <c r="K255" l="1"/>
  <c r="L255"/>
  <c r="M255"/>
  <c r="J255"/>
  <c r="J41" i="411" l="1"/>
  <c r="K41"/>
  <c r="J250" i="1"/>
  <c r="K250"/>
  <c r="L250"/>
  <c r="M250"/>
  <c r="J251"/>
  <c r="K251"/>
  <c r="L251"/>
  <c r="M251"/>
  <c r="J252"/>
  <c r="K252"/>
  <c r="L252"/>
  <c r="M252"/>
  <c r="J253"/>
  <c r="K253"/>
  <c r="L253"/>
  <c r="M253"/>
  <c r="J254"/>
  <c r="K254"/>
  <c r="L254"/>
  <c r="M254"/>
  <c r="J249" l="1"/>
  <c r="J248" l="1"/>
  <c r="J247"/>
  <c r="J246" l="1"/>
  <c r="K245" l="1"/>
  <c r="L245"/>
  <c r="M245"/>
  <c r="K246"/>
  <c r="D67" i="408" s="1"/>
  <c r="H67" s="1"/>
  <c r="L246" i="1"/>
  <c r="E67" i="408" s="1"/>
  <c r="M246" i="1"/>
  <c r="K247"/>
  <c r="L247"/>
  <c r="M247"/>
  <c r="K248"/>
  <c r="D66" i="408" s="1"/>
  <c r="H66" s="1"/>
  <c r="L248" i="1"/>
  <c r="E66" i="408" s="1"/>
  <c r="M248" i="1"/>
  <c r="K249"/>
  <c r="L249"/>
  <c r="M249"/>
  <c r="J245"/>
  <c r="P2" i="408" l="1"/>
  <c r="P4"/>
  <c r="P5"/>
  <c r="P6"/>
  <c r="P7"/>
  <c r="P8"/>
  <c r="P9"/>
  <c r="P10"/>
  <c r="P11"/>
  <c r="P12"/>
  <c r="P13"/>
  <c r="P14"/>
  <c r="P15"/>
  <c r="P16"/>
  <c r="P17"/>
  <c r="P18"/>
  <c r="P19"/>
  <c r="P20"/>
  <c r="P21"/>
  <c r="P3"/>
  <c r="K244" i="1" l="1"/>
  <c r="L244"/>
  <c r="M244"/>
  <c r="J244"/>
  <c r="I47" i="408" l="1"/>
  <c r="I48"/>
  <c r="I49"/>
  <c r="I50"/>
  <c r="I46"/>
  <c r="I45"/>
  <c r="I44"/>
  <c r="I43"/>
  <c r="I42"/>
  <c r="I41"/>
  <c r="I40"/>
  <c r="I39"/>
  <c r="I38"/>
  <c r="I37"/>
  <c r="I36"/>
  <c r="I35"/>
  <c r="I34"/>
  <c r="I33"/>
  <c r="I32"/>
  <c r="I31"/>
  <c r="I30"/>
  <c r="I29"/>
  <c r="I28"/>
  <c r="I27"/>
  <c r="I3"/>
  <c r="I4"/>
  <c r="I5"/>
  <c r="I6"/>
  <c r="I7"/>
  <c r="I8"/>
  <c r="I9"/>
  <c r="I10"/>
  <c r="I11"/>
  <c r="I12"/>
  <c r="I13"/>
  <c r="I14"/>
  <c r="I15"/>
  <c r="I16"/>
  <c r="I17"/>
  <c r="I18"/>
  <c r="I19"/>
  <c r="I20"/>
  <c r="I21"/>
  <c r="I2"/>
  <c r="K243" i="1" l="1"/>
  <c r="L243"/>
  <c r="M243"/>
  <c r="J243"/>
  <c r="J242" l="1"/>
  <c r="K241" l="1"/>
  <c r="L241"/>
  <c r="M241"/>
  <c r="K242"/>
  <c r="L242"/>
  <c r="M242"/>
  <c r="K238"/>
  <c r="J241"/>
  <c r="J237" l="1"/>
  <c r="K237"/>
  <c r="L237"/>
  <c r="M237"/>
  <c r="J238"/>
  <c r="L238"/>
  <c r="M238"/>
  <c r="J239"/>
  <c r="K239"/>
  <c r="L239"/>
  <c r="M239"/>
  <c r="J240"/>
  <c r="K240"/>
  <c r="L240"/>
  <c r="M240"/>
  <c r="J236" l="1"/>
  <c r="J235"/>
  <c r="J234" l="1"/>
  <c r="K233" l="1"/>
  <c r="L233"/>
  <c r="M233"/>
  <c r="K234"/>
  <c r="D73" i="408" s="1"/>
  <c r="H73" s="1"/>
  <c r="L234" i="1"/>
  <c r="E73" i="408" s="1"/>
  <c r="M234" i="1"/>
  <c r="K235"/>
  <c r="L235"/>
  <c r="M235"/>
  <c r="K236"/>
  <c r="L236"/>
  <c r="M236"/>
  <c r="J233"/>
  <c r="H3" i="393" l="1"/>
  <c r="H2"/>
  <c r="J231" i="1"/>
  <c r="K231"/>
  <c r="L231"/>
  <c r="M231"/>
  <c r="J232"/>
  <c r="K232"/>
  <c r="L232"/>
  <c r="M232"/>
  <c r="L2" i="393"/>
  <c r="L3"/>
  <c r="F9" i="403" l="1"/>
  <c r="L5" i="393" l="1"/>
  <c r="H5"/>
  <c r="K230" i="1"/>
  <c r="L230"/>
  <c r="M230"/>
  <c r="J230"/>
  <c r="G7" i="403" l="1"/>
  <c r="I7" s="1"/>
  <c r="L9"/>
  <c r="F7"/>
  <c r="L7" s="1"/>
  <c r="K229" i="1"/>
  <c r="L229"/>
  <c r="M229"/>
  <c r="J229"/>
  <c r="F26" i="408"/>
  <c r="K228" i="1" l="1"/>
  <c r="L228"/>
  <c r="M228"/>
  <c r="J228"/>
  <c r="L12" i="393"/>
  <c r="H12"/>
  <c r="K227" i="1" l="1"/>
  <c r="L227"/>
  <c r="M227"/>
  <c r="J227"/>
  <c r="R84" i="413" l="1"/>
  <c r="F5" i="403" l="1"/>
  <c r="J208" i="1" l="1"/>
  <c r="K208"/>
  <c r="L208"/>
  <c r="M208"/>
  <c r="J209"/>
  <c r="K209"/>
  <c r="D75" i="408" s="1"/>
  <c r="H75" s="1"/>
  <c r="L209" i="1"/>
  <c r="E75" i="408" s="1"/>
  <c r="M209" i="1"/>
  <c r="J210"/>
  <c r="K210"/>
  <c r="L210"/>
  <c r="M210"/>
  <c r="J211"/>
  <c r="K211"/>
  <c r="D61" i="408" s="1"/>
  <c r="H61" s="1"/>
  <c r="L211" i="1"/>
  <c r="E61" i="408" s="1"/>
  <c r="M211" i="1"/>
  <c r="J212"/>
  <c r="K212"/>
  <c r="L212"/>
  <c r="M212"/>
  <c r="J213"/>
  <c r="K213"/>
  <c r="D64" i="408" s="1"/>
  <c r="H64" s="1"/>
  <c r="L213" i="1"/>
  <c r="E64" i="408" s="1"/>
  <c r="M213" i="1"/>
  <c r="J214"/>
  <c r="K214"/>
  <c r="L214"/>
  <c r="M214"/>
  <c r="J215"/>
  <c r="K215"/>
  <c r="L215"/>
  <c r="M215"/>
  <c r="J216"/>
  <c r="K216"/>
  <c r="L216"/>
  <c r="M216"/>
  <c r="J217"/>
  <c r="K217"/>
  <c r="L217"/>
  <c r="M217"/>
  <c r="J218"/>
  <c r="K218"/>
  <c r="L218"/>
  <c r="M218"/>
  <c r="J219"/>
  <c r="K219"/>
  <c r="D80" i="408" s="1"/>
  <c r="H80" s="1"/>
  <c r="L219" i="1"/>
  <c r="E80" i="408" s="1"/>
  <c r="M219" i="1"/>
  <c r="J220"/>
  <c r="K220"/>
  <c r="D87" i="408" s="1"/>
  <c r="H87" s="1"/>
  <c r="L220" i="1"/>
  <c r="E87" i="408" s="1"/>
  <c r="M220" i="1"/>
  <c r="J221"/>
  <c r="K221"/>
  <c r="L221"/>
  <c r="M221"/>
  <c r="J222"/>
  <c r="K222"/>
  <c r="L222"/>
  <c r="M222"/>
  <c r="J223"/>
  <c r="K223"/>
  <c r="L223"/>
  <c r="M223"/>
  <c r="J224"/>
  <c r="K224"/>
  <c r="L224"/>
  <c r="M224"/>
  <c r="J225"/>
  <c r="K225"/>
  <c r="L225"/>
  <c r="M225"/>
  <c r="J226"/>
  <c r="K226"/>
  <c r="L226"/>
  <c r="M226"/>
  <c r="J185" l="1"/>
  <c r="K185"/>
  <c r="D72" i="408" s="1"/>
  <c r="H72" s="1"/>
  <c r="L185" i="1"/>
  <c r="E72" i="408" s="1"/>
  <c r="M185" i="1"/>
  <c r="J186"/>
  <c r="K186"/>
  <c r="L186"/>
  <c r="M186"/>
  <c r="J187"/>
  <c r="K187"/>
  <c r="D63" i="408" s="1"/>
  <c r="H63" s="1"/>
  <c r="L187" i="1"/>
  <c r="E63" i="408" s="1"/>
  <c r="M187" i="1"/>
  <c r="J188"/>
  <c r="K188"/>
  <c r="L188"/>
  <c r="M188"/>
  <c r="J189"/>
  <c r="K189"/>
  <c r="D69" i="408" s="1"/>
  <c r="H69" s="1"/>
  <c r="L189" i="1"/>
  <c r="E69" i="408" s="1"/>
  <c r="M189" i="1"/>
  <c r="J190"/>
  <c r="K190"/>
  <c r="D71" i="408" s="1"/>
  <c r="H71" s="1"/>
  <c r="L190" i="1"/>
  <c r="E71" i="408" s="1"/>
  <c r="M190" i="1"/>
  <c r="J191"/>
  <c r="K191"/>
  <c r="D86" i="408" s="1"/>
  <c r="H86" s="1"/>
  <c r="L191" i="1"/>
  <c r="E86" i="408" s="1"/>
  <c r="M191" i="1"/>
  <c r="J192"/>
  <c r="K192"/>
  <c r="D81" i="408" s="1"/>
  <c r="H81" s="1"/>
  <c r="L192" i="1"/>
  <c r="E81" i="408" s="1"/>
  <c r="M192" i="1"/>
  <c r="J193"/>
  <c r="K193"/>
  <c r="D70" i="408" s="1"/>
  <c r="H70" s="1"/>
  <c r="L193" i="1"/>
  <c r="E70" i="408" s="1"/>
  <c r="M193" i="1"/>
  <c r="J194"/>
  <c r="K194"/>
  <c r="D78" i="408" s="1"/>
  <c r="H78" s="1"/>
  <c r="L194" i="1"/>
  <c r="E78" i="408" s="1"/>
  <c r="M194" i="1"/>
  <c r="J195"/>
  <c r="K195"/>
  <c r="L195"/>
  <c r="M195"/>
  <c r="J196"/>
  <c r="K196"/>
  <c r="L196"/>
  <c r="M196"/>
  <c r="J197"/>
  <c r="K197"/>
  <c r="L197"/>
  <c r="M197"/>
  <c r="J198"/>
  <c r="K198"/>
  <c r="L198"/>
  <c r="M198"/>
  <c r="J199"/>
  <c r="K199"/>
  <c r="L199"/>
  <c r="M199"/>
  <c r="J200"/>
  <c r="K200"/>
  <c r="L200"/>
  <c r="M200"/>
  <c r="J201"/>
  <c r="K201"/>
  <c r="L201"/>
  <c r="M201"/>
  <c r="J202"/>
  <c r="K202"/>
  <c r="L202"/>
  <c r="M202"/>
  <c r="J203"/>
  <c r="K203"/>
  <c r="L203"/>
  <c r="M203"/>
  <c r="J204"/>
  <c r="K204"/>
  <c r="L204"/>
  <c r="M204"/>
  <c r="J205"/>
  <c r="K205"/>
  <c r="L205"/>
  <c r="M205"/>
  <c r="J206"/>
  <c r="K206"/>
  <c r="L206"/>
  <c r="M206"/>
  <c r="J207"/>
  <c r="K207"/>
  <c r="L207"/>
  <c r="M207"/>
  <c r="K184" l="1"/>
  <c r="L184"/>
  <c r="M184"/>
  <c r="J184"/>
  <c r="I54" i="2"/>
  <c r="J54"/>
  <c r="K54"/>
  <c r="L54"/>
  <c r="H54"/>
  <c r="J32" i="411"/>
  <c r="F3" i="403" l="1"/>
  <c r="L3" s="1"/>
  <c r="L5"/>
  <c r="B49" i="399" l="1"/>
  <c r="F13" i="411" l="1"/>
  <c r="E13"/>
  <c r="E11" i="412"/>
  <c r="J160" i="1" l="1"/>
  <c r="K160"/>
  <c r="L160"/>
  <c r="M160"/>
  <c r="J161"/>
  <c r="K161"/>
  <c r="L161"/>
  <c r="M161"/>
  <c r="J162"/>
  <c r="K162"/>
  <c r="L162"/>
  <c r="M162"/>
  <c r="J163"/>
  <c r="K163"/>
  <c r="L163"/>
  <c r="M163"/>
  <c r="J164"/>
  <c r="K164"/>
  <c r="L164"/>
  <c r="M164"/>
  <c r="J165"/>
  <c r="K165"/>
  <c r="L165"/>
  <c r="M165"/>
  <c r="J166"/>
  <c r="K166"/>
  <c r="L166"/>
  <c r="M166"/>
  <c r="J167"/>
  <c r="K167"/>
  <c r="L167"/>
  <c r="M167"/>
  <c r="J168"/>
  <c r="K168"/>
  <c r="L168"/>
  <c r="M168"/>
  <c r="J169"/>
  <c r="K169"/>
  <c r="L169"/>
  <c r="M169"/>
  <c r="J170"/>
  <c r="K170"/>
  <c r="L170"/>
  <c r="M170"/>
  <c r="J171"/>
  <c r="K171"/>
  <c r="L171"/>
  <c r="M171"/>
  <c r="J172"/>
  <c r="K172"/>
  <c r="L172"/>
  <c r="M172"/>
  <c r="J173"/>
  <c r="K173"/>
  <c r="L173"/>
  <c r="M173"/>
  <c r="J174"/>
  <c r="K174"/>
  <c r="L174"/>
  <c r="M174"/>
  <c r="J175"/>
  <c r="K175"/>
  <c r="L175"/>
  <c r="M175"/>
  <c r="J176"/>
  <c r="K176"/>
  <c r="L176"/>
  <c r="M176"/>
  <c r="J177"/>
  <c r="K177"/>
  <c r="L177"/>
  <c r="M177"/>
  <c r="J178"/>
  <c r="K178"/>
  <c r="L178"/>
  <c r="M178"/>
  <c r="J179"/>
  <c r="K179"/>
  <c r="L179"/>
  <c r="M179"/>
  <c r="J180"/>
  <c r="K180"/>
  <c r="L180"/>
  <c r="M180"/>
  <c r="J181"/>
  <c r="K181"/>
  <c r="L181"/>
  <c r="M181"/>
  <c r="J182"/>
  <c r="K182"/>
  <c r="L182"/>
  <c r="M182"/>
  <c r="J183"/>
  <c r="K183"/>
  <c r="L183"/>
  <c r="M183"/>
  <c r="H11" i="2"/>
  <c r="I11"/>
  <c r="J11"/>
  <c r="K11"/>
  <c r="L11"/>
  <c r="H17"/>
  <c r="I17"/>
  <c r="J17"/>
  <c r="K17"/>
  <c r="L17"/>
  <c r="H19"/>
  <c r="I19"/>
  <c r="J19"/>
  <c r="K19"/>
  <c r="L19"/>
  <c r="H22"/>
  <c r="I22"/>
  <c r="J22"/>
  <c r="K22"/>
  <c r="L22"/>
  <c r="H23"/>
  <c r="I23"/>
  <c r="J23"/>
  <c r="K23"/>
  <c r="L23"/>
  <c r="H24"/>
  <c r="I24"/>
  <c r="J24"/>
  <c r="K24"/>
  <c r="L24"/>
  <c r="H36"/>
  <c r="I36"/>
  <c r="J36"/>
  <c r="K36"/>
  <c r="L36"/>
  <c r="H37"/>
  <c r="I37"/>
  <c r="J37"/>
  <c r="K37"/>
  <c r="L37"/>
  <c r="H38"/>
  <c r="I38"/>
  <c r="J38"/>
  <c r="K38"/>
  <c r="L38"/>
  <c r="H39"/>
  <c r="I39"/>
  <c r="J39"/>
  <c r="K39"/>
  <c r="L39"/>
  <c r="H40"/>
  <c r="I40"/>
  <c r="J40"/>
  <c r="K40"/>
  <c r="L40"/>
  <c r="H41"/>
  <c r="I41"/>
  <c r="J41"/>
  <c r="K41"/>
  <c r="L41"/>
  <c r="H42"/>
  <c r="I42"/>
  <c r="J42"/>
  <c r="K42"/>
  <c r="L42"/>
  <c r="H43"/>
  <c r="I43"/>
  <c r="J43"/>
  <c r="K43"/>
  <c r="L43"/>
  <c r="H44"/>
  <c r="I44"/>
  <c r="J44"/>
  <c r="K44"/>
  <c r="L44"/>
  <c r="H45"/>
  <c r="I45"/>
  <c r="J45"/>
  <c r="K45"/>
  <c r="L45"/>
  <c r="H46"/>
  <c r="I46"/>
  <c r="J46"/>
  <c r="K46"/>
  <c r="L46"/>
  <c r="H47"/>
  <c r="I47"/>
  <c r="J47"/>
  <c r="K47"/>
  <c r="L47"/>
  <c r="H48"/>
  <c r="I48"/>
  <c r="J48"/>
  <c r="K48"/>
  <c r="L48"/>
  <c r="H50"/>
  <c r="I50"/>
  <c r="J50"/>
  <c r="K50"/>
  <c r="L50"/>
  <c r="H51"/>
  <c r="I51"/>
  <c r="J51"/>
  <c r="K51"/>
  <c r="L51"/>
  <c r="H3"/>
  <c r="I3"/>
  <c r="J3"/>
  <c r="K3"/>
  <c r="L3"/>
  <c r="H5"/>
  <c r="I5"/>
  <c r="J5"/>
  <c r="K5"/>
  <c r="L5"/>
  <c r="H6"/>
  <c r="I6"/>
  <c r="J6"/>
  <c r="K6"/>
  <c r="L6"/>
  <c r="H7"/>
  <c r="I7"/>
  <c r="J7"/>
  <c r="K7"/>
  <c r="L7"/>
  <c r="H8"/>
  <c r="I8"/>
  <c r="J8"/>
  <c r="K8"/>
  <c r="L8"/>
  <c r="H9"/>
  <c r="I9"/>
  <c r="J9"/>
  <c r="K9"/>
  <c r="L9"/>
  <c r="H10"/>
  <c r="I10"/>
  <c r="J10"/>
  <c r="K10"/>
  <c r="L10"/>
  <c r="H12"/>
  <c r="I12"/>
  <c r="J12"/>
  <c r="K12"/>
  <c r="L12"/>
  <c r="H13"/>
  <c r="I13"/>
  <c r="J13"/>
  <c r="K13"/>
  <c r="L13"/>
  <c r="H15"/>
  <c r="I15"/>
  <c r="J15"/>
  <c r="K15"/>
  <c r="L15"/>
  <c r="H18"/>
  <c r="I18"/>
  <c r="J18"/>
  <c r="K18"/>
  <c r="L18"/>
  <c r="H20"/>
  <c r="I20"/>
  <c r="J20"/>
  <c r="K20"/>
  <c r="L20"/>
  <c r="H25"/>
  <c r="I25"/>
  <c r="J25"/>
  <c r="K25"/>
  <c r="L25"/>
  <c r="H26"/>
  <c r="I26"/>
  <c r="J26"/>
  <c r="K26"/>
  <c r="L26"/>
  <c r="H27"/>
  <c r="I27"/>
  <c r="J27"/>
  <c r="K27"/>
  <c r="L27"/>
  <c r="H28"/>
  <c r="I28"/>
  <c r="J28"/>
  <c r="K28"/>
  <c r="L28"/>
  <c r="H29"/>
  <c r="I29"/>
  <c r="J29"/>
  <c r="K29"/>
  <c r="L29"/>
  <c r="H30"/>
  <c r="I30"/>
  <c r="J30"/>
  <c r="K30"/>
  <c r="L30"/>
  <c r="H32"/>
  <c r="I32"/>
  <c r="J32"/>
  <c r="K32"/>
  <c r="L32"/>
  <c r="H34"/>
  <c r="I34"/>
  <c r="J34"/>
  <c r="K34"/>
  <c r="L34"/>
  <c r="Q22" i="1" l="1"/>
  <c r="Q23"/>
  <c r="Q24"/>
  <c r="Q25"/>
  <c r="Q26"/>
  <c r="Q27"/>
  <c r="Q28"/>
  <c r="Q29"/>
  <c r="Q30"/>
  <c r="Q31"/>
  <c r="Q32"/>
  <c r="Q33"/>
  <c r="Q34"/>
  <c r="Q35"/>
  <c r="Q36"/>
  <c r="Q37"/>
  <c r="Q38"/>
  <c r="Q39"/>
  <c r="Q40"/>
  <c r="Q41"/>
  <c r="Q42"/>
  <c r="Q43"/>
  <c r="Q44"/>
  <c r="Q45"/>
  <c r="Q46"/>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Q147"/>
  <c r="Q148"/>
  <c r="Q149"/>
  <c r="Q150"/>
  <c r="Q151"/>
  <c r="Q152"/>
  <c r="Q153"/>
  <c r="Q154"/>
  <c r="Q155"/>
  <c r="Q156"/>
  <c r="Q157"/>
  <c r="Q158"/>
  <c r="Q159"/>
  <c r="Q5"/>
  <c r="Q6"/>
  <c r="Q7"/>
  <c r="Q8"/>
  <c r="Q9"/>
  <c r="Q10"/>
  <c r="Q11"/>
  <c r="Q12"/>
  <c r="Q13"/>
  <c r="Q14"/>
  <c r="Q15"/>
  <c r="Q16"/>
  <c r="Q17"/>
  <c r="Q18"/>
  <c r="Q19"/>
  <c r="Q20"/>
  <c r="Q21"/>
  <c r="Q4"/>
  <c r="J18"/>
  <c r="K18"/>
  <c r="L18"/>
  <c r="M18"/>
  <c r="J15"/>
  <c r="K15"/>
  <c r="D68" i="408" s="1"/>
  <c r="H68" s="1"/>
  <c r="L15" i="1"/>
  <c r="E68" i="408" s="1"/>
  <c r="M15" i="1"/>
  <c r="J16"/>
  <c r="K16"/>
  <c r="L16"/>
  <c r="M16"/>
  <c r="J17"/>
  <c r="K17"/>
  <c r="L17"/>
  <c r="M17"/>
  <c r="J127"/>
  <c r="K127"/>
  <c r="D62" i="408" s="1"/>
  <c r="H62" s="1"/>
  <c r="L127" i="1"/>
  <c r="E62" i="408" s="1"/>
  <c r="M127" i="1"/>
  <c r="J128"/>
  <c r="K128"/>
  <c r="L128"/>
  <c r="M128"/>
  <c r="J129"/>
  <c r="K129"/>
  <c r="L129"/>
  <c r="M129"/>
  <c r="J130"/>
  <c r="K130"/>
  <c r="L130"/>
  <c r="M130"/>
  <c r="J131"/>
  <c r="K131"/>
  <c r="L131"/>
  <c r="M131"/>
  <c r="J132"/>
  <c r="K132"/>
  <c r="L132"/>
  <c r="M132"/>
  <c r="J133"/>
  <c r="K133"/>
  <c r="L133"/>
  <c r="M133"/>
  <c r="J134"/>
  <c r="K134"/>
  <c r="L134"/>
  <c r="M134"/>
  <c r="J136"/>
  <c r="K136"/>
  <c r="D89" i="408" s="1"/>
  <c r="H89" s="1"/>
  <c r="L136" i="1"/>
  <c r="E89" i="408" s="1"/>
  <c r="M136" i="1"/>
  <c r="J137"/>
  <c r="K137"/>
  <c r="D79" i="408" s="1"/>
  <c r="H79" s="1"/>
  <c r="L137" i="1"/>
  <c r="E79" i="408" s="1"/>
  <c r="M137" i="1"/>
  <c r="J138"/>
  <c r="K138"/>
  <c r="L138"/>
  <c r="M138"/>
  <c r="J139"/>
  <c r="K139"/>
  <c r="L139"/>
  <c r="M139"/>
  <c r="J140"/>
  <c r="K140"/>
  <c r="L140"/>
  <c r="M140"/>
  <c r="J141"/>
  <c r="K141"/>
  <c r="L141"/>
  <c r="M141"/>
  <c r="J142"/>
  <c r="K142"/>
  <c r="L142"/>
  <c r="M142"/>
  <c r="J143"/>
  <c r="K143"/>
  <c r="L143"/>
  <c r="M143"/>
  <c r="J144"/>
  <c r="K144"/>
  <c r="L144"/>
  <c r="M144"/>
  <c r="J145"/>
  <c r="K145"/>
  <c r="D60" i="408" s="1"/>
  <c r="H60" s="1"/>
  <c r="L145" i="1"/>
  <c r="E60" i="408" s="1"/>
  <c r="M145" i="1"/>
  <c r="J147"/>
  <c r="K147"/>
  <c r="L147"/>
  <c r="M147"/>
  <c r="J148"/>
  <c r="K148"/>
  <c r="L148"/>
  <c r="M148"/>
  <c r="J149"/>
  <c r="K149"/>
  <c r="L149"/>
  <c r="M149"/>
  <c r="J150"/>
  <c r="K150"/>
  <c r="L150"/>
  <c r="M150"/>
  <c r="J152"/>
  <c r="K152"/>
  <c r="L152"/>
  <c r="M152"/>
  <c r="J153"/>
  <c r="K153"/>
  <c r="L153"/>
  <c r="M153"/>
  <c r="K13" l="1"/>
  <c r="L13"/>
  <c r="M13"/>
  <c r="J6"/>
  <c r="J24"/>
  <c r="J7"/>
  <c r="J9"/>
  <c r="J13"/>
  <c r="L6" i="393"/>
  <c r="L7"/>
  <c r="L8"/>
  <c r="L4"/>
  <c r="H7"/>
  <c r="H8"/>
  <c r="H4"/>
  <c r="H6"/>
  <c r="K26" i="1"/>
  <c r="L26"/>
  <c r="M26"/>
  <c r="K126"/>
  <c r="L126"/>
  <c r="M126"/>
  <c r="K25"/>
  <c r="L25"/>
  <c r="M25"/>
  <c r="K6"/>
  <c r="L6"/>
  <c r="M6"/>
  <c r="K24"/>
  <c r="L24"/>
  <c r="M24"/>
  <c r="K7"/>
  <c r="L7"/>
  <c r="M7"/>
  <c r="K9"/>
  <c r="D82" i="408" s="1"/>
  <c r="H82" s="1"/>
  <c r="L9" i="1"/>
  <c r="E82" i="408" s="1"/>
  <c r="M9" i="1"/>
  <c r="J25"/>
  <c r="J126"/>
  <c r="J26"/>
  <c r="K19"/>
  <c r="L19"/>
  <c r="M19"/>
  <c r="J19"/>
  <c r="E10" i="403"/>
  <c r="G9"/>
  <c r="I9" s="1"/>
  <c r="G8"/>
  <c r="I8" s="1"/>
  <c r="F8"/>
  <c r="L8" s="1"/>
  <c r="G6"/>
  <c r="I6" s="1"/>
  <c r="F6"/>
  <c r="L6" s="1"/>
  <c r="K50" i="1" l="1"/>
  <c r="L50"/>
  <c r="M50"/>
  <c r="J50"/>
  <c r="J8" l="1"/>
  <c r="K8"/>
  <c r="L8"/>
  <c r="M8"/>
  <c r="J10"/>
  <c r="K10"/>
  <c r="D76" i="408" s="1"/>
  <c r="H76" s="1"/>
  <c r="L10" i="1"/>
  <c r="E76" i="408" s="1"/>
  <c r="M10" i="1"/>
  <c r="J11"/>
  <c r="K11"/>
  <c r="L11"/>
  <c r="M11"/>
  <c r="J12"/>
  <c r="K12"/>
  <c r="L12"/>
  <c r="M12"/>
  <c r="J14"/>
  <c r="K14"/>
  <c r="L14"/>
  <c r="M14"/>
  <c r="J135"/>
  <c r="K135"/>
  <c r="L135"/>
  <c r="M135"/>
  <c r="J146"/>
  <c r="K146"/>
  <c r="L146"/>
  <c r="M146"/>
  <c r="J151"/>
  <c r="K151"/>
  <c r="L151"/>
  <c r="M151"/>
  <c r="G5" i="403" l="1"/>
  <c r="I5" s="1"/>
  <c r="K68" i="1"/>
  <c r="L68"/>
  <c r="M68"/>
  <c r="J68"/>
  <c r="G3" i="403"/>
  <c r="I3" s="1"/>
  <c r="Q3" i="1" l="1"/>
  <c r="Q2"/>
  <c r="L4" i="2"/>
  <c r="L53"/>
  <c r="L52"/>
  <c r="L49"/>
  <c r="L21"/>
  <c r="L31"/>
  <c r="L35"/>
  <c r="L16"/>
  <c r="L14"/>
  <c r="L33"/>
  <c r="L2"/>
  <c r="G2" i="403" l="1"/>
  <c r="I2" l="1"/>
  <c r="A49" i="399"/>
  <c r="K20" i="1" l="1"/>
  <c r="L20"/>
  <c r="M20"/>
  <c r="J20"/>
  <c r="I2" i="399" l="1"/>
  <c r="J2"/>
  <c r="K2" s="1"/>
  <c r="W13" l="1"/>
  <c r="L2"/>
  <c r="N2"/>
  <c r="O2" s="1"/>
  <c r="M2"/>
  <c r="S2" l="1"/>
  <c r="H2"/>
  <c r="P2"/>
  <c r="Q2" s="1"/>
  <c r="G2" s="1"/>
  <c r="G4" i="403"/>
  <c r="I4" l="1"/>
  <c r="G10" s="1"/>
  <c r="G13"/>
  <c r="E3" i="399"/>
  <c r="I3" s="1"/>
  <c r="J101" i="392" l="1"/>
  <c r="J105"/>
  <c r="J100"/>
  <c r="J104"/>
  <c r="J106"/>
  <c r="J103"/>
  <c r="J102"/>
  <c r="R2"/>
  <c r="J3" i="399"/>
  <c r="F3"/>
  <c r="D3"/>
  <c r="C100" i="392" l="1"/>
  <c r="C101" s="1"/>
  <c r="C102" s="1"/>
  <c r="C103" s="1"/>
  <c r="C104" s="1"/>
  <c r="C105" s="1"/>
  <c r="C106" s="1"/>
  <c r="G3" i="399"/>
  <c r="E4" l="1"/>
  <c r="K3"/>
  <c r="S3" s="1"/>
  <c r="R4" i="392"/>
  <c r="R3"/>
  <c r="R5"/>
  <c r="I4" i="399" l="1"/>
  <c r="F4"/>
  <c r="L3"/>
  <c r="M3"/>
  <c r="N3"/>
  <c r="O3" s="1"/>
  <c r="J4" l="1"/>
  <c r="D4"/>
  <c r="G4" s="1"/>
  <c r="P3"/>
  <c r="Q3" s="1"/>
  <c r="R3" s="1"/>
  <c r="H3" s="1"/>
  <c r="H16" i="2"/>
  <c r="I16"/>
  <c r="J16"/>
  <c r="K16"/>
  <c r="H14"/>
  <c r="I14"/>
  <c r="J14"/>
  <c r="K14"/>
  <c r="H33"/>
  <c r="I33"/>
  <c r="J33"/>
  <c r="K33"/>
  <c r="E5" i="399" l="1"/>
  <c r="K4"/>
  <c r="K154" i="1"/>
  <c r="L154"/>
  <c r="M154"/>
  <c r="J154"/>
  <c r="N4" i="399" l="1"/>
  <c r="O4" s="1"/>
  <c r="S4"/>
  <c r="L4"/>
  <c r="M4"/>
  <c r="F5"/>
  <c r="I5"/>
  <c r="K21" i="1"/>
  <c r="L21"/>
  <c r="M21"/>
  <c r="J21"/>
  <c r="J5" i="399" l="1"/>
  <c r="P4"/>
  <c r="Q4" s="1"/>
  <c r="R4" s="1"/>
  <c r="H4" s="1"/>
  <c r="D5"/>
  <c r="G5" s="1"/>
  <c r="J73" i="1"/>
  <c r="K73"/>
  <c r="L73"/>
  <c r="M73"/>
  <c r="J74"/>
  <c r="K74"/>
  <c r="L74"/>
  <c r="M74"/>
  <c r="J76"/>
  <c r="K76"/>
  <c r="L76"/>
  <c r="M76"/>
  <c r="J77"/>
  <c r="K77"/>
  <c r="L77"/>
  <c r="M77"/>
  <c r="J78"/>
  <c r="K78"/>
  <c r="L78"/>
  <c r="M78"/>
  <c r="J79"/>
  <c r="K79"/>
  <c r="L79"/>
  <c r="M79"/>
  <c r="J80"/>
  <c r="K80"/>
  <c r="L80"/>
  <c r="M80"/>
  <c r="J81"/>
  <c r="K81"/>
  <c r="L81"/>
  <c r="M81"/>
  <c r="J82"/>
  <c r="K82"/>
  <c r="L82"/>
  <c r="M82"/>
  <c r="J83"/>
  <c r="K83"/>
  <c r="L83"/>
  <c r="M83"/>
  <c r="J84"/>
  <c r="K84"/>
  <c r="L84"/>
  <c r="M84"/>
  <c r="J85"/>
  <c r="K85"/>
  <c r="L85"/>
  <c r="M85"/>
  <c r="J86"/>
  <c r="K86"/>
  <c r="L86"/>
  <c r="M86"/>
  <c r="J87"/>
  <c r="K87"/>
  <c r="L87"/>
  <c r="M87"/>
  <c r="J88"/>
  <c r="K88"/>
  <c r="L88"/>
  <c r="M88"/>
  <c r="J89"/>
  <c r="K89"/>
  <c r="L89"/>
  <c r="M89"/>
  <c r="J90"/>
  <c r="K90"/>
  <c r="L90"/>
  <c r="M90"/>
  <c r="J91"/>
  <c r="K91"/>
  <c r="L91"/>
  <c r="M91"/>
  <c r="J69"/>
  <c r="K69"/>
  <c r="L69"/>
  <c r="M69"/>
  <c r="J71"/>
  <c r="K71"/>
  <c r="L71"/>
  <c r="M71"/>
  <c r="J60"/>
  <c r="K60"/>
  <c r="L60"/>
  <c r="M60"/>
  <c r="J61"/>
  <c r="K61"/>
  <c r="L61"/>
  <c r="M61"/>
  <c r="J62"/>
  <c r="K62"/>
  <c r="L62"/>
  <c r="M62"/>
  <c r="J63"/>
  <c r="K63"/>
  <c r="L63"/>
  <c r="M63"/>
  <c r="J64"/>
  <c r="K64"/>
  <c r="L64"/>
  <c r="M64"/>
  <c r="J66"/>
  <c r="K66"/>
  <c r="L66"/>
  <c r="M66"/>
  <c r="J67"/>
  <c r="K67"/>
  <c r="L67"/>
  <c r="M67"/>
  <c r="J55"/>
  <c r="K55"/>
  <c r="L55"/>
  <c r="M55"/>
  <c r="J56"/>
  <c r="K56"/>
  <c r="L56"/>
  <c r="M56"/>
  <c r="J57"/>
  <c r="K57"/>
  <c r="L57"/>
  <c r="M57"/>
  <c r="J51"/>
  <c r="K51"/>
  <c r="L51"/>
  <c r="M51"/>
  <c r="J52"/>
  <c r="K52"/>
  <c r="L52"/>
  <c r="M52"/>
  <c r="J53"/>
  <c r="K53"/>
  <c r="L53"/>
  <c r="M53"/>
  <c r="J45"/>
  <c r="K45"/>
  <c r="L45"/>
  <c r="M45"/>
  <c r="J40"/>
  <c r="K40"/>
  <c r="L40"/>
  <c r="M40"/>
  <c r="J41"/>
  <c r="K41"/>
  <c r="L41"/>
  <c r="M41"/>
  <c r="J42"/>
  <c r="K42"/>
  <c r="L42"/>
  <c r="M42"/>
  <c r="J35"/>
  <c r="K35"/>
  <c r="L35"/>
  <c r="M35"/>
  <c r="J36"/>
  <c r="K36"/>
  <c r="L36"/>
  <c r="M36"/>
  <c r="J32"/>
  <c r="K32"/>
  <c r="L32"/>
  <c r="M32"/>
  <c r="J33"/>
  <c r="K33"/>
  <c r="L33"/>
  <c r="M33"/>
  <c r="J28"/>
  <c r="K28"/>
  <c r="L28"/>
  <c r="M28"/>
  <c r="J30"/>
  <c r="K30"/>
  <c r="L30"/>
  <c r="M30"/>
  <c r="E6" i="399" l="1"/>
  <c r="K5"/>
  <c r="F4" i="403"/>
  <c r="L4" s="1"/>
  <c r="F2"/>
  <c r="L2" s="1"/>
  <c r="J112" i="1"/>
  <c r="K112"/>
  <c r="L112"/>
  <c r="M112"/>
  <c r="J44"/>
  <c r="K44"/>
  <c r="L44"/>
  <c r="M44"/>
  <c r="J75"/>
  <c r="K75"/>
  <c r="L75"/>
  <c r="M75"/>
  <c r="N5" i="399" l="1"/>
  <c r="O5" s="1"/>
  <c r="S5"/>
  <c r="L5"/>
  <c r="M5"/>
  <c r="F6"/>
  <c r="I6"/>
  <c r="L10" i="403"/>
  <c r="J6" i="399" l="1"/>
  <c r="P5"/>
  <c r="Q5" s="1"/>
  <c r="R5" s="1"/>
  <c r="H5" s="1"/>
  <c r="D6"/>
  <c r="G6" s="1"/>
  <c r="J107" i="1"/>
  <c r="K107"/>
  <c r="L107"/>
  <c r="M107"/>
  <c r="J99"/>
  <c r="K99"/>
  <c r="L99"/>
  <c r="M99"/>
  <c r="J100"/>
  <c r="K100"/>
  <c r="L100"/>
  <c r="M100"/>
  <c r="J103"/>
  <c r="K103"/>
  <c r="L103"/>
  <c r="M103"/>
  <c r="J108"/>
  <c r="K108"/>
  <c r="L108"/>
  <c r="M108"/>
  <c r="J114"/>
  <c r="K114"/>
  <c r="L114"/>
  <c r="M114"/>
  <c r="J156"/>
  <c r="K156"/>
  <c r="L156"/>
  <c r="M156"/>
  <c r="J157"/>
  <c r="K157"/>
  <c r="L157"/>
  <c r="M157"/>
  <c r="J158"/>
  <c r="K158"/>
  <c r="L158"/>
  <c r="M158"/>
  <c r="J29"/>
  <c r="K29"/>
  <c r="L29"/>
  <c r="M29"/>
  <c r="J37"/>
  <c r="K37"/>
  <c r="L37"/>
  <c r="M37"/>
  <c r="J38"/>
  <c r="K38"/>
  <c r="L38"/>
  <c r="M38"/>
  <c r="J46"/>
  <c r="K46"/>
  <c r="L46"/>
  <c r="M46"/>
  <c r="J47"/>
  <c r="K47"/>
  <c r="L47"/>
  <c r="M47"/>
  <c r="J65"/>
  <c r="K65"/>
  <c r="L65"/>
  <c r="M65"/>
  <c r="J70"/>
  <c r="K70"/>
  <c r="L70"/>
  <c r="M70"/>
  <c r="E7" i="399" l="1"/>
  <c r="K6"/>
  <c r="J123" i="1"/>
  <c r="K123"/>
  <c r="L123"/>
  <c r="M123"/>
  <c r="J43"/>
  <c r="K43"/>
  <c r="L43"/>
  <c r="M43"/>
  <c r="N6" i="399" l="1"/>
  <c r="O6" s="1"/>
  <c r="S6"/>
  <c r="L6"/>
  <c r="M6"/>
  <c r="F7"/>
  <c r="I7"/>
  <c r="J34" i="1"/>
  <c r="J7" i="399" l="1"/>
  <c r="P6"/>
  <c r="Q6" s="1"/>
  <c r="R6" s="1"/>
  <c r="H6" s="1"/>
  <c r="D7"/>
  <c r="G7" s="1"/>
  <c r="J125" i="1"/>
  <c r="E8" i="399" l="1"/>
  <c r="K7"/>
  <c r="J22" i="1"/>
  <c r="N7" i="399" l="1"/>
  <c r="O7" s="1"/>
  <c r="S7"/>
  <c r="L7"/>
  <c r="M7"/>
  <c r="F8"/>
  <c r="I8"/>
  <c r="K94" i="1"/>
  <c r="L94"/>
  <c r="M94"/>
  <c r="K22"/>
  <c r="L22"/>
  <c r="M22"/>
  <c r="K125"/>
  <c r="L125"/>
  <c r="M125"/>
  <c r="K34"/>
  <c r="L34"/>
  <c r="M34"/>
  <c r="J94"/>
  <c r="K58"/>
  <c r="L58"/>
  <c r="M58"/>
  <c r="J58"/>
  <c r="J8" i="399" l="1"/>
  <c r="P7"/>
  <c r="Q7" s="1"/>
  <c r="R7" s="1"/>
  <c r="H7" s="1"/>
  <c r="D8"/>
  <c r="G8" s="1"/>
  <c r="K72" i="1"/>
  <c r="L72"/>
  <c r="M72"/>
  <c r="J72"/>
  <c r="K8" i="399" l="1"/>
  <c r="E9"/>
  <c r="K122" i="1"/>
  <c r="L122"/>
  <c r="M122"/>
  <c r="J122"/>
  <c r="F9" i="399" l="1"/>
  <c r="I9"/>
  <c r="N8"/>
  <c r="O8" s="1"/>
  <c r="S8"/>
  <c r="L8"/>
  <c r="M8"/>
  <c r="K121" i="1"/>
  <c r="L121"/>
  <c r="M121"/>
  <c r="J121"/>
  <c r="J9" i="399" l="1"/>
  <c r="P8"/>
  <c r="Q8" s="1"/>
  <c r="R8" s="1"/>
  <c r="H8" s="1"/>
  <c r="D9"/>
  <c r="G9" s="1"/>
  <c r="K39" i="1"/>
  <c r="L39"/>
  <c r="M39"/>
  <c r="J39"/>
  <c r="E10" i="399" l="1"/>
  <c r="K9"/>
  <c r="K27" i="1"/>
  <c r="L27"/>
  <c r="M27"/>
  <c r="J27"/>
  <c r="J109"/>
  <c r="K109"/>
  <c r="L109"/>
  <c r="M109"/>
  <c r="J111"/>
  <c r="K111"/>
  <c r="L111"/>
  <c r="M111"/>
  <c r="J117"/>
  <c r="K117"/>
  <c r="L117"/>
  <c r="M117"/>
  <c r="N9" i="399" l="1"/>
  <c r="O9" s="1"/>
  <c r="S9"/>
  <c r="L9"/>
  <c r="M9"/>
  <c r="F10"/>
  <c r="I10"/>
  <c r="Q275" i="392"/>
  <c r="J10" i="399" l="1"/>
  <c r="P9"/>
  <c r="Q9" s="1"/>
  <c r="R9" s="1"/>
  <c r="H9" s="1"/>
  <c r="D10"/>
  <c r="G10" s="1"/>
  <c r="J113" i="1"/>
  <c r="K113"/>
  <c r="L113"/>
  <c r="M113"/>
  <c r="J48"/>
  <c r="K48"/>
  <c r="L48"/>
  <c r="M48"/>
  <c r="J59"/>
  <c r="K59"/>
  <c r="L59"/>
  <c r="M59"/>
  <c r="E11" i="399" l="1"/>
  <c r="K10"/>
  <c r="K104" i="1"/>
  <c r="L104"/>
  <c r="M104"/>
  <c r="J104"/>
  <c r="S10" i="399" l="1"/>
  <c r="N10"/>
  <c r="O10" s="1"/>
  <c r="L10"/>
  <c r="M10"/>
  <c r="F11"/>
  <c r="I11"/>
  <c r="J93" i="1"/>
  <c r="K93"/>
  <c r="L93"/>
  <c r="M93"/>
  <c r="J97"/>
  <c r="K97"/>
  <c r="L97"/>
  <c r="M97"/>
  <c r="J11" i="399" l="1"/>
  <c r="P10"/>
  <c r="Q10" s="1"/>
  <c r="R10" s="1"/>
  <c r="H10" s="1"/>
  <c r="D11"/>
  <c r="G11" s="1"/>
  <c r="I35" i="2"/>
  <c r="J35"/>
  <c r="K35"/>
  <c r="H35"/>
  <c r="K11" i="399" l="1"/>
  <c r="E12"/>
  <c r="K119" i="1"/>
  <c r="L119"/>
  <c r="M119"/>
  <c r="J119"/>
  <c r="F12" i="399" l="1"/>
  <c r="I12"/>
  <c r="N11"/>
  <c r="O11" s="1"/>
  <c r="S11"/>
  <c r="M11"/>
  <c r="L11"/>
  <c r="K106" i="1"/>
  <c r="L106"/>
  <c r="M106"/>
  <c r="J106"/>
  <c r="P11" i="399" l="1"/>
  <c r="Q11" s="1"/>
  <c r="R11" s="1"/>
  <c r="H11" s="1"/>
  <c r="D12"/>
  <c r="G12" s="1"/>
  <c r="J12"/>
  <c r="J95" i="1"/>
  <c r="K95"/>
  <c r="L95"/>
  <c r="M95"/>
  <c r="J96"/>
  <c r="K96"/>
  <c r="L96"/>
  <c r="M96"/>
  <c r="E13" i="399" l="1"/>
  <c r="K12"/>
  <c r="I21" i="2"/>
  <c r="J21"/>
  <c r="K21"/>
  <c r="I31"/>
  <c r="J31"/>
  <c r="K31"/>
  <c r="H31"/>
  <c r="H21"/>
  <c r="F13" i="399" l="1"/>
  <c r="I13"/>
  <c r="N12"/>
  <c r="O12" s="1"/>
  <c r="S12"/>
  <c r="L12"/>
  <c r="M12"/>
  <c r="J102" i="1"/>
  <c r="K102"/>
  <c r="L102"/>
  <c r="M102"/>
  <c r="J105"/>
  <c r="K105"/>
  <c r="L105"/>
  <c r="M105"/>
  <c r="J31"/>
  <c r="K31"/>
  <c r="L31"/>
  <c r="M31"/>
  <c r="J13" i="399" l="1"/>
  <c r="P12"/>
  <c r="Q12" s="1"/>
  <c r="R12" s="1"/>
  <c r="H12" s="1"/>
  <c r="D13"/>
  <c r="G13" s="1"/>
  <c r="K98" i="1"/>
  <c r="K110"/>
  <c r="K115"/>
  <c r="K116"/>
  <c r="K118"/>
  <c r="K120"/>
  <c r="K124"/>
  <c r="K155"/>
  <c r="K54"/>
  <c r="K23"/>
  <c r="K2"/>
  <c r="K49"/>
  <c r="K159"/>
  <c r="K5"/>
  <c r="K101"/>
  <c r="K92"/>
  <c r="K13" i="399" l="1"/>
  <c r="E14"/>
  <c r="I49" i="2"/>
  <c r="J49"/>
  <c r="K49"/>
  <c r="H49"/>
  <c r="F14" i="399" l="1"/>
  <c r="I14"/>
  <c r="N13"/>
  <c r="O13" s="1"/>
  <c r="S13"/>
  <c r="L13"/>
  <c r="M13"/>
  <c r="J2" i="1"/>
  <c r="L2"/>
  <c r="M2"/>
  <c r="J49"/>
  <c r="L49"/>
  <c r="M49"/>
  <c r="J159"/>
  <c r="L159"/>
  <c r="M159"/>
  <c r="J5"/>
  <c r="L5"/>
  <c r="M5"/>
  <c r="J101"/>
  <c r="L101"/>
  <c r="M101"/>
  <c r="J14" i="399" l="1"/>
  <c r="P13"/>
  <c r="Q13" s="1"/>
  <c r="R13" s="1"/>
  <c r="H13" s="1"/>
  <c r="D14"/>
  <c r="G14" s="1"/>
  <c r="L23" i="1"/>
  <c r="M23"/>
  <c r="J23"/>
  <c r="E15" i="399" l="1"/>
  <c r="K14"/>
  <c r="I52" i="2"/>
  <c r="J52"/>
  <c r="K52"/>
  <c r="H52"/>
  <c r="I53"/>
  <c r="J53"/>
  <c r="K53"/>
  <c r="H53"/>
  <c r="N14" i="399" l="1"/>
  <c r="O14" s="1"/>
  <c r="S14"/>
  <c r="L14"/>
  <c r="M14"/>
  <c r="F15"/>
  <c r="I15"/>
  <c r="J54" i="1"/>
  <c r="L54"/>
  <c r="M54"/>
  <c r="J92"/>
  <c r="L92"/>
  <c r="M92"/>
  <c r="J98"/>
  <c r="L98"/>
  <c r="M98"/>
  <c r="J110"/>
  <c r="L110"/>
  <c r="M110"/>
  <c r="J115"/>
  <c r="L115"/>
  <c r="M115"/>
  <c r="J116"/>
  <c r="L116"/>
  <c r="M116"/>
  <c r="J118"/>
  <c r="L118"/>
  <c r="M118"/>
  <c r="J120"/>
  <c r="L120"/>
  <c r="M120"/>
  <c r="J124"/>
  <c r="L124"/>
  <c r="M124"/>
  <c r="J155"/>
  <c r="L155"/>
  <c r="M155"/>
  <c r="J15" i="399" l="1"/>
  <c r="P14"/>
  <c r="Q14" s="1"/>
  <c r="R14" s="1"/>
  <c r="H14" s="1"/>
  <c r="D15"/>
  <c r="G15" s="1"/>
  <c r="K4" i="2"/>
  <c r="J4"/>
  <c r="I4"/>
  <c r="H4"/>
  <c r="K2"/>
  <c r="J2"/>
  <c r="I2"/>
  <c r="H2"/>
  <c r="M4" i="1"/>
  <c r="L4"/>
  <c r="K4"/>
  <c r="J4"/>
  <c r="M3"/>
  <c r="L3"/>
  <c r="K3"/>
  <c r="J3"/>
  <c r="P84" i="416" l="1"/>
  <c r="Q99"/>
  <c r="P109"/>
  <c r="Q124"/>
  <c r="Q85"/>
  <c r="P103"/>
  <c r="Q118"/>
  <c r="Q87"/>
  <c r="P105"/>
  <c r="Q120"/>
  <c r="Q89"/>
  <c r="P107"/>
  <c r="Q122"/>
  <c r="Q128"/>
  <c r="Q97"/>
  <c r="P115"/>
  <c r="Q130"/>
  <c r="P123"/>
  <c r="Q123"/>
  <c r="Q84"/>
  <c r="Q109"/>
  <c r="P96"/>
  <c r="Q111"/>
  <c r="P98"/>
  <c r="P131"/>
  <c r="P101"/>
  <c r="P128"/>
  <c r="P130"/>
  <c r="P92"/>
  <c r="Q107"/>
  <c r="P117"/>
  <c r="Q132"/>
  <c r="Q93"/>
  <c r="P111"/>
  <c r="Q126"/>
  <c r="Q95"/>
  <c r="P113"/>
  <c r="Q113"/>
  <c r="Q116"/>
  <c r="Q112"/>
  <c r="P100"/>
  <c r="Q115"/>
  <c r="P125"/>
  <c r="P86"/>
  <c r="Q101"/>
  <c r="P119"/>
  <c r="P88"/>
  <c r="Q103"/>
  <c r="P121"/>
  <c r="P90"/>
  <c r="Q105"/>
  <c r="P108"/>
  <c r="P94"/>
  <c r="P127"/>
  <c r="P129"/>
  <c r="P116"/>
  <c r="Q131"/>
  <c r="Q92"/>
  <c r="P102"/>
  <c r="Q117"/>
  <c r="Q86"/>
  <c r="P104"/>
  <c r="Q119"/>
  <c r="Q88"/>
  <c r="P106"/>
  <c r="Q121"/>
  <c r="Q90"/>
  <c r="Q104"/>
  <c r="Q106"/>
  <c r="P95"/>
  <c r="P97"/>
  <c r="Q114"/>
  <c r="P124"/>
  <c r="P85"/>
  <c r="Q100"/>
  <c r="P110"/>
  <c r="Q125"/>
  <c r="Q94"/>
  <c r="P112"/>
  <c r="Q127"/>
  <c r="Q96"/>
  <c r="P114"/>
  <c r="Q129"/>
  <c r="Q98"/>
  <c r="P132"/>
  <c r="P93"/>
  <c r="Q108"/>
  <c r="P118"/>
  <c r="P87"/>
  <c r="Q102"/>
  <c r="P120"/>
  <c r="P89"/>
  <c r="P122"/>
  <c r="P91"/>
  <c r="Q91"/>
  <c r="P126"/>
  <c r="Q110"/>
  <c r="P99"/>
  <c r="F3"/>
  <c r="Q66"/>
  <c r="Q34"/>
  <c r="P11"/>
  <c r="Q69"/>
  <c r="Q79"/>
  <c r="Q47"/>
  <c r="E19"/>
  <c r="I19" s="1"/>
  <c r="E3"/>
  <c r="I3" s="1"/>
  <c r="P8"/>
  <c r="Q76"/>
  <c r="P39"/>
  <c r="P6"/>
  <c r="P52"/>
  <c r="Q20"/>
  <c r="P72"/>
  <c r="Q70"/>
  <c r="Q38"/>
  <c r="Q53"/>
  <c r="P78"/>
  <c r="P46"/>
  <c r="E18"/>
  <c r="I18" s="1"/>
  <c r="F2"/>
  <c r="Q24"/>
  <c r="Q13"/>
  <c r="Q56"/>
  <c r="Q61"/>
  <c r="Q48"/>
  <c r="Q7"/>
  <c r="F11"/>
  <c r="P61"/>
  <c r="P29"/>
  <c r="P9"/>
  <c r="P56"/>
  <c r="P74"/>
  <c r="P42"/>
  <c r="E17"/>
  <c r="I17" s="1"/>
  <c r="P47"/>
  <c r="P71"/>
  <c r="Q36"/>
  <c r="Q81"/>
  <c r="Q49"/>
  <c r="Q18"/>
  <c r="Q5"/>
  <c r="P65"/>
  <c r="P33"/>
  <c r="Q37"/>
  <c r="Q75"/>
  <c r="Q43"/>
  <c r="E16"/>
  <c r="I16" s="1"/>
  <c r="P83"/>
  <c r="E2"/>
  <c r="Q9"/>
  <c r="P51"/>
  <c r="Q21"/>
  <c r="F19"/>
  <c r="Q58"/>
  <c r="Q26"/>
  <c r="P7"/>
  <c r="P48"/>
  <c r="Q71"/>
  <c r="Q39"/>
  <c r="E15"/>
  <c r="I15" s="1"/>
  <c r="P31"/>
  <c r="P80"/>
  <c r="Q68"/>
  <c r="P23"/>
  <c r="P64"/>
  <c r="P76"/>
  <c r="P44"/>
  <c r="Q16"/>
  <c r="F7"/>
  <c r="Q62"/>
  <c r="Q30"/>
  <c r="Q3"/>
  <c r="P70"/>
  <c r="P38"/>
  <c r="E14"/>
  <c r="I14" s="1"/>
  <c r="Q80"/>
  <c r="Q11"/>
  <c r="P53"/>
  <c r="P21"/>
  <c r="P5"/>
  <c r="P40"/>
  <c r="P66"/>
  <c r="P34"/>
  <c r="E13"/>
  <c r="I13" s="1"/>
  <c r="Q28"/>
  <c r="F5"/>
  <c r="P63"/>
  <c r="Q10"/>
  <c r="Q29"/>
  <c r="Q73"/>
  <c r="Q41"/>
  <c r="Q12"/>
  <c r="F15"/>
  <c r="P57"/>
  <c r="P18"/>
  <c r="Q67"/>
  <c r="Q35"/>
  <c r="E12"/>
  <c r="I12" s="1"/>
  <c r="P67"/>
  <c r="F9"/>
  <c r="P35"/>
  <c r="Q82"/>
  <c r="Q50"/>
  <c r="P19"/>
  <c r="P3"/>
  <c r="F4"/>
  <c r="Q63"/>
  <c r="Q31"/>
  <c r="E11"/>
  <c r="I11" s="1"/>
  <c r="Q14"/>
  <c r="F13"/>
  <c r="Q60"/>
  <c r="Q6"/>
  <c r="Q19"/>
  <c r="P68"/>
  <c r="P36"/>
  <c r="Q4"/>
  <c r="Q54"/>
  <c r="P10"/>
  <c r="F8"/>
  <c r="P62"/>
  <c r="P30"/>
  <c r="E10"/>
  <c r="I10" s="1"/>
  <c r="Q64"/>
  <c r="Q45"/>
  <c r="F17"/>
  <c r="Q32"/>
  <c r="P77"/>
  <c r="P45"/>
  <c r="P17"/>
  <c r="P2"/>
  <c r="F12"/>
  <c r="P58"/>
  <c r="P26"/>
  <c r="E9"/>
  <c r="I9" s="1"/>
  <c r="Q8"/>
  <c r="F21"/>
  <c r="P55"/>
  <c r="Q2"/>
  <c r="Q15"/>
  <c r="Q65"/>
  <c r="Q33"/>
  <c r="Q22"/>
  <c r="P81"/>
  <c r="P49"/>
  <c r="P4"/>
  <c r="F16"/>
  <c r="Q59"/>
  <c r="Q27"/>
  <c r="E8"/>
  <c r="I8" s="1"/>
  <c r="P43"/>
  <c r="P32"/>
  <c r="P75"/>
  <c r="Q74"/>
  <c r="Q42"/>
  <c r="P15"/>
  <c r="F20"/>
  <c r="Q55"/>
  <c r="Q23"/>
  <c r="E7"/>
  <c r="I7" s="1"/>
  <c r="P25"/>
  <c r="Q52"/>
  <c r="P20"/>
  <c r="F6"/>
  <c r="P60"/>
  <c r="P28"/>
  <c r="P12"/>
  <c r="Q78"/>
  <c r="Q46"/>
  <c r="P54"/>
  <c r="P22"/>
  <c r="E6"/>
  <c r="I6" s="1"/>
  <c r="Q40"/>
  <c r="P24"/>
  <c r="Q72"/>
  <c r="F10"/>
  <c r="P69"/>
  <c r="P37"/>
  <c r="P13"/>
  <c r="F18"/>
  <c r="P82"/>
  <c r="P50"/>
  <c r="E21"/>
  <c r="I21" s="1"/>
  <c r="E5"/>
  <c r="I5" s="1"/>
  <c r="P16"/>
  <c r="P79"/>
  <c r="Q44"/>
  <c r="P14"/>
  <c r="F14"/>
  <c r="Q57"/>
  <c r="Q25"/>
  <c r="P73"/>
  <c r="P41"/>
  <c r="Q83"/>
  <c r="Q51"/>
  <c r="E20"/>
  <c r="I20" s="1"/>
  <c r="E4"/>
  <c r="I4" s="1"/>
  <c r="P27"/>
  <c r="Q17"/>
  <c r="P59"/>
  <c r="Q77"/>
  <c r="B106" i="392"/>
  <c r="B101"/>
  <c r="B104"/>
  <c r="B105"/>
  <c r="B102"/>
  <c r="B100"/>
  <c r="B103"/>
  <c r="E3" i="415"/>
  <c r="I3" s="1"/>
  <c r="F9"/>
  <c r="E6"/>
  <c r="I6" s="1"/>
  <c r="F3"/>
  <c r="E9"/>
  <c r="I9" s="1"/>
  <c r="F7"/>
  <c r="E2"/>
  <c r="F11"/>
  <c r="F10"/>
  <c r="F2"/>
  <c r="E10"/>
  <c r="I10" s="1"/>
  <c r="E7"/>
  <c r="I7" s="1"/>
  <c r="E11"/>
  <c r="I11" s="1"/>
  <c r="F6"/>
  <c r="E5"/>
  <c r="I5" s="1"/>
  <c r="E4"/>
  <c r="I4" s="1"/>
  <c r="F4"/>
  <c r="F5"/>
  <c r="E8" i="412"/>
  <c r="F8" i="415"/>
  <c r="E8"/>
  <c r="I8" s="1"/>
  <c r="E7" i="412"/>
  <c r="E9"/>
  <c r="N72" i="408"/>
  <c r="N81"/>
  <c r="N74"/>
  <c r="O83"/>
  <c r="O72"/>
  <c r="O73"/>
  <c r="O79"/>
  <c r="N83"/>
  <c r="N75"/>
  <c r="O81"/>
  <c r="N82"/>
  <c r="N84"/>
  <c r="O80"/>
  <c r="N80"/>
  <c r="O74"/>
  <c r="O82"/>
  <c r="O75"/>
  <c r="N76"/>
  <c r="N77"/>
  <c r="O77"/>
  <c r="N79"/>
  <c r="N78"/>
  <c r="O76"/>
  <c r="O84"/>
  <c r="N73"/>
  <c r="O78"/>
  <c r="N46"/>
  <c r="O46"/>
  <c r="O27"/>
  <c r="O38"/>
  <c r="O31"/>
  <c r="O47"/>
  <c r="N39"/>
  <c r="O35"/>
  <c r="O51"/>
  <c r="N49"/>
  <c r="N30"/>
  <c r="N41"/>
  <c r="N34"/>
  <c r="N50"/>
  <c r="O44"/>
  <c r="O43"/>
  <c r="H37" i="411"/>
  <c r="H38"/>
  <c r="D51" i="408"/>
  <c r="H51" s="1"/>
  <c r="D57"/>
  <c r="H57" s="1"/>
  <c r="O71"/>
  <c r="N33"/>
  <c r="N29"/>
  <c r="E53"/>
  <c r="E51"/>
  <c r="N24"/>
  <c r="O24"/>
  <c r="N38"/>
  <c r="O41"/>
  <c r="O34"/>
  <c r="O25"/>
  <c r="O23"/>
  <c r="N48"/>
  <c r="H39" i="411"/>
  <c r="O70" i="408"/>
  <c r="O29"/>
  <c r="N27"/>
  <c r="N47"/>
  <c r="N44"/>
  <c r="N37"/>
  <c r="N28"/>
  <c r="O39"/>
  <c r="O48"/>
  <c r="E52"/>
  <c r="D56"/>
  <c r="H56" s="1"/>
  <c r="E54"/>
  <c r="E59"/>
  <c r="D54"/>
  <c r="H54" s="1"/>
  <c r="H40" i="411"/>
  <c r="N32" i="408"/>
  <c r="O32"/>
  <c r="O22"/>
  <c r="N23"/>
  <c r="O42"/>
  <c r="O33"/>
  <c r="N42"/>
  <c r="D52"/>
  <c r="H52" s="1"/>
  <c r="O45"/>
  <c r="N43"/>
  <c r="D53"/>
  <c r="H53" s="1"/>
  <c r="N69"/>
  <c r="E57"/>
  <c r="O37"/>
  <c r="O40"/>
  <c r="N25"/>
  <c r="O28"/>
  <c r="N45"/>
  <c r="N36"/>
  <c r="N51"/>
  <c r="D58"/>
  <c r="H58" s="1"/>
  <c r="E56"/>
  <c r="E55"/>
  <c r="N71"/>
  <c r="D59"/>
  <c r="H59" s="1"/>
  <c r="E58"/>
  <c r="N70"/>
  <c r="N26"/>
  <c r="H35" i="411"/>
  <c r="N40" i="408"/>
  <c r="O49"/>
  <c r="O30"/>
  <c r="N31"/>
  <c r="N35"/>
  <c r="O50"/>
  <c r="O26"/>
  <c r="H36" i="411"/>
  <c r="D55" i="408"/>
  <c r="H55" s="1"/>
  <c r="N22"/>
  <c r="O36"/>
  <c r="O69"/>
  <c r="I2" i="415"/>
  <c r="G36" i="411"/>
  <c r="G35"/>
  <c r="G40"/>
  <c r="G37"/>
  <c r="G39"/>
  <c r="E28" i="412"/>
  <c r="G38" i="411"/>
  <c r="D19" i="412"/>
  <c r="D36" i="411"/>
  <c r="D39"/>
  <c r="D35"/>
  <c r="D40"/>
  <c r="D37"/>
  <c r="E31" i="412"/>
  <c r="D31"/>
  <c r="I31" s="1"/>
  <c r="D32"/>
  <c r="I32" s="1"/>
  <c r="E32"/>
  <c r="E3"/>
  <c r="D38" i="411"/>
  <c r="E4" i="412"/>
  <c r="E5"/>
  <c r="E19"/>
  <c r="E6"/>
  <c r="E36" i="411"/>
  <c r="D35" i="408"/>
  <c r="H35" s="1"/>
  <c r="D48"/>
  <c r="H48" s="1"/>
  <c r="D33"/>
  <c r="H33" s="1"/>
  <c r="N61"/>
  <c r="N57"/>
  <c r="O61"/>
  <c r="N12"/>
  <c r="N65"/>
  <c r="N14"/>
  <c r="O12"/>
  <c r="O59"/>
  <c r="N63"/>
  <c r="N55"/>
  <c r="O63"/>
  <c r="O8"/>
  <c r="E40" i="411"/>
  <c r="E49" i="408"/>
  <c r="E50"/>
  <c r="D40"/>
  <c r="H40" s="1"/>
  <c r="O10"/>
  <c r="O62"/>
  <c r="O67"/>
  <c r="O13"/>
  <c r="N62"/>
  <c r="O7"/>
  <c r="O65"/>
  <c r="N21"/>
  <c r="O20"/>
  <c r="D36"/>
  <c r="H36" s="1"/>
  <c r="D39"/>
  <c r="H39" s="1"/>
  <c r="E35" i="411"/>
  <c r="D41" i="408"/>
  <c r="H41" s="1"/>
  <c r="D44"/>
  <c r="H44" s="1"/>
  <c r="O16"/>
  <c r="O18"/>
  <c r="D47"/>
  <c r="H47" s="1"/>
  <c r="O15"/>
  <c r="O54"/>
  <c r="O52"/>
  <c r="N19"/>
  <c r="O60"/>
  <c r="N7"/>
  <c r="O9"/>
  <c r="N8"/>
  <c r="N13"/>
  <c r="D38"/>
  <c r="H38" s="1"/>
  <c r="D50"/>
  <c r="H50" s="1"/>
  <c r="N59"/>
  <c r="E37" i="411"/>
  <c r="D45" i="408"/>
  <c r="H45" s="1"/>
  <c r="N58"/>
  <c r="N18"/>
  <c r="O17"/>
  <c r="N53"/>
  <c r="N10"/>
  <c r="O14"/>
  <c r="O53"/>
  <c r="N54"/>
  <c r="O58"/>
  <c r="N9"/>
  <c r="D34"/>
  <c r="H34" s="1"/>
  <c r="D46"/>
  <c r="H46" s="1"/>
  <c r="E38" i="411"/>
  <c r="D43" i="408"/>
  <c r="H43" s="1"/>
  <c r="D32"/>
  <c r="H32" s="1"/>
  <c r="O64"/>
  <c r="D29"/>
  <c r="H29" s="1"/>
  <c r="D31"/>
  <c r="H31" s="1"/>
  <c r="N11"/>
  <c r="O21"/>
  <c r="N60"/>
  <c r="E39" i="411"/>
  <c r="D49" i="408"/>
  <c r="H49" s="1"/>
  <c r="N15"/>
  <c r="D27"/>
  <c r="H27" s="1"/>
  <c r="N56"/>
  <c r="N64"/>
  <c r="N68"/>
  <c r="O57"/>
  <c r="O68"/>
  <c r="N17"/>
  <c r="N20"/>
  <c r="O11"/>
  <c r="D28"/>
  <c r="H28" s="1"/>
  <c r="D42"/>
  <c r="H42" s="1"/>
  <c r="N16"/>
  <c r="O56"/>
  <c r="D37"/>
  <c r="H37" s="1"/>
  <c r="O66"/>
  <c r="O55"/>
  <c r="D30"/>
  <c r="H30" s="1"/>
  <c r="N52"/>
  <c r="O19"/>
  <c r="N67"/>
  <c r="N66"/>
  <c r="D2" i="393"/>
  <c r="I2" s="1"/>
  <c r="H7" i="411"/>
  <c r="D12" i="393"/>
  <c r="I12" s="1"/>
  <c r="D3"/>
  <c r="I3" s="1"/>
  <c r="H9" i="411"/>
  <c r="H8"/>
  <c r="D5" i="393"/>
  <c r="I5" s="1"/>
  <c r="H3" i="411"/>
  <c r="H6"/>
  <c r="H4"/>
  <c r="H5"/>
  <c r="D8" i="393"/>
  <c r="I8" s="1"/>
  <c r="H10" i="411"/>
  <c r="H11"/>
  <c r="E10" i="408"/>
  <c r="E41"/>
  <c r="E7"/>
  <c r="E16" i="399"/>
  <c r="K15"/>
  <c r="E30" i="411"/>
  <c r="L30" s="1"/>
  <c r="H30"/>
  <c r="E2" i="412"/>
  <c r="D30" i="411"/>
  <c r="G30"/>
  <c r="D3" i="408"/>
  <c r="H3" s="1"/>
  <c r="D12"/>
  <c r="H12" s="1"/>
  <c r="E36"/>
  <c r="E38"/>
  <c r="D19"/>
  <c r="H19" s="1"/>
  <c r="E6"/>
  <c r="E34"/>
  <c r="E45"/>
  <c r="E30"/>
  <c r="E17"/>
  <c r="E3"/>
  <c r="D17"/>
  <c r="H17" s="1"/>
  <c r="E43"/>
  <c r="E2"/>
  <c r="E29"/>
  <c r="E20"/>
  <c r="D21"/>
  <c r="H21" s="1"/>
  <c r="D10"/>
  <c r="H10" s="1"/>
  <c r="D6"/>
  <c r="H6" s="1"/>
  <c r="E15"/>
  <c r="E18"/>
  <c r="E40"/>
  <c r="D13"/>
  <c r="H13" s="1"/>
  <c r="D20"/>
  <c r="H20" s="1"/>
  <c r="E47"/>
  <c r="E42"/>
  <c r="D18"/>
  <c r="H18" s="1"/>
  <c r="E8"/>
  <c r="E32"/>
  <c r="E28"/>
  <c r="E5"/>
  <c r="D7"/>
  <c r="H7" s="1"/>
  <c r="E46"/>
  <c r="E21"/>
  <c r="E11"/>
  <c r="E27"/>
  <c r="D11"/>
  <c r="H11" s="1"/>
  <c r="E4"/>
  <c r="D2"/>
  <c r="H2" s="1"/>
  <c r="D9"/>
  <c r="H9" s="1"/>
  <c r="E35"/>
  <c r="E16"/>
  <c r="D8"/>
  <c r="H8" s="1"/>
  <c r="E37"/>
  <c r="E9"/>
  <c r="E39"/>
  <c r="D14"/>
  <c r="H14" s="1"/>
  <c r="E19"/>
  <c r="D16"/>
  <c r="H16" s="1"/>
  <c r="E48"/>
  <c r="E31"/>
  <c r="E33"/>
  <c r="E14"/>
  <c r="E12"/>
  <c r="D5"/>
  <c r="H5" s="1"/>
  <c r="E13"/>
  <c r="D4"/>
  <c r="H4" s="1"/>
  <c r="D15"/>
  <c r="H15" s="1"/>
  <c r="E44"/>
  <c r="D31" i="411"/>
  <c r="G31"/>
  <c r="N3" i="408"/>
  <c r="O6"/>
  <c r="E19" i="411"/>
  <c r="L19" s="1"/>
  <c r="E3"/>
  <c r="L3" s="1"/>
  <c r="H18"/>
  <c r="E11"/>
  <c r="L11" s="1"/>
  <c r="E9"/>
  <c r="L9" s="1"/>
  <c r="H28"/>
  <c r="E22"/>
  <c r="L22" s="1"/>
  <c r="O2" i="408"/>
  <c r="E7" i="411"/>
  <c r="L7" s="1"/>
  <c r="E21"/>
  <c r="L21" s="1"/>
  <c r="E20"/>
  <c r="L20" s="1"/>
  <c r="E6"/>
  <c r="L6" s="1"/>
  <c r="H26"/>
  <c r="O3" i="408"/>
  <c r="O5"/>
  <c r="E8" i="411"/>
  <c r="L8" s="1"/>
  <c r="E4"/>
  <c r="L4" s="1"/>
  <c r="H21"/>
  <c r="H20"/>
  <c r="E25"/>
  <c r="L25" s="1"/>
  <c r="H23"/>
  <c r="H27"/>
  <c r="N6" i="408"/>
  <c r="E24" i="411"/>
  <c r="L24" s="1"/>
  <c r="O4" i="408"/>
  <c r="E17" i="411"/>
  <c r="E23"/>
  <c r="L23" s="1"/>
  <c r="H29"/>
  <c r="N5" i="408"/>
  <c r="E10" i="411"/>
  <c r="L10" s="1"/>
  <c r="H22"/>
  <c r="E28"/>
  <c r="L28" s="1"/>
  <c r="E29"/>
  <c r="L29" s="1"/>
  <c r="H24"/>
  <c r="N4" i="408"/>
  <c r="H2" i="411"/>
  <c r="H25"/>
  <c r="E31"/>
  <c r="E26"/>
  <c r="L26" s="1"/>
  <c r="E5"/>
  <c r="L5" s="1"/>
  <c r="H19"/>
  <c r="E2"/>
  <c r="H17"/>
  <c r="E27"/>
  <c r="L27" s="1"/>
  <c r="N2" i="408"/>
  <c r="H31" i="411"/>
  <c r="E18"/>
  <c r="L18" s="1"/>
  <c r="D28"/>
  <c r="D23"/>
  <c r="E17" i="412"/>
  <c r="G27" i="411"/>
  <c r="D5"/>
  <c r="D3"/>
  <c r="E20" i="412"/>
  <c r="D29" i="411"/>
  <c r="D19"/>
  <c r="D18" i="412"/>
  <c r="I18" s="1"/>
  <c r="I19"/>
  <c r="D15"/>
  <c r="I15" s="1"/>
  <c r="D24" i="411"/>
  <c r="G5"/>
  <c r="G23"/>
  <c r="E16" i="412"/>
  <c r="G17" i="411"/>
  <c r="D22"/>
  <c r="D8"/>
  <c r="D25" i="412"/>
  <c r="I25" s="1"/>
  <c r="D4"/>
  <c r="I4" s="1"/>
  <c r="G9" i="411"/>
  <c r="D20"/>
  <c r="E26" i="412"/>
  <c r="D17" i="411"/>
  <c r="G21"/>
  <c r="D28" i="412"/>
  <c r="I28" s="1"/>
  <c r="G8" i="411"/>
  <c r="D21"/>
  <c r="D25"/>
  <c r="D27" i="412"/>
  <c r="I27" s="1"/>
  <c r="D22"/>
  <c r="I22" s="1"/>
  <c r="D3"/>
  <c r="I3" s="1"/>
  <c r="E29"/>
  <c r="G6" i="411"/>
  <c r="G7"/>
  <c r="G26"/>
  <c r="G20"/>
  <c r="G24"/>
  <c r="G3"/>
  <c r="D11"/>
  <c r="D18"/>
  <c r="D7" i="412"/>
  <c r="I7" s="1"/>
  <c r="D16"/>
  <c r="I16" s="1"/>
  <c r="E23"/>
  <c r="G4" i="411"/>
  <c r="G25"/>
  <c r="D2"/>
  <c r="G18"/>
  <c r="G28"/>
  <c r="D6"/>
  <c r="D27"/>
  <c r="D7"/>
  <c r="D5" i="412"/>
  <c r="I5" s="1"/>
  <c r="D26"/>
  <c r="I26" s="1"/>
  <c r="G11" i="411"/>
  <c r="E18" i="412"/>
  <c r="E22"/>
  <c r="E15"/>
  <c r="E24"/>
  <c r="D9" i="411"/>
  <c r="D17" i="412"/>
  <c r="I17" s="1"/>
  <c r="D23"/>
  <c r="I23" s="1"/>
  <c r="D29"/>
  <c r="I29" s="1"/>
  <c r="G2" i="411"/>
  <c r="D20" i="412"/>
  <c r="I20" s="1"/>
  <c r="G29" i="411"/>
  <c r="G19"/>
  <c r="E25" i="412"/>
  <c r="E27"/>
  <c r="D4" i="411"/>
  <c r="D26"/>
  <c r="D8" i="412"/>
  <c r="I8" s="1"/>
  <c r="D2"/>
  <c r="I2" s="1"/>
  <c r="D24"/>
  <c r="I24" s="1"/>
  <c r="G22" i="411"/>
  <c r="D6" i="412"/>
  <c r="I6" s="1"/>
  <c r="E21"/>
  <c r="D21"/>
  <c r="I21" s="1"/>
  <c r="D9"/>
  <c r="I9" s="1"/>
  <c r="D10" i="411"/>
  <c r="G10"/>
  <c r="E30" i="412"/>
  <c r="D30"/>
  <c r="I30" s="1"/>
  <c r="D11"/>
  <c r="D6" i="393"/>
  <c r="I6" s="1"/>
  <c r="D4"/>
  <c r="I4" s="1"/>
  <c r="S4" s="1"/>
  <c r="D7"/>
  <c r="I7" s="1"/>
  <c r="Q133" i="416" l="1"/>
  <c r="P133"/>
  <c r="K21"/>
  <c r="I102" i="392"/>
  <c r="F22" i="416"/>
  <c r="I106" i="392"/>
  <c r="S21" i="416"/>
  <c r="I2"/>
  <c r="I22" s="1"/>
  <c r="E22"/>
  <c r="I103" i="392"/>
  <c r="I100"/>
  <c r="I105"/>
  <c r="I104"/>
  <c r="I101"/>
  <c r="H41" i="411"/>
  <c r="G41"/>
  <c r="J56" i="408"/>
  <c r="O85"/>
  <c r="N85"/>
  <c r="F38" i="411"/>
  <c r="L38"/>
  <c r="L40"/>
  <c r="F40"/>
  <c r="E41"/>
  <c r="L35"/>
  <c r="F35"/>
  <c r="L36"/>
  <c r="F36"/>
  <c r="D41"/>
  <c r="F39"/>
  <c r="L39"/>
  <c r="L37"/>
  <c r="F37"/>
  <c r="I33" i="412"/>
  <c r="J21" i="408"/>
  <c r="N12" i="393"/>
  <c r="K12"/>
  <c r="M12"/>
  <c r="S12"/>
  <c r="K3"/>
  <c r="M3"/>
  <c r="N3" s="1"/>
  <c r="S3"/>
  <c r="S5"/>
  <c r="N5"/>
  <c r="M5"/>
  <c r="K5"/>
  <c r="K2"/>
  <c r="M2"/>
  <c r="N2" s="1"/>
  <c r="S2"/>
  <c r="J36" i="408"/>
  <c r="J11"/>
  <c r="J46"/>
  <c r="S6" i="393"/>
  <c r="K6"/>
  <c r="S8"/>
  <c r="K8"/>
  <c r="S7"/>
  <c r="K7"/>
  <c r="N15" i="399"/>
  <c r="O15" s="1"/>
  <c r="S15"/>
  <c r="L15"/>
  <c r="M15"/>
  <c r="F16"/>
  <c r="I16"/>
  <c r="F30" i="411"/>
  <c r="Q21" i="408"/>
  <c r="D22"/>
  <c r="F19" i="411"/>
  <c r="F21"/>
  <c r="F3"/>
  <c r="F11"/>
  <c r="F22"/>
  <c r="F20"/>
  <c r="F23"/>
  <c r="F4"/>
  <c r="F6"/>
  <c r="F25"/>
  <c r="F8"/>
  <c r="F24"/>
  <c r="F9"/>
  <c r="F7"/>
  <c r="F26"/>
  <c r="F5"/>
  <c r="F18"/>
  <c r="F10"/>
  <c r="L31"/>
  <c r="F31"/>
  <c r="H32"/>
  <c r="L2"/>
  <c r="L12" s="1"/>
  <c r="E12"/>
  <c r="H22" i="408"/>
  <c r="H12" i="411"/>
  <c r="F27"/>
  <c r="F29"/>
  <c r="F28"/>
  <c r="E22" i="408"/>
  <c r="E32" i="411"/>
  <c r="L17"/>
  <c r="D32"/>
  <c r="G32"/>
  <c r="F17"/>
  <c r="I10" i="412"/>
  <c r="Q4" i="392"/>
  <c r="Q5"/>
  <c r="Q3"/>
  <c r="E10" i="412"/>
  <c r="E33"/>
  <c r="F2" i="411"/>
  <c r="D12"/>
  <c r="G12"/>
  <c r="D33" i="412"/>
  <c r="D10"/>
  <c r="M8" i="393"/>
  <c r="N8"/>
  <c r="M7"/>
  <c r="N7"/>
  <c r="M4"/>
  <c r="K4"/>
  <c r="N4"/>
  <c r="M6"/>
  <c r="N6"/>
  <c r="K11" i="416" l="1"/>
  <c r="L103" i="392"/>
  <c r="L106"/>
  <c r="L101"/>
  <c r="L102"/>
  <c r="L105"/>
  <c r="L100"/>
  <c r="L104"/>
  <c r="N100"/>
  <c r="N103"/>
  <c r="N105"/>
  <c r="N106"/>
  <c r="N102"/>
  <c r="N101"/>
  <c r="N104"/>
  <c r="M101"/>
  <c r="M103"/>
  <c r="M105"/>
  <c r="M100"/>
  <c r="M102"/>
  <c r="M106"/>
  <c r="M104"/>
  <c r="Q2"/>
  <c r="F41" i="411"/>
  <c r="L41"/>
  <c r="K9" i="393"/>
  <c r="U2" i="392"/>
  <c r="S9" i="393"/>
  <c r="J16" i="399"/>
  <c r="P15"/>
  <c r="Q15" s="1"/>
  <c r="R15" s="1"/>
  <c r="H15" s="1"/>
  <c r="D16"/>
  <c r="G16" s="1"/>
  <c r="L32" i="411"/>
  <c r="F12"/>
  <c r="F32"/>
  <c r="K105" i="392" l="1"/>
  <c r="K101"/>
  <c r="K100"/>
  <c r="K102"/>
  <c r="K104"/>
  <c r="K106"/>
  <c r="K103"/>
  <c r="G100"/>
  <c r="G101" s="1"/>
  <c r="G102" s="1"/>
  <c r="G103" s="1"/>
  <c r="G104" s="1"/>
  <c r="G105" s="1"/>
  <c r="G106" s="1"/>
  <c r="F100"/>
  <c r="F101" s="1"/>
  <c r="F102" s="1"/>
  <c r="F103" s="1"/>
  <c r="F104" s="1"/>
  <c r="F105" s="1"/>
  <c r="F106" s="1"/>
  <c r="E100"/>
  <c r="E101" s="1"/>
  <c r="E102" s="1"/>
  <c r="E103" s="1"/>
  <c r="E104" s="1"/>
  <c r="E105" s="1"/>
  <c r="E106" s="1"/>
  <c r="E17" i="399"/>
  <c r="K16"/>
  <c r="T2" i="392"/>
  <c r="V2"/>
  <c r="D100" l="1"/>
  <c r="D101" s="1"/>
  <c r="D102" s="1"/>
  <c r="D103" s="1"/>
  <c r="D104" s="1"/>
  <c r="D105" s="1"/>
  <c r="D106" s="1"/>
  <c r="N16" i="399"/>
  <c r="O16" s="1"/>
  <c r="S16"/>
  <c r="M16"/>
  <c r="L16"/>
  <c r="F17"/>
  <c r="I17"/>
  <c r="V3" i="392"/>
  <c r="V4"/>
  <c r="V5"/>
  <c r="U5"/>
  <c r="U4"/>
  <c r="U3"/>
  <c r="S2"/>
  <c r="R7" s="1"/>
  <c r="J17" i="399" l="1"/>
  <c r="P16"/>
  <c r="Q16" s="1"/>
  <c r="R16" s="1"/>
  <c r="H16" s="1"/>
  <c r="D17"/>
  <c r="G17" s="1"/>
  <c r="S4" i="392"/>
  <c r="S5"/>
  <c r="S3"/>
  <c r="T4" l="1"/>
  <c r="R9" s="1"/>
  <c r="T5"/>
  <c r="R10" s="1"/>
  <c r="T3"/>
  <c r="R8" s="1"/>
  <c r="E18" i="399"/>
  <c r="K17"/>
  <c r="N17" l="1"/>
  <c r="O17" s="1"/>
  <c r="S17"/>
  <c r="M17"/>
  <c r="L17"/>
  <c r="F18"/>
  <c r="I18"/>
  <c r="J18" l="1"/>
  <c r="P17"/>
  <c r="Q17" s="1"/>
  <c r="R17" s="1"/>
  <c r="H17" s="1"/>
  <c r="D18"/>
  <c r="G18" s="1"/>
  <c r="E19" l="1"/>
  <c r="K18"/>
  <c r="S18" l="1"/>
  <c r="N18"/>
  <c r="O18" s="1"/>
  <c r="L18"/>
  <c r="M18"/>
  <c r="F19"/>
  <c r="I19"/>
  <c r="J19" l="1"/>
  <c r="P18"/>
  <c r="Q18" s="1"/>
  <c r="R18" s="1"/>
  <c r="H18" s="1"/>
  <c r="D19"/>
  <c r="G19" s="1"/>
  <c r="E20" l="1"/>
  <c r="K19"/>
  <c r="N19" l="1"/>
  <c r="O19" s="1"/>
  <c r="S19"/>
  <c r="L19"/>
  <c r="M19"/>
  <c r="F20"/>
  <c r="I20"/>
  <c r="J20" l="1"/>
  <c r="P19"/>
  <c r="Q19" s="1"/>
  <c r="R19" s="1"/>
  <c r="H19" s="1"/>
  <c r="D20"/>
  <c r="G20" s="1"/>
  <c r="E21" l="1"/>
  <c r="K20"/>
  <c r="N20" l="1"/>
  <c r="O20" s="1"/>
  <c r="S20"/>
  <c r="L20"/>
  <c r="M20"/>
  <c r="F21"/>
  <c r="I21"/>
  <c r="J21" l="1"/>
  <c r="P20"/>
  <c r="Q20" s="1"/>
  <c r="R20" s="1"/>
  <c r="H20" s="1"/>
  <c r="D21"/>
  <c r="G21" s="1"/>
  <c r="K21" l="1"/>
  <c r="E22"/>
  <c r="F22" l="1"/>
  <c r="I22"/>
  <c r="N21"/>
  <c r="O21" s="1"/>
  <c r="S21"/>
  <c r="L21"/>
  <c r="M21"/>
  <c r="J22" l="1"/>
  <c r="P21"/>
  <c r="Q21" s="1"/>
  <c r="R21" s="1"/>
  <c r="H21" s="1"/>
  <c r="D22"/>
  <c r="G22" s="1"/>
  <c r="E23" l="1"/>
  <c r="K22"/>
  <c r="N22" l="1"/>
  <c r="O22" s="1"/>
  <c r="S22"/>
  <c r="L22"/>
  <c r="M22"/>
  <c r="F23"/>
  <c r="I23"/>
  <c r="J23" l="1"/>
  <c r="P22"/>
  <c r="Q22" s="1"/>
  <c r="R22" s="1"/>
  <c r="H22" s="1"/>
  <c r="D23"/>
  <c r="G23" s="1"/>
  <c r="E24" l="1"/>
  <c r="K23"/>
  <c r="N23" l="1"/>
  <c r="O23" s="1"/>
  <c r="S23"/>
  <c r="L23"/>
  <c r="M23"/>
  <c r="F24"/>
  <c r="I24"/>
  <c r="J24" l="1"/>
  <c r="P23"/>
  <c r="Q23" s="1"/>
  <c r="R23" s="1"/>
  <c r="H23" s="1"/>
  <c r="D24"/>
  <c r="G24" s="1"/>
  <c r="E25" l="1"/>
  <c r="K24"/>
  <c r="N24" l="1"/>
  <c r="O24" s="1"/>
  <c r="S24"/>
  <c r="M24"/>
  <c r="L24"/>
  <c r="F25"/>
  <c r="I25"/>
  <c r="J25" l="1"/>
  <c r="P24"/>
  <c r="Q24" s="1"/>
  <c r="R24" s="1"/>
  <c r="H24" s="1"/>
  <c r="D25"/>
  <c r="G25" s="1"/>
  <c r="E26" l="1"/>
  <c r="K25"/>
  <c r="N25" l="1"/>
  <c r="O25" s="1"/>
  <c r="S25"/>
  <c r="L25"/>
  <c r="M25"/>
  <c r="F26"/>
  <c r="I26"/>
  <c r="J26" l="1"/>
  <c r="P25"/>
  <c r="Q25" s="1"/>
  <c r="R25" s="1"/>
  <c r="H25" s="1"/>
  <c r="D26"/>
  <c r="G26" s="1"/>
  <c r="E27" l="1"/>
  <c r="K26"/>
  <c r="F27" l="1"/>
  <c r="I27"/>
  <c r="S26"/>
  <c r="N26"/>
  <c r="O26" s="1"/>
  <c r="L26"/>
  <c r="M26"/>
  <c r="J27" l="1"/>
  <c r="P26"/>
  <c r="Q26" s="1"/>
  <c r="R26" s="1"/>
  <c r="H26" s="1"/>
  <c r="D27"/>
  <c r="G27" s="1"/>
  <c r="E28" l="1"/>
  <c r="K27"/>
  <c r="F28" l="1"/>
  <c r="I28"/>
  <c r="N27"/>
  <c r="O27" s="1"/>
  <c r="S27"/>
  <c r="L27"/>
  <c r="M27"/>
  <c r="J28" l="1"/>
  <c r="P27"/>
  <c r="Q27" s="1"/>
  <c r="R27" s="1"/>
  <c r="H27" s="1"/>
  <c r="D28"/>
  <c r="G28" s="1"/>
  <c r="E29" l="1"/>
  <c r="K28"/>
  <c r="N28" l="1"/>
  <c r="O28" s="1"/>
  <c r="S28"/>
  <c r="L28"/>
  <c r="M28"/>
  <c r="F29"/>
  <c r="I29"/>
  <c r="J29" l="1"/>
  <c r="P28"/>
  <c r="Q28" s="1"/>
  <c r="R28" s="1"/>
  <c r="H28" s="1"/>
  <c r="D29"/>
  <c r="G29" s="1"/>
  <c r="E30" l="1"/>
  <c r="K29"/>
  <c r="N29" l="1"/>
  <c r="O29" s="1"/>
  <c r="S29"/>
  <c r="L29"/>
  <c r="M29"/>
  <c r="F30"/>
  <c r="I30"/>
  <c r="J30" l="1"/>
  <c r="P29"/>
  <c r="Q29" s="1"/>
  <c r="R29" s="1"/>
  <c r="H29" s="1"/>
  <c r="D30"/>
  <c r="G30" s="1"/>
  <c r="E31" l="1"/>
  <c r="K30"/>
  <c r="S30" l="1"/>
  <c r="N30"/>
  <c r="O30" s="1"/>
  <c r="L30"/>
  <c r="M30"/>
  <c r="F31"/>
  <c r="I31"/>
  <c r="J31" l="1"/>
  <c r="P30"/>
  <c r="Q30" s="1"/>
  <c r="R30" s="1"/>
  <c r="H30" s="1"/>
  <c r="D31"/>
  <c r="G31" s="1"/>
  <c r="E32" l="1"/>
  <c r="K31"/>
  <c r="F32" l="1"/>
  <c r="I32"/>
  <c r="N31"/>
  <c r="O31" s="1"/>
  <c r="S31"/>
  <c r="L31"/>
  <c r="M31"/>
  <c r="J32" l="1"/>
  <c r="P31"/>
  <c r="Q31" s="1"/>
  <c r="R31" s="1"/>
  <c r="H31" s="1"/>
  <c r="D32"/>
  <c r="G32" s="1"/>
  <c r="E33" l="1"/>
  <c r="K32"/>
  <c r="F33" l="1"/>
  <c r="I33"/>
  <c r="N32"/>
  <c r="O32" s="1"/>
  <c r="S32"/>
  <c r="L32"/>
  <c r="M32"/>
  <c r="J33" l="1"/>
  <c r="P32"/>
  <c r="Q32" s="1"/>
  <c r="R32" s="1"/>
  <c r="H32" s="1"/>
  <c r="D33"/>
  <c r="G33" s="1"/>
  <c r="E34" l="1"/>
  <c r="K33"/>
  <c r="N33" l="1"/>
  <c r="O33" s="1"/>
  <c r="S33"/>
  <c r="L33"/>
  <c r="M33"/>
  <c r="F34"/>
  <c r="I34"/>
  <c r="J34" l="1"/>
  <c r="P33"/>
  <c r="Q33" s="1"/>
  <c r="R33" s="1"/>
  <c r="H33" s="1"/>
  <c r="D34"/>
  <c r="G34" s="1"/>
  <c r="E35" l="1"/>
  <c r="K34"/>
  <c r="N34" l="1"/>
  <c r="O34" s="1"/>
  <c r="S34"/>
  <c r="L34"/>
  <c r="M34"/>
  <c r="F35"/>
  <c r="I35"/>
  <c r="J35" l="1"/>
  <c r="P34"/>
  <c r="Q34" s="1"/>
  <c r="R34" s="1"/>
  <c r="H34" s="1"/>
  <c r="D35"/>
  <c r="G35" s="1"/>
  <c r="E36" l="1"/>
  <c r="K35"/>
  <c r="N35" l="1"/>
  <c r="O35" s="1"/>
  <c r="S35"/>
  <c r="L35"/>
  <c r="M35"/>
  <c r="F36"/>
  <c r="I36"/>
  <c r="J36" l="1"/>
  <c r="P35"/>
  <c r="Q35" s="1"/>
  <c r="R35" s="1"/>
  <c r="H35" s="1"/>
  <c r="D36"/>
  <c r="G36" s="1"/>
  <c r="E37" l="1"/>
  <c r="K36"/>
  <c r="N36" l="1"/>
  <c r="O36" s="1"/>
  <c r="S36"/>
  <c r="L36"/>
  <c r="M36"/>
  <c r="F37"/>
  <c r="I37"/>
  <c r="J37" l="1"/>
  <c r="P36"/>
  <c r="Q36" s="1"/>
  <c r="R36" s="1"/>
  <c r="H36" s="1"/>
  <c r="D37"/>
  <c r="G37" s="1"/>
  <c r="E38" l="1"/>
  <c r="K37"/>
  <c r="N37" l="1"/>
  <c r="O37" s="1"/>
  <c r="S37"/>
  <c r="L37"/>
  <c r="M37"/>
  <c r="F38"/>
  <c r="I38"/>
  <c r="J38" l="1"/>
  <c r="P37"/>
  <c r="Q37" s="1"/>
  <c r="R37" s="1"/>
  <c r="H37" s="1"/>
  <c r="D38"/>
  <c r="G38" s="1"/>
  <c r="E39" l="1"/>
  <c r="K38"/>
  <c r="N38" l="1"/>
  <c r="O38" s="1"/>
  <c r="S38"/>
  <c r="L38"/>
  <c r="M38"/>
  <c r="F39"/>
  <c r="I39"/>
  <c r="J39" l="1"/>
  <c r="P38"/>
  <c r="Q38" s="1"/>
  <c r="R38" s="1"/>
  <c r="H38" s="1"/>
  <c r="D39"/>
  <c r="G39" s="1"/>
  <c r="E40" l="1"/>
  <c r="K39"/>
  <c r="N39" l="1"/>
  <c r="O39" s="1"/>
  <c r="S39"/>
  <c r="L39"/>
  <c r="M39"/>
  <c r="F40"/>
  <c r="I40"/>
  <c r="J40" l="1"/>
  <c r="P39"/>
  <c r="Q39" s="1"/>
  <c r="R39" s="1"/>
  <c r="H39" s="1"/>
  <c r="D40"/>
  <c r="G40" s="1"/>
  <c r="E41" l="1"/>
  <c r="K40"/>
  <c r="N40" l="1"/>
  <c r="O40" s="1"/>
  <c r="S40"/>
  <c r="L40"/>
  <c r="M40"/>
  <c r="F41"/>
  <c r="I41"/>
  <c r="J41" l="1"/>
  <c r="P40"/>
  <c r="Q40" s="1"/>
  <c r="R40" s="1"/>
  <c r="H40" s="1"/>
  <c r="D41"/>
  <c r="G41" s="1"/>
  <c r="E42" l="1"/>
  <c r="K41"/>
  <c r="S41" l="1"/>
  <c r="N41"/>
  <c r="O41" s="1"/>
  <c r="L41"/>
  <c r="M41"/>
  <c r="F42"/>
  <c r="I42"/>
  <c r="J42" l="1"/>
  <c r="D42"/>
  <c r="G42" s="1"/>
  <c r="P41"/>
  <c r="Q41" s="1"/>
  <c r="R41" s="1"/>
  <c r="H41" s="1"/>
  <c r="E43" l="1"/>
  <c r="K42"/>
  <c r="S42" l="1"/>
  <c r="N42"/>
  <c r="O42" s="1"/>
  <c r="L42"/>
  <c r="M42"/>
  <c r="F43"/>
  <c r="I43"/>
  <c r="J43" l="1"/>
  <c r="P42"/>
  <c r="Q42" s="1"/>
  <c r="R42" s="1"/>
  <c r="H42" s="1"/>
  <c r="D43"/>
  <c r="G43" s="1"/>
  <c r="E44" l="1"/>
  <c r="K43"/>
  <c r="S43" l="1"/>
  <c r="N43"/>
  <c r="O43" s="1"/>
  <c r="L43"/>
  <c r="M43"/>
  <c r="F44"/>
  <c r="I44"/>
  <c r="J44" l="1"/>
  <c r="D44"/>
  <c r="G44" s="1"/>
  <c r="P43"/>
  <c r="Q43" s="1"/>
  <c r="R43" s="1"/>
  <c r="H43" s="1"/>
  <c r="E45" l="1"/>
  <c r="K44"/>
  <c r="F45" l="1"/>
  <c r="I45"/>
  <c r="N44"/>
  <c r="O44" s="1"/>
  <c r="S44"/>
  <c r="L44"/>
  <c r="M44"/>
  <c r="J45" l="1"/>
  <c r="D45"/>
  <c r="G45" s="1"/>
  <c r="P44"/>
  <c r="Q44" s="1"/>
  <c r="R44" s="1"/>
  <c r="H44" s="1"/>
  <c r="K45" l="1"/>
  <c r="E46"/>
  <c r="F46" l="1"/>
  <c r="I46"/>
  <c r="S45"/>
  <c r="N45"/>
  <c r="O45" s="1"/>
  <c r="L45"/>
  <c r="M45"/>
  <c r="J46" l="1"/>
  <c r="P45"/>
  <c r="Q45" s="1"/>
  <c r="R45" s="1"/>
  <c r="H45" s="1"/>
  <c r="D46"/>
  <c r="G46" s="1"/>
  <c r="E47" l="1"/>
  <c r="K46"/>
  <c r="F47" l="1"/>
  <c r="I47"/>
  <c r="S46"/>
  <c r="N46"/>
  <c r="O46" s="1"/>
  <c r="L46"/>
  <c r="M46"/>
  <c r="J47" l="1"/>
  <c r="D47"/>
  <c r="G47" s="1"/>
  <c r="P46"/>
  <c r="Q46" s="1"/>
  <c r="R46" s="1"/>
  <c r="H46" s="1"/>
  <c r="E48" l="1"/>
  <c r="K47"/>
  <c r="N47" l="1"/>
  <c r="O47" s="1"/>
  <c r="S47"/>
  <c r="L47"/>
  <c r="M47"/>
  <c r="F48"/>
  <c r="I48"/>
  <c r="J48" l="1"/>
  <c r="P47"/>
  <c r="Q47" s="1"/>
  <c r="R47" s="1"/>
  <c r="H47" s="1"/>
  <c r="D48"/>
  <c r="G48" s="1"/>
  <c r="E49" l="1"/>
  <c r="K48"/>
  <c r="N48" l="1"/>
  <c r="O48" s="1"/>
  <c r="S48"/>
  <c r="L48"/>
  <c r="M48"/>
  <c r="F49"/>
  <c r="W12"/>
  <c r="I49"/>
  <c r="J49" s="1"/>
  <c r="P48" l="1"/>
  <c r="Q48" s="1"/>
  <c r="R48" s="1"/>
  <c r="H48" s="1"/>
  <c r="D49"/>
  <c r="G49" s="1"/>
  <c r="K49" s="1"/>
  <c r="N49" l="1"/>
  <c r="O49" s="1"/>
  <c r="P49" s="1"/>
  <c r="W11"/>
  <c r="L49"/>
  <c r="M49"/>
  <c r="W10" s="1"/>
  <c r="Q49" l="1"/>
  <c r="R49" s="1"/>
  <c r="S49"/>
  <c r="W9" s="1"/>
  <c r="H49" l="1"/>
  <c r="W14"/>
  <c r="W15" s="1"/>
</calcChain>
</file>

<file path=xl/sharedStrings.xml><?xml version="1.0" encoding="utf-8"?>
<sst xmlns="http://schemas.openxmlformats.org/spreadsheetml/2006/main" count="2065" uniqueCount="1625">
  <si>
    <t>代码</t>
  </si>
  <si>
    <t>名称</t>
  </si>
  <si>
    <t>当前价</t>
  </si>
  <si>
    <t>涨跌幅</t>
  </si>
  <si>
    <t>振幅</t>
  </si>
  <si>
    <t>最高价</t>
  </si>
  <si>
    <t>最低价</t>
  </si>
  <si>
    <t>成交金额</t>
  </si>
  <si>
    <t>更新时间</t>
  </si>
  <si>
    <t>累计净值</t>
  </si>
  <si>
    <t>上日净值</t>
  </si>
  <si>
    <t>净值日期</t>
  </si>
  <si>
    <t>净值</t>
    <phoneticPr fontId="18" type="noConversion"/>
  </si>
  <si>
    <t>sh000016</t>
  </si>
  <si>
    <t>sh000300</t>
  </si>
  <si>
    <t>sh000663</t>
    <phoneticPr fontId="18" type="noConversion"/>
  </si>
  <si>
    <t>代码</t>
    <phoneticPr fontId="18" type="noConversion"/>
  </si>
  <si>
    <t>代码</t>
    <phoneticPr fontId="18" type="noConversion"/>
  </si>
  <si>
    <t>净值</t>
    <phoneticPr fontId="18" type="noConversion"/>
  </si>
  <si>
    <t>涨幅</t>
    <phoneticPr fontId="18" type="noConversion"/>
  </si>
  <si>
    <t>日期</t>
    <phoneticPr fontId="18" type="noConversion"/>
  </si>
  <si>
    <t>价格</t>
    <phoneticPr fontId="18" type="noConversion"/>
  </si>
  <si>
    <t>成交金额</t>
    <phoneticPr fontId="18" type="noConversion"/>
  </si>
  <si>
    <t>买一</t>
    <phoneticPr fontId="18" type="noConversion"/>
  </si>
  <si>
    <t>卖一</t>
    <phoneticPr fontId="18" type="noConversion"/>
  </si>
  <si>
    <t>开盘</t>
    <phoneticPr fontId="18" type="noConversion"/>
  </si>
  <si>
    <t>价格</t>
    <phoneticPr fontId="18" type="noConversion"/>
  </si>
  <si>
    <t>涨幅</t>
    <phoneticPr fontId="18" type="noConversion"/>
  </si>
  <si>
    <t>sz000651</t>
  </si>
  <si>
    <t>sz000963</t>
  </si>
  <si>
    <t>sz002271</t>
  </si>
  <si>
    <t>sz002415</t>
  </si>
  <si>
    <t>sz002450</t>
  </si>
  <si>
    <t>sz002508</t>
  </si>
  <si>
    <t>sz002562</t>
  </si>
  <si>
    <t>sz002601</t>
  </si>
  <si>
    <t>sz300115</t>
  </si>
  <si>
    <t>sh600340</t>
  </si>
  <si>
    <t>sh600816</t>
  </si>
  <si>
    <t>sh601166</t>
  </si>
  <si>
    <t>sh600741</t>
  </si>
  <si>
    <t>sh600028</t>
  </si>
  <si>
    <t>sh601328</t>
  </si>
  <si>
    <t>sh600104</t>
  </si>
  <si>
    <t>日期</t>
    <phoneticPr fontId="18" type="noConversion"/>
  </si>
  <si>
    <t>项目</t>
    <phoneticPr fontId="18" type="noConversion"/>
  </si>
  <si>
    <t>日期</t>
    <phoneticPr fontId="18" type="noConversion"/>
  </si>
  <si>
    <t>每天涨幅</t>
    <phoneticPr fontId="18" type="noConversion"/>
  </si>
  <si>
    <t>年度</t>
    <phoneticPr fontId="18" type="noConversion"/>
  </si>
  <si>
    <t>今天</t>
    <phoneticPr fontId="18" type="noConversion"/>
  </si>
  <si>
    <t>上周末</t>
    <phoneticPr fontId="18" type="noConversion"/>
  </si>
  <si>
    <t>周</t>
    <phoneticPr fontId="18" type="noConversion"/>
  </si>
  <si>
    <t>上月末</t>
    <phoneticPr fontId="18" type="noConversion"/>
  </si>
  <si>
    <t>日</t>
    <phoneticPr fontId="18" type="noConversion"/>
  </si>
  <si>
    <t>实际累计投入金额</t>
    <phoneticPr fontId="67" type="noConversion"/>
  </si>
  <si>
    <t>累计价值</t>
    <phoneticPr fontId="67" type="noConversion"/>
  </si>
  <si>
    <t>项目</t>
    <phoneticPr fontId="67" type="noConversion"/>
  </si>
  <si>
    <t>sh519983</t>
    <phoneticPr fontId="18" type="noConversion"/>
  </si>
  <si>
    <t>sh519697</t>
    <phoneticPr fontId="18" type="noConversion"/>
  </si>
  <si>
    <t>sh000001</t>
    <phoneticPr fontId="18" type="noConversion"/>
  </si>
  <si>
    <t>sh124977</t>
    <phoneticPr fontId="18" type="noConversion"/>
  </si>
  <si>
    <t>sh600566</t>
  </si>
  <si>
    <t>sh603868</t>
  </si>
  <si>
    <t>sh603228</t>
  </si>
  <si>
    <t>sh513050</t>
    <phoneticPr fontId="18" type="noConversion"/>
  </si>
  <si>
    <t>sz399006</t>
    <phoneticPr fontId="18" type="noConversion"/>
  </si>
  <si>
    <t>sh000905</t>
    <phoneticPr fontId="18" type="noConversion"/>
  </si>
  <si>
    <t>上年末</t>
    <phoneticPr fontId="18" type="noConversion"/>
  </si>
  <si>
    <t>sz002027</t>
  </si>
  <si>
    <t>sz002032</t>
  </si>
  <si>
    <t>sz002078</t>
  </si>
  <si>
    <t>sh600660</t>
  </si>
  <si>
    <t>sh601988</t>
    <phoneticPr fontId="18" type="noConversion"/>
  </si>
  <si>
    <t>sh320006</t>
    <phoneticPr fontId="18" type="noConversion"/>
  </si>
  <si>
    <t>sh166005</t>
    <phoneticPr fontId="18" type="noConversion"/>
  </si>
  <si>
    <t>sh600016</t>
    <phoneticPr fontId="18" type="noConversion"/>
  </si>
  <si>
    <t>sz000036</t>
  </si>
  <si>
    <t>sz000055</t>
  </si>
  <si>
    <t>sz000528</t>
  </si>
  <si>
    <t>sz000937</t>
  </si>
  <si>
    <t>sz000959</t>
  </si>
  <si>
    <t>sh600309</t>
  </si>
  <si>
    <t>sh600325</t>
  </si>
  <si>
    <t>sh600801</t>
  </si>
  <si>
    <t>sz002092</t>
    <phoneticPr fontId="18" type="noConversion"/>
  </si>
  <si>
    <t>sh601857</t>
    <phoneticPr fontId="18" type="noConversion"/>
  </si>
  <si>
    <t>sz000488</t>
    <phoneticPr fontId="18" type="noConversion"/>
  </si>
  <si>
    <t>sh600966</t>
    <phoneticPr fontId="18" type="noConversion"/>
  </si>
  <si>
    <t>sh600641</t>
    <phoneticPr fontId="18" type="noConversion"/>
  </si>
  <si>
    <t>sz002529</t>
    <phoneticPr fontId="18" type="noConversion"/>
  </si>
  <si>
    <t>sh501015</t>
    <phoneticPr fontId="18" type="noConversion"/>
  </si>
  <si>
    <t>sh601225</t>
  </si>
  <si>
    <t>sh601009</t>
  </si>
  <si>
    <t>sh600048</t>
  </si>
  <si>
    <t>sz000877</t>
  </si>
  <si>
    <t>sz000960</t>
  </si>
  <si>
    <t>sz002068</t>
    <phoneticPr fontId="18" type="noConversion"/>
  </si>
  <si>
    <t>月数</t>
    <phoneticPr fontId="67" type="noConversion"/>
  </si>
  <si>
    <t>月实际投入金额</t>
    <phoneticPr fontId="67" type="noConversion"/>
  </si>
  <si>
    <t>月份</t>
    <phoneticPr fontId="67" type="noConversion"/>
  </si>
  <si>
    <t>收盘</t>
    <phoneticPr fontId="67" type="noConversion"/>
  </si>
  <si>
    <t>分红</t>
    <phoneticPr fontId="67" type="noConversion"/>
  </si>
  <si>
    <t>期数</t>
    <phoneticPr fontId="67" type="noConversion"/>
  </si>
  <si>
    <t>当月应投入金额</t>
    <phoneticPr fontId="67" type="noConversion"/>
  </si>
  <si>
    <t>累计份额</t>
    <phoneticPr fontId="67" type="noConversion"/>
  </si>
  <si>
    <t>每期累计盈利</t>
    <phoneticPr fontId="67" type="noConversion"/>
  </si>
  <si>
    <t>总累计盈利</t>
    <phoneticPr fontId="67" type="noConversion"/>
  </si>
  <si>
    <t>数据</t>
    <phoneticPr fontId="67" type="noConversion"/>
  </si>
  <si>
    <t>总收益率</t>
    <phoneticPr fontId="67" type="noConversion"/>
  </si>
  <si>
    <t>sh601006</t>
    <phoneticPr fontId="18" type="noConversion"/>
  </si>
  <si>
    <t>sz000011</t>
    <phoneticPr fontId="18" type="noConversion"/>
  </si>
  <si>
    <t>sz000002</t>
  </si>
  <si>
    <t>sz000333</t>
  </si>
  <si>
    <t>sz002304</t>
  </si>
  <si>
    <t>sh600019</t>
  </si>
  <si>
    <t>sh600519</t>
  </si>
  <si>
    <t>sh600887</t>
  </si>
  <si>
    <t>sh600900</t>
  </si>
  <si>
    <t>sz002268</t>
  </si>
  <si>
    <t>sz002281</t>
  </si>
  <si>
    <t>sz002463</t>
  </si>
  <si>
    <t>sh600690</t>
  </si>
  <si>
    <t>sh600867</t>
  </si>
  <si>
    <t>sh603568</t>
  </si>
  <si>
    <t>sh603939</t>
  </si>
  <si>
    <t>sh204001</t>
    <phoneticPr fontId="18" type="noConversion"/>
  </si>
  <si>
    <t>sh600298</t>
    <phoneticPr fontId="18" type="noConversion"/>
  </si>
  <si>
    <t>sh600993</t>
    <phoneticPr fontId="18" type="noConversion"/>
  </si>
  <si>
    <t>sz002572</t>
    <phoneticPr fontId="18" type="noConversion"/>
  </si>
  <si>
    <t>sh600004</t>
    <phoneticPr fontId="18" type="noConversion"/>
  </si>
  <si>
    <t>sh603338</t>
    <phoneticPr fontId="18" type="noConversion"/>
  </si>
  <si>
    <t>sz002583</t>
    <phoneticPr fontId="18" type="noConversion"/>
  </si>
  <si>
    <t>sh603515</t>
    <phoneticPr fontId="18" type="noConversion"/>
  </si>
  <si>
    <t>sh601888</t>
    <phoneticPr fontId="18" type="noConversion"/>
  </si>
  <si>
    <t>sz000001</t>
    <phoneticPr fontId="18" type="noConversion"/>
  </si>
  <si>
    <t>化工</t>
  </si>
  <si>
    <t>sz000423</t>
    <phoneticPr fontId="18" type="noConversion"/>
  </si>
  <si>
    <t>sh600406</t>
    <phoneticPr fontId="18" type="noConversion"/>
  </si>
  <si>
    <t>sh600885</t>
    <phoneticPr fontId="18" type="noConversion"/>
  </si>
  <si>
    <t>sz000895</t>
    <phoneticPr fontId="18" type="noConversion"/>
  </si>
  <si>
    <t>sh124286</t>
    <phoneticPr fontId="18" type="noConversion"/>
  </si>
  <si>
    <t>sz000538</t>
    <phoneticPr fontId="18" type="noConversion"/>
  </si>
  <si>
    <t>sz112188</t>
    <phoneticPr fontId="18" type="noConversion"/>
  </si>
  <si>
    <t>sh600036</t>
    <phoneticPr fontId="18" type="noConversion"/>
  </si>
  <si>
    <t>sh600015</t>
    <phoneticPr fontId="18" type="noConversion"/>
  </si>
  <si>
    <t>格力电器</t>
  </si>
  <si>
    <t>000651</t>
  </si>
  <si>
    <t>家用电器</t>
  </si>
  <si>
    <t>sz000513</t>
  </si>
  <si>
    <t>sz002597</t>
  </si>
  <si>
    <t>sh600383</t>
  </si>
  <si>
    <t>股票代码</t>
  </si>
  <si>
    <t>股票名</t>
  </si>
  <si>
    <t>行业分类</t>
  </si>
  <si>
    <t>二级行业</t>
  </si>
  <si>
    <t>600519</t>
  </si>
  <si>
    <t>贵州茅台</t>
  </si>
  <si>
    <t>食品饮料</t>
  </si>
  <si>
    <t>饮料制造</t>
  </si>
  <si>
    <t>白色家电</t>
  </si>
  <si>
    <t>食品加工</t>
  </si>
  <si>
    <t>化学制品</t>
  </si>
  <si>
    <t>sz002142</t>
  </si>
  <si>
    <t>sz002008</t>
  </si>
  <si>
    <t>sz002019</t>
  </si>
  <si>
    <t>sz002050</t>
  </si>
  <si>
    <t>sz002236</t>
  </si>
  <si>
    <t>sz002372</t>
  </si>
  <si>
    <t>sz300144</t>
  </si>
  <si>
    <t>sz300203</t>
  </si>
  <si>
    <t>sz300296</t>
  </si>
  <si>
    <t>sh600009</t>
  </si>
  <si>
    <t>sh600176</t>
  </si>
  <si>
    <t>sh600276</t>
  </si>
  <si>
    <t>sh600487</t>
  </si>
  <si>
    <t>sh600507</t>
  </si>
  <si>
    <t>sh601012</t>
  </si>
  <si>
    <t>sh601678</t>
  </si>
  <si>
    <t>月度</t>
    <phoneticPr fontId="18" type="noConversion"/>
  </si>
  <si>
    <t>平均</t>
    <phoneticPr fontId="18" type="noConversion"/>
  </si>
  <si>
    <t>sz002294</t>
  </si>
  <si>
    <t>sh600398</t>
  </si>
  <si>
    <t>sh603288</t>
  </si>
  <si>
    <t>详细说明见：https://xueqiu.com/6146592061/104818910</t>
    <phoneticPr fontId="18" type="noConversion"/>
  </si>
  <si>
    <t>每天涨幅</t>
    <phoneticPr fontId="18" type="noConversion"/>
  </si>
  <si>
    <t>sh122927</t>
    <phoneticPr fontId="18" type="noConversion"/>
  </si>
  <si>
    <t>000895</t>
  </si>
  <si>
    <t>双汇发展</t>
  </si>
  <si>
    <t>sz150175</t>
    <phoneticPr fontId="18" type="noConversion"/>
  </si>
  <si>
    <t>净价</t>
    <phoneticPr fontId="18" type="noConversion"/>
  </si>
  <si>
    <t>上次付息日</t>
    <phoneticPr fontId="18" type="noConversion"/>
  </si>
  <si>
    <t>票面利息</t>
    <phoneticPr fontId="18" type="noConversion"/>
  </si>
  <si>
    <t>利息</t>
    <phoneticPr fontId="18" type="noConversion"/>
  </si>
  <si>
    <t>全价</t>
    <phoneticPr fontId="18" type="noConversion"/>
  </si>
  <si>
    <t>万华化学</t>
  </si>
  <si>
    <t>600309</t>
  </si>
  <si>
    <t>sh161725</t>
  </si>
  <si>
    <t>sh160222</t>
  </si>
  <si>
    <t>sh399011</t>
  </si>
  <si>
    <t>每期累计分红金额</t>
    <phoneticPr fontId="67" type="noConversion"/>
  </si>
  <si>
    <t>每期累计收益率</t>
    <phoneticPr fontId="67" type="noConversion"/>
  </si>
  <si>
    <t>应到累计价值</t>
    <phoneticPr fontId="67" type="noConversion"/>
  </si>
  <si>
    <t>实际每期累计投入金额</t>
    <phoneticPr fontId="67" type="noConversion"/>
  </si>
  <si>
    <t>定投份额</t>
    <phoneticPr fontId="67" type="noConversion"/>
  </si>
  <si>
    <t>现金流</t>
    <phoneticPr fontId="67" type="noConversion"/>
  </si>
  <si>
    <t>定投金额</t>
    <phoneticPr fontId="67" type="noConversion"/>
  </si>
  <si>
    <t>年通胀率</t>
    <phoneticPr fontId="67" type="noConversion"/>
  </si>
  <si>
    <t>定投上限</t>
    <phoneticPr fontId="67" type="noConversion"/>
  </si>
  <si>
    <t>定投下限</t>
    <phoneticPr fontId="67" type="noConversion"/>
  </si>
  <si>
    <t>清仓阈值</t>
    <phoneticPr fontId="67" type="noConversion"/>
  </si>
  <si>
    <t>年化收益率</t>
    <phoneticPr fontId="67" type="noConversion"/>
  </si>
  <si>
    <t>累计最大投入</t>
    <phoneticPr fontId="67" type="noConversion"/>
  </si>
  <si>
    <t>月最大投入</t>
    <phoneticPr fontId="67" type="noConversion"/>
  </si>
  <si>
    <t>累计期数</t>
    <phoneticPr fontId="67" type="noConversion"/>
  </si>
  <si>
    <t>累计次数</t>
    <phoneticPr fontId="67" type="noConversion"/>
  </si>
  <si>
    <t>累计盈利</t>
    <phoneticPr fontId="67" type="noConversion"/>
  </si>
  <si>
    <t>总收益率</t>
    <phoneticPr fontId="67" type="noConversion"/>
  </si>
  <si>
    <t>sh122354</t>
    <phoneticPr fontId="18" type="noConversion"/>
  </si>
  <si>
    <t>平均</t>
    <phoneticPr fontId="18" type="noConversion"/>
  </si>
  <si>
    <t>长信量化先锋混合A</t>
    <phoneticPr fontId="18" type="noConversion"/>
  </si>
  <si>
    <t>财通多策略升级混合(LOF)</t>
    <phoneticPr fontId="18" type="noConversion"/>
  </si>
  <si>
    <t>中欧价值发现混合A</t>
    <phoneticPr fontId="18" type="noConversion"/>
  </si>
  <si>
    <t>上证50</t>
    <phoneticPr fontId="18" type="noConversion"/>
  </si>
  <si>
    <t>易中证海外中国互联网50(QDII-ETF)</t>
    <phoneticPr fontId="18" type="noConversion"/>
  </si>
  <si>
    <t>沪电股份</t>
    <phoneticPr fontId="18" type="noConversion"/>
  </si>
  <si>
    <t>华夏纯债债券C</t>
    <phoneticPr fontId="18" type="noConversion"/>
  </si>
  <si>
    <t>国投瑞银美丽中国混合</t>
    <phoneticPr fontId="18" type="noConversion"/>
  </si>
  <si>
    <t>诺安灵活配置混合</t>
    <phoneticPr fontId="18" type="noConversion"/>
  </si>
  <si>
    <t>中海医疗保健主题股票</t>
    <phoneticPr fontId="18" type="noConversion"/>
  </si>
  <si>
    <t>恒中企A</t>
    <phoneticPr fontId="18" type="noConversion"/>
  </si>
  <si>
    <t>伊利股份</t>
    <phoneticPr fontId="18" type="noConversion"/>
  </si>
  <si>
    <t>非银金融</t>
  </si>
  <si>
    <t>建筑材料</t>
  </si>
  <si>
    <t>保险</t>
  </si>
  <si>
    <t>海螺水泥</t>
    <phoneticPr fontId="18" type="noConversion"/>
  </si>
  <si>
    <t>博汇纸业</t>
    <phoneticPr fontId="18" type="noConversion"/>
  </si>
  <si>
    <t>600036</t>
    <phoneticPr fontId="18" type="noConversion"/>
  </si>
  <si>
    <t>招商银行</t>
    <phoneticPr fontId="18" type="noConversion"/>
  </si>
  <si>
    <t>银行</t>
    <phoneticPr fontId="18" type="noConversion"/>
  </si>
  <si>
    <t>中国平安</t>
    <phoneticPr fontId="18" type="noConversion"/>
  </si>
  <si>
    <t>sh601318</t>
    <phoneticPr fontId="18" type="noConversion"/>
  </si>
  <si>
    <t>601318</t>
    <phoneticPr fontId="18" type="noConversion"/>
  </si>
  <si>
    <t>长江电力</t>
    <phoneticPr fontId="18" type="noConversion"/>
  </si>
  <si>
    <t>华域汽车</t>
    <phoneticPr fontId="18" type="noConversion"/>
  </si>
  <si>
    <t>马应龙</t>
    <phoneticPr fontId="18" type="noConversion"/>
  </si>
  <si>
    <t>华联控股</t>
    <phoneticPr fontId="18" type="noConversion"/>
  </si>
  <si>
    <t>13渤租债</t>
    <phoneticPr fontId="18" type="noConversion"/>
  </si>
  <si>
    <t>交银优势行业灵活配置混合</t>
    <phoneticPr fontId="18" type="noConversion"/>
  </si>
  <si>
    <t>招商中证白酒指数分级</t>
    <phoneticPr fontId="18" type="noConversion"/>
  </si>
  <si>
    <t>国泰国证食品饮料行业指数分级</t>
    <phoneticPr fontId="18" type="noConversion"/>
  </si>
  <si>
    <t>平安银行</t>
    <phoneticPr fontId="18" type="noConversion"/>
  </si>
  <si>
    <t>美的集团</t>
    <phoneticPr fontId="18" type="noConversion"/>
  </si>
  <si>
    <t>首钢股份</t>
    <phoneticPr fontId="18" type="noConversion"/>
  </si>
  <si>
    <t>大华股份</t>
    <phoneticPr fontId="18" type="noConversion"/>
  </si>
  <si>
    <t>伟星新材</t>
    <phoneticPr fontId="18" type="noConversion"/>
  </si>
  <si>
    <t>沪深300</t>
    <phoneticPr fontId="18" type="noConversion"/>
  </si>
  <si>
    <t>中证500</t>
    <phoneticPr fontId="18" type="noConversion"/>
  </si>
  <si>
    <t>14天瑞03</t>
    <phoneticPr fontId="18" type="noConversion"/>
  </si>
  <si>
    <t>GC001</t>
    <phoneticPr fontId="18" type="noConversion"/>
  </si>
  <si>
    <t>民生银行</t>
    <phoneticPr fontId="18" type="noConversion"/>
  </si>
  <si>
    <t>贵州茅台</t>
    <phoneticPr fontId="18" type="noConversion"/>
  </si>
  <si>
    <t>上海机场</t>
    <phoneticPr fontId="18" type="noConversion"/>
  </si>
  <si>
    <t>sh110058</t>
  </si>
  <si>
    <t>sh113014</t>
  </si>
  <si>
    <t>sh113016</t>
  </si>
  <si>
    <t>sh113502</t>
  </si>
  <si>
    <t>sh113527</t>
  </si>
  <si>
    <t>sz127004</t>
  </si>
  <si>
    <t>sz128012</t>
  </si>
  <si>
    <t>sz128013</t>
  </si>
  <si>
    <t>sz128015</t>
  </si>
  <si>
    <t>sz128018</t>
  </si>
  <si>
    <t>sz128023</t>
  </si>
  <si>
    <t>sz128026</t>
  </si>
  <si>
    <t>sz128032</t>
  </si>
  <si>
    <t>sz128037</t>
  </si>
  <si>
    <t>sz128062</t>
  </si>
  <si>
    <t>sz128065</t>
  </si>
  <si>
    <t>sh600585</t>
    <phoneticPr fontId="18" type="noConversion"/>
  </si>
  <si>
    <t>600585</t>
  </si>
  <si>
    <t>水泥制造</t>
  </si>
  <si>
    <t>参考仓位</t>
    <phoneticPr fontId="18" type="noConversion"/>
  </si>
  <si>
    <t>序号</t>
    <phoneticPr fontId="18" type="noConversion"/>
  </si>
  <si>
    <t>11海航02</t>
    <phoneticPr fontId="18" type="noConversion"/>
  </si>
  <si>
    <t>sh122071</t>
    <phoneticPr fontId="18" type="noConversion"/>
  </si>
  <si>
    <t>17渝信Y1</t>
    <phoneticPr fontId="18" type="noConversion"/>
  </si>
  <si>
    <t>15渤租01</t>
    <phoneticPr fontId="18" type="noConversion"/>
  </si>
  <si>
    <t>16南山01</t>
    <phoneticPr fontId="18" type="noConversion"/>
  </si>
  <si>
    <t>sh143913</t>
    <phoneticPr fontId="18" type="noConversion"/>
  </si>
  <si>
    <t>sz112279</t>
    <phoneticPr fontId="18" type="noConversion"/>
  </si>
  <si>
    <t>sh136276</t>
    <phoneticPr fontId="18" type="noConversion"/>
  </si>
  <si>
    <t>备注</t>
    <phoneticPr fontId="18" type="noConversion"/>
  </si>
  <si>
    <t>到期/回售日</t>
    <phoneticPr fontId="18" type="noConversion"/>
  </si>
  <si>
    <t>税前TYM</t>
    <phoneticPr fontId="18" type="noConversion"/>
  </si>
  <si>
    <t>税后YTM</t>
    <phoneticPr fontId="18" type="noConversion"/>
  </si>
  <si>
    <t>剩余年限</t>
    <phoneticPr fontId="18" type="noConversion"/>
  </si>
  <si>
    <t>等级</t>
    <phoneticPr fontId="18" type="noConversion"/>
  </si>
  <si>
    <t>AAA</t>
    <phoneticPr fontId="18" type="noConversion"/>
  </si>
  <si>
    <t>AAAQ债</t>
    <phoneticPr fontId="18" type="noConversion"/>
  </si>
  <si>
    <t>需要500万资产</t>
  </si>
  <si>
    <t>需要500万资产</t>
    <phoneticPr fontId="18" type="noConversion"/>
  </si>
  <si>
    <t>代 码</t>
  </si>
  <si>
    <t>转债名称</t>
  </si>
  <si>
    <t>现 价</t>
  </si>
  <si>
    <t>sh110034</t>
  </si>
  <si>
    <t>sh110038</t>
  </si>
  <si>
    <t>sh113012</t>
  </si>
  <si>
    <t>sh113514</t>
  </si>
  <si>
    <t>威帝转债</t>
    <phoneticPr fontId="18" type="noConversion"/>
  </si>
  <si>
    <t>国泰国证房地产行业指数</t>
    <phoneticPr fontId="67" type="noConversion"/>
  </si>
  <si>
    <t>华宝中证银行ETF联接A</t>
    <phoneticPr fontId="67" type="noConversion"/>
  </si>
  <si>
    <t>国泰国证食品饮料行业指数</t>
    <phoneticPr fontId="67" type="noConversion"/>
  </si>
  <si>
    <t>广发中证全指家用电器指数A</t>
    <phoneticPr fontId="67" type="noConversion"/>
  </si>
  <si>
    <t>广发中证医药卫生</t>
    <phoneticPr fontId="67" type="noConversion"/>
  </si>
  <si>
    <t>交行中证海外中国互联网指数</t>
    <phoneticPr fontId="67" type="noConversion"/>
  </si>
  <si>
    <t>国泰纳斯达克100指数</t>
    <phoneticPr fontId="67" type="noConversion"/>
  </si>
  <si>
    <t>沪深300</t>
    <phoneticPr fontId="67" type="noConversion"/>
  </si>
  <si>
    <t>中海医疗保健主题股票</t>
    <phoneticPr fontId="67" type="noConversion"/>
  </si>
  <si>
    <t>熊市回撤小，牛市不错。但基金经理有变动</t>
    <phoneticPr fontId="18" type="noConversion"/>
  </si>
  <si>
    <t>中证全指家用电器指数</t>
    <phoneticPr fontId="18" type="noConversion"/>
  </si>
  <si>
    <t>纳斯达克100</t>
    <phoneticPr fontId="18" type="noConversion"/>
  </si>
  <si>
    <t>家电头部效应显现，但竞争激烈。</t>
    <phoneticPr fontId="18" type="noConversion"/>
  </si>
  <si>
    <t>纳指头部企业赚了全世界的钱，而且是科技和消费的结合。但多年来一直没回调。</t>
    <phoneticPr fontId="18" type="noConversion"/>
  </si>
  <si>
    <t>国证房地产行业指数</t>
    <phoneticPr fontId="18" type="noConversion"/>
  </si>
  <si>
    <t>类别</t>
    <phoneticPr fontId="18" type="noConversion"/>
  </si>
  <si>
    <t>代码</t>
    <phoneticPr fontId="18" type="noConversion"/>
  </si>
  <si>
    <t>名称</t>
    <phoneticPr fontId="18" type="noConversion"/>
  </si>
  <si>
    <t>国证食品饮料行业指数</t>
    <phoneticPr fontId="18" type="noConversion"/>
  </si>
  <si>
    <t>估值低，盈利不错，但受政策影响，分级母基金</t>
    <phoneticPr fontId="18" type="noConversion"/>
  </si>
  <si>
    <t>长期稳定的高ROE，但估值有点高，分级母基金</t>
    <phoneticPr fontId="18" type="noConversion"/>
  </si>
  <si>
    <t>中证海外中国互联网指数</t>
    <phoneticPr fontId="18" type="noConversion"/>
  </si>
  <si>
    <t>优秀的中国互联网企业，但易受外围环境影响</t>
    <phoneticPr fontId="18" type="noConversion"/>
  </si>
  <si>
    <t>中证银行指数</t>
    <phoneticPr fontId="18" type="noConversion"/>
  </si>
  <si>
    <t>估值低，行业易受政策影响</t>
    <phoneticPr fontId="18" type="noConversion"/>
  </si>
  <si>
    <t>平均</t>
    <phoneticPr fontId="18" type="noConversion"/>
  </si>
  <si>
    <t>医药行业长期走牛，但受集采影响。</t>
    <phoneticPr fontId="18" type="noConversion"/>
  </si>
  <si>
    <t>全指医药</t>
    <phoneticPr fontId="18" type="noConversion"/>
  </si>
  <si>
    <t>上证50增强</t>
    <phoneticPr fontId="18" type="noConversion"/>
  </si>
  <si>
    <t>增强效果不错</t>
    <phoneticPr fontId="18" type="noConversion"/>
  </si>
  <si>
    <t>中证100增强</t>
    <phoneticPr fontId="18" type="noConversion"/>
  </si>
  <si>
    <t>跨市场头部企业增强，但估值已经不低</t>
    <phoneticPr fontId="18" type="noConversion"/>
  </si>
  <si>
    <t>沪深300增强</t>
    <phoneticPr fontId="18" type="noConversion"/>
  </si>
  <si>
    <t>最典型的300指数增强，但历史不能代表将来</t>
    <phoneticPr fontId="18" type="noConversion"/>
  </si>
  <si>
    <t>易方达上证50增强</t>
    <phoneticPr fontId="67" type="noConversion"/>
  </si>
  <si>
    <t>宝盈中证100增强A</t>
    <phoneticPr fontId="67" type="noConversion"/>
  </si>
  <si>
    <t>兴全沪深300指数A增强</t>
    <phoneticPr fontId="67" type="noConversion"/>
  </si>
  <si>
    <t>中证主要消费指数</t>
    <phoneticPr fontId="18" type="noConversion"/>
  </si>
  <si>
    <t>消费是大牛股的集中地，但估值已经不低了</t>
    <phoneticPr fontId="18" type="noConversion"/>
  </si>
  <si>
    <t>天弘中证食品饮料指数A</t>
    <phoneticPr fontId="67" type="noConversion"/>
  </si>
  <si>
    <t>汇添富中证主要消费ETF联接</t>
    <phoneticPr fontId="67" type="noConversion"/>
  </si>
  <si>
    <t>中证食品饮料指数</t>
    <phoneticPr fontId="18" type="noConversion"/>
  </si>
  <si>
    <t>食品行业高ROE，但估值偏高</t>
    <phoneticPr fontId="18" type="noConversion"/>
  </si>
  <si>
    <t>中证白酒指数</t>
    <phoneticPr fontId="18" type="noConversion"/>
  </si>
  <si>
    <t>白酒稳定的高ROE，但估值有点高</t>
    <phoneticPr fontId="18" type="noConversion"/>
  </si>
  <si>
    <t>中证锐联基本面50指数</t>
    <phoneticPr fontId="18" type="noConversion"/>
  </si>
  <si>
    <t>历史数据优秀，但19年不佳</t>
    <phoneticPr fontId="18" type="noConversion"/>
  </si>
  <si>
    <t>央视财经50指数</t>
    <phoneticPr fontId="18" type="noConversion"/>
  </si>
  <si>
    <t>历史数据优秀，但主观性比较强</t>
    <phoneticPr fontId="18" type="noConversion"/>
  </si>
  <si>
    <t>招商中证白酒指数分级</t>
    <phoneticPr fontId="67" type="noConversion"/>
  </si>
  <si>
    <t>招商央视财经50指数A</t>
    <phoneticPr fontId="67" type="noConversion"/>
  </si>
  <si>
    <t>嘉实基本面50指数</t>
    <phoneticPr fontId="67" type="noConversion"/>
  </si>
  <si>
    <t>申万棱信沪深300价值指数A</t>
    <phoneticPr fontId="67" type="noConversion"/>
  </si>
  <si>
    <t>沪深300价值指数</t>
    <phoneticPr fontId="18" type="noConversion"/>
  </si>
  <si>
    <t>工银深证深证红利ETF联接A</t>
    <phoneticPr fontId="67" type="noConversion"/>
  </si>
  <si>
    <t>深证红利指数</t>
    <phoneticPr fontId="18" type="noConversion"/>
  </si>
  <si>
    <t>历史数据优秀，但只有深证市场</t>
    <phoneticPr fontId="18" type="noConversion"/>
  </si>
  <si>
    <t>股票</t>
    <phoneticPr fontId="18" type="noConversion"/>
  </si>
  <si>
    <t>历史数据优秀，周应波管理4年多没换人。担心将来换人后业绩变脸</t>
    <phoneticPr fontId="18" type="noConversion"/>
  </si>
  <si>
    <t>中欧时代先锋股票A</t>
    <phoneticPr fontId="67" type="noConversion"/>
  </si>
  <si>
    <t>交银优势行业</t>
    <phoneticPr fontId="18" type="noConversion"/>
  </si>
  <si>
    <t xml:space="preserve">股票 </t>
    <phoneticPr fontId="18" type="noConversion"/>
  </si>
  <si>
    <t>历史数据优秀，但担心换人</t>
    <phoneticPr fontId="18" type="noConversion"/>
  </si>
  <si>
    <t>兴全可转债混合</t>
    <phoneticPr fontId="67" type="noConversion"/>
  </si>
  <si>
    <t>可转债</t>
    <phoneticPr fontId="18" type="noConversion"/>
  </si>
  <si>
    <t>历史数据优秀，但年初换了经理后有待考察</t>
    <phoneticPr fontId="18" type="noConversion"/>
  </si>
  <si>
    <t>债券</t>
    <phoneticPr fontId="18" type="noConversion"/>
  </si>
  <si>
    <t>招商产业债券A</t>
    <phoneticPr fontId="67" type="noConversion"/>
  </si>
  <si>
    <t>历史数据优秀，</t>
    <phoneticPr fontId="18" type="noConversion"/>
  </si>
  <si>
    <t>广发纳斯达克100指数A</t>
    <phoneticPr fontId="67" type="noConversion"/>
  </si>
  <si>
    <t>易方达H股ETF联接</t>
    <phoneticPr fontId="18" type="noConversion"/>
  </si>
  <si>
    <t>恒生中国企业指数</t>
    <phoneticPr fontId="18" type="noConversion"/>
  </si>
  <si>
    <t>估值全球最低，但估值回归之路漫长</t>
    <phoneticPr fontId="18" type="noConversion"/>
  </si>
  <si>
    <t>医药股票型</t>
    <phoneticPr fontId="18" type="noConversion"/>
  </si>
  <si>
    <t>备注</t>
    <phoneticPr fontId="18" type="noConversion"/>
  </si>
  <si>
    <t>备选</t>
    <phoneticPr fontId="18" type="noConversion"/>
  </si>
  <si>
    <t>备注</t>
    <phoneticPr fontId="18" type="noConversion"/>
  </si>
  <si>
    <t>白电龙头</t>
    <phoneticPr fontId="18" type="noConversion"/>
  </si>
  <si>
    <t>个人银行龙头</t>
    <phoneticPr fontId="18" type="noConversion"/>
  </si>
  <si>
    <t>白酒龙头</t>
    <phoneticPr fontId="18" type="noConversion"/>
  </si>
  <si>
    <t>保险龙头</t>
    <phoneticPr fontId="18" type="noConversion"/>
  </si>
  <si>
    <t>猪肉龙头</t>
    <phoneticPr fontId="18" type="noConversion"/>
  </si>
  <si>
    <t>MDI龙头</t>
    <phoneticPr fontId="18" type="noConversion"/>
  </si>
  <si>
    <t>水泥龙头</t>
    <phoneticPr fontId="18" type="noConversion"/>
  </si>
  <si>
    <t>南方中证房地产ETF</t>
  </si>
  <si>
    <t>南方中证银行ETF</t>
  </si>
  <si>
    <t>汇添富消费ETF</t>
    <phoneticPr fontId="67" type="noConversion"/>
  </si>
  <si>
    <t>易方达沪深300医药ETF</t>
  </si>
  <si>
    <t>交银中证海外中国互联网指数</t>
  </si>
  <si>
    <t>国泰纳斯达克100ETF</t>
  </si>
  <si>
    <t>业绩好，行业有重估可能。但受政策影响大，ETF规模偏小</t>
    <phoneticPr fontId="18" type="noConversion"/>
  </si>
  <si>
    <t>中证全指房地产指数</t>
    <phoneticPr fontId="18" type="noConversion"/>
  </si>
  <si>
    <t>中证银行指数</t>
    <phoneticPr fontId="18" type="noConversion"/>
  </si>
  <si>
    <t>中证主要消费指数</t>
    <phoneticPr fontId="18" type="noConversion"/>
  </si>
  <si>
    <t>沪深300医药卫生指数</t>
    <phoneticPr fontId="18" type="noConversion"/>
  </si>
  <si>
    <t>业绩稳定，估值低，但重估较难</t>
    <phoneticPr fontId="18" type="noConversion"/>
  </si>
  <si>
    <t>大消费行业是一直出牛股的行业，估值偏高</t>
    <phoneticPr fontId="18" type="noConversion"/>
  </si>
  <si>
    <t>随着人口老年化，医药行业发展稳定，但集采后会有影响。</t>
    <phoneticPr fontId="18" type="noConversion"/>
  </si>
  <si>
    <t>中证海外中国互联网指数</t>
    <phoneticPr fontId="18" type="noConversion"/>
  </si>
  <si>
    <t>中国最好的互联网企业的指数，因为在海外上市，估值受国外影响大</t>
    <phoneticPr fontId="18" type="noConversion"/>
  </si>
  <si>
    <t>纳斯达克100指数</t>
    <phoneticPr fontId="18" type="noConversion"/>
  </si>
  <si>
    <t>易方达恒生国企ETF</t>
    <phoneticPr fontId="18" type="noConversion"/>
  </si>
  <si>
    <t>恒生中国企业指数</t>
    <phoneticPr fontId="18" type="noConversion"/>
  </si>
  <si>
    <t>估值全球最低，但估值回归之路漫长</t>
  </si>
  <si>
    <t>易方达中概互联50ETF</t>
    <phoneticPr fontId="18" type="noConversion"/>
  </si>
  <si>
    <t>中证海外中国互联网50人民币指数</t>
    <phoneticPr fontId="18" type="noConversion"/>
  </si>
  <si>
    <t>优秀的中国互联网企业，但易受外围环境影响</t>
  </si>
  <si>
    <t>华夏上证50ETF</t>
    <phoneticPr fontId="18" type="noConversion"/>
  </si>
  <si>
    <t>上证50</t>
    <phoneticPr fontId="18" type="noConversion"/>
  </si>
  <si>
    <t>50个最大的头部企业，但只有沪市</t>
    <phoneticPr fontId="18" type="noConversion"/>
  </si>
  <si>
    <t>华泰柏瑞沪深300ETF</t>
    <phoneticPr fontId="18" type="noConversion"/>
  </si>
  <si>
    <t>沪深300</t>
    <phoneticPr fontId="18" type="noConversion"/>
  </si>
  <si>
    <t>中国最主流的企业，19年涨幅过大</t>
    <phoneticPr fontId="18" type="noConversion"/>
  </si>
  <si>
    <t>华宝中证科技龙头ETF</t>
    <phoneticPr fontId="18" type="noConversion"/>
  </si>
  <si>
    <t>中证科技龙头指数</t>
    <phoneticPr fontId="18" type="noConversion"/>
  </si>
  <si>
    <t>国泰CES半导体ETF</t>
    <phoneticPr fontId="18" type="noConversion"/>
  </si>
  <si>
    <t>中华交易服务半导体行业人民币指数</t>
    <phoneticPr fontId="18" type="noConversion"/>
  </si>
  <si>
    <t>囊括中国科技企业龙头，但估值偏高</t>
    <phoneticPr fontId="18" type="noConversion"/>
  </si>
  <si>
    <t>囊括中国半导体行业龙头，但估值偏高</t>
    <phoneticPr fontId="18" type="noConversion"/>
  </si>
  <si>
    <t>兴全合宜混合A</t>
    <phoneticPr fontId="18" type="noConversion"/>
  </si>
  <si>
    <t>封基</t>
    <phoneticPr fontId="18" type="noConversion"/>
  </si>
  <si>
    <t>1年半封基</t>
    <phoneticPr fontId="18" type="noConversion"/>
  </si>
  <si>
    <t>银华明择多策略定期开放混合</t>
    <phoneticPr fontId="18" type="noConversion"/>
  </si>
  <si>
    <t>万家科创3年封闭混合A</t>
    <phoneticPr fontId="18" type="noConversion"/>
  </si>
  <si>
    <t>3年封基</t>
    <phoneticPr fontId="18" type="noConversion"/>
  </si>
  <si>
    <t>折价1.8%，下个月23日到期</t>
    <phoneticPr fontId="18" type="noConversion"/>
  </si>
  <si>
    <t>定增封基</t>
    <phoneticPr fontId="18" type="noConversion"/>
  </si>
  <si>
    <t>隐含折价率14.31%，2021年9月26日到期，部分定增股票到期后不能全部卖出</t>
    <phoneticPr fontId="18" type="noConversion"/>
  </si>
  <si>
    <t>九泰锐益</t>
    <phoneticPr fontId="18" type="noConversion"/>
  </si>
  <si>
    <t>序号</t>
    <phoneticPr fontId="18" type="noConversion"/>
  </si>
  <si>
    <t>说明</t>
    <phoneticPr fontId="18" type="noConversion"/>
  </si>
  <si>
    <t>该榜单仅仅是一个参考，据此操作后果自负。</t>
    <phoneticPr fontId="18" type="noConversion"/>
  </si>
  <si>
    <t>股票的名单是按照历年高ROE、低估值的原则选出来的。</t>
    <phoneticPr fontId="18" type="noConversion"/>
  </si>
  <si>
    <t>目前普通投资者如果没有500万以上资产，收益率稍微高一些的只有11海航02（122071），还有1年半到期，按照保守的税后ytm计算大约10%作用，071虽然有担保，但还是有风险，买入时仔细考虑，而且很有可能在这1年半中暴跌甚至停牌</t>
    <phoneticPr fontId="18" type="noConversion"/>
  </si>
  <si>
    <t>可转债是按照剔除了到期收益率为负数的可转债，按照到期日最近的20只可转债选择出来的，是一种最保守的选择。</t>
    <phoneticPr fontId="18" type="noConversion"/>
  </si>
  <si>
    <t>场外基金主要看好消费、家电、地产、银行等行业，以及美国的赚全世界钱的纳指、香港低估恒生国企。另外中欧时代和中海医疗两只主动型基金长期稳定可以考虑。</t>
    <phoneticPr fontId="18" type="noConversion"/>
  </si>
  <si>
    <t>场内基金除了和场内基金一样看好的行业外，还看好折价的封基，毕竟多了一个安全垫。</t>
    <phoneticPr fontId="18" type="noConversion"/>
  </si>
  <si>
    <t>选择比努力更重要，守拙比取巧更重要，适合自己的就是最好的。</t>
    <phoneticPr fontId="18" type="noConversion"/>
  </si>
  <si>
    <t>日期</t>
    <phoneticPr fontId="67" type="noConversion"/>
  </si>
  <si>
    <t>今天有汽模转2可以顶格申购</t>
    <phoneticPr fontId="18" type="noConversion"/>
  </si>
  <si>
    <t>今天有开润转债、麦米转债可以顶格申购</t>
    <phoneticPr fontId="18" type="noConversion"/>
  </si>
  <si>
    <t>927准时到账，出来的资金大概率的去抢071.今天还有一个联得转债可以顶格申购。</t>
    <phoneticPr fontId="18" type="noConversion"/>
  </si>
  <si>
    <t>昨天927未到账，今天也来不及了，071估计今天大跌。不过还是坚信927只不过晚几天。</t>
    <phoneticPr fontId="18" type="noConversion"/>
  </si>
  <si>
    <t>今天可以申购日月转债、淮矿转债、永创转债。上周四申购的3只可转债，8个账号总共才中了1签，中签率之低可想而知。</t>
    <phoneticPr fontId="18" type="noConversion"/>
  </si>
  <si>
    <t>美股道指、纳指、标普三大指数继续创历史新高，今天有建工、至纯等两只可转债可以申购。</t>
    <phoneticPr fontId="18" type="noConversion"/>
  </si>
  <si>
    <t>今天有新莱转债、振德转债、森特转债三个转债申购，建议顶格申购，另外今天有个克来转债上市可以吃肉。</t>
    <phoneticPr fontId="18" type="noConversion"/>
  </si>
  <si>
    <t>大盘刚站上3000点，大校就要永远再见了，雪球上《上班真的很耽误赚钱》这样的帖子也冒出来来。</t>
    <phoneticPr fontId="18" type="noConversion"/>
  </si>
  <si>
    <t>今天可以申购国轩转债和孚日转债。另外今天开始回售15康美债（122354），具体操作为：卖出100935</t>
    <phoneticPr fontId="18" type="noConversion"/>
  </si>
  <si>
    <t>今天由四只可转债可以申购：明阳转债、木森转债、仙鹤转债、鸿达转债，全力申购。另外今天还有一个海亮转债上市可以吃肉。</t>
    <phoneticPr fontId="18" type="noConversion"/>
  </si>
  <si>
    <t>受利好影响美国三大指数齐创新高，A50拉起，A股高开无疑，关注高走还是低走。今天还可以申购两个可转债：鹰19转债和金牌转债</t>
    <phoneticPr fontId="18" type="noConversion"/>
  </si>
  <si>
    <t>今天有个新北转债可以申购，还有一个常汽转债上市。周五有鹰19转债、金牌转债可以申购，下周一一下子有仙鹤转债、木森转债、明阳转债、鸿达转债四个转债。一大波转债正在路上。</t>
    <phoneticPr fontId="18" type="noConversion"/>
  </si>
  <si>
    <t>今天有一只先导转债可以申购，另外白电转债、福特转债上市可以吃肉，特别是福特转债，会有意外惊喜。</t>
    <phoneticPr fontId="18" type="noConversion"/>
  </si>
  <si>
    <t>关注今天邮储银行上市。</t>
    <phoneticPr fontId="18" type="noConversion"/>
  </si>
  <si>
    <t>今天又有两只可转债上市，赚个小钱是没问题的</t>
    <phoneticPr fontId="18" type="noConversion"/>
  </si>
  <si>
    <t>122927突然停牌，估计个人账户兑付应该没问题，今天071很有可能大跌。</t>
    <phoneticPr fontId="18" type="noConversion"/>
  </si>
  <si>
    <t>北上资金源源不断流入，特别是格力，这几天连续不断的大资金流入</t>
    <phoneticPr fontId="18" type="noConversion"/>
  </si>
  <si>
    <t>今天可以申购一个华峰转债，A+等级，溢价1.93%</t>
    <phoneticPr fontId="18" type="noConversion"/>
  </si>
  <si>
    <t>昨天大盘总算企稳，但美股又下跌了。</t>
    <phoneticPr fontId="18" type="noConversion"/>
  </si>
  <si>
    <t>今天申购克来转债，A+等级，虽然不高，但折价了4.49%。还有一个烽火转债，AAA最高等级，虽然溢价了4.46%，但高等级天然溢价。今天上市的川投转债是一只AAA等级的债券，也看好正股的稳定性，不想卖出了。</t>
    <phoneticPr fontId="18" type="noConversion"/>
  </si>
  <si>
    <t>今天是本月最后一个交易日了</t>
    <phoneticPr fontId="18" type="noConversion"/>
  </si>
  <si>
    <t>建议放弃邮储银行申购</t>
    <phoneticPr fontId="18" type="noConversion"/>
  </si>
  <si>
    <t>昨天MSCI巨资如期涌入，部分股票尾盘因为套利产生踩踏，美股三大指标再创历史新高。</t>
    <phoneticPr fontId="18" type="noConversion"/>
  </si>
  <si>
    <t>今天有三件事情要发生：浙商银行在A股上市，阿里巴巴在港股上市，MSCI加仓</t>
    <phoneticPr fontId="18" type="noConversion"/>
  </si>
  <si>
    <t>今天上市的金力转债折价5.81%，AA-评级，最低价格估计在107元以上。</t>
    <phoneticPr fontId="18" type="noConversion"/>
  </si>
  <si>
    <t>今天有两个可转债上市交易，石英转债，AA-，目前折价率3.11%，估计最低在107元左右；索发转债，AA，目前溢价率5.12%，估计最低在103元左右。</t>
    <phoneticPr fontId="18" type="noConversion"/>
  </si>
  <si>
    <t>今天可以申购的海亮转债，AA等级，折价3.63%，如果正股价不变上市起码在115左右，顶格申购。今天上市的北方转债，AA+，溢价11.19%，最低价估计在105元；迪贝转债，A+，溢价14.74%，最低价估计在103元左右；英联转债，A+，折价1.10%，最低价估计在108元左右。</t>
    <phoneticPr fontId="18" type="noConversion"/>
  </si>
  <si>
    <t>反弹如期而至，估计调整告一段落。</t>
    <phoneticPr fontId="18" type="noConversion"/>
  </si>
  <si>
    <t>昨天大盘再次站上2900</t>
    <phoneticPr fontId="18" type="noConversion"/>
  </si>
  <si>
    <t>今天有三只可转债可以打新，建议顶格申购</t>
    <phoneticPr fontId="18" type="noConversion"/>
  </si>
  <si>
    <t>今天白电转债申购，类似的AA等级可转债至少在110元左右，全力申购，今天浦发转债上市，最低不会低于103.</t>
    <phoneticPr fontId="18" type="noConversion"/>
  </si>
  <si>
    <t>2900失而复得，今天全力申购浙商银行、利德转债</t>
    <phoneticPr fontId="18" type="noConversion"/>
  </si>
  <si>
    <t>家电版块继续领跌，有望在这两天企稳</t>
    <phoneticPr fontId="18" type="noConversion"/>
  </si>
  <si>
    <t>上证指数跌破60天均线，双十一果然打折优惠</t>
    <phoneticPr fontId="18" type="noConversion"/>
  </si>
  <si>
    <t>股票期权大扩容，进一步去散户化</t>
    <phoneticPr fontId="18" type="noConversion"/>
  </si>
  <si>
    <t>网传中美贸易战利好，今天高开无疑。</t>
    <phoneticPr fontId="18" type="noConversion"/>
  </si>
  <si>
    <t>昨天大盘调整属于正常，但即使这样北上资金依然流入了18.66亿</t>
    <phoneticPr fontId="18" type="noConversion"/>
  </si>
  <si>
    <t>北上资金还是源源不断的流入</t>
    <phoneticPr fontId="18" type="noConversion"/>
  </si>
  <si>
    <t>美股A股齐涨</t>
    <phoneticPr fontId="18" type="noConversion"/>
  </si>
  <si>
    <t>格力带领家电版块大涨，高看一线。通光转债申购</t>
    <phoneticPr fontId="18" type="noConversion"/>
  </si>
  <si>
    <t>大盘继续调整，格力出人意外的翻红，外资源源不断的买入。</t>
    <phoneticPr fontId="18" type="noConversion"/>
  </si>
  <si>
    <t>大盘再次调整，格力3季度业绩不及预期</t>
    <phoneticPr fontId="18" type="noConversion"/>
  </si>
  <si>
    <t>尾盘区块链概念股大跌，概念炒作行情越来越时间段</t>
    <phoneticPr fontId="18" type="noConversion"/>
  </si>
  <si>
    <t>标普500、纳指100、苹果、微软都创历史新高</t>
    <phoneticPr fontId="18" type="noConversion"/>
  </si>
  <si>
    <t>大领导引爆区块链概念，勿追高。今天有3个可转债打新</t>
    <phoneticPr fontId="18" type="noConversion"/>
  </si>
  <si>
    <t>墨迹行情</t>
    <phoneticPr fontId="18" type="noConversion"/>
  </si>
  <si>
    <t>市场普跌，但跌幅不会深。今天申购索发转债、北方转债</t>
    <phoneticPr fontId="18" type="noConversion"/>
  </si>
  <si>
    <t>大盘勉强翻红，科创板再创新低</t>
    <phoneticPr fontId="18" type="noConversion"/>
  </si>
  <si>
    <t>今天有两个新可转债申购：太极转债、英联转债，顶格申购。今天还有两个科创板可以申购：昊海生物、致远互联。今天还有游族转债、交建股份上市。本周17个新股打新，对投资者免不了有心理影响。</t>
    <phoneticPr fontId="18" type="noConversion"/>
  </si>
  <si>
    <t>英国与欧洲达成脱欧协议，外围利好</t>
    <phoneticPr fontId="18" type="noConversion"/>
  </si>
  <si>
    <t>3000点得而复失，估计最近一段时间还是盘整</t>
    <phoneticPr fontId="18" type="noConversion"/>
  </si>
  <si>
    <t>市场再现科技消费跷跷板，今天可以申购华夏转债</t>
    <phoneticPr fontId="18" type="noConversion"/>
  </si>
  <si>
    <t>外围平稳</t>
    <phoneticPr fontId="18" type="noConversion"/>
  </si>
  <si>
    <t>受利好影响今天高开无疑。另外今天有两个新的可转债打新。</t>
    <phoneticPr fontId="18" type="noConversion"/>
  </si>
  <si>
    <t>A股红三兵后再遇利好</t>
    <phoneticPr fontId="18" type="noConversion"/>
  </si>
  <si>
    <t>美股大涨，税收政策再出利好。</t>
    <phoneticPr fontId="18" type="noConversion"/>
  </si>
  <si>
    <t>昨晚美股又大跌，估计A股又要低开了。</t>
    <phoneticPr fontId="18" type="noConversion"/>
  </si>
  <si>
    <t>长假期间外盘微跌，估计对A股影响有限</t>
    <phoneticPr fontId="18" type="noConversion"/>
  </si>
  <si>
    <t>大盘再次走低，只有银行一枝独秀。</t>
    <phoneticPr fontId="18" type="noConversion"/>
  </si>
  <si>
    <t>补上缺口，美股又走高</t>
    <phoneticPr fontId="18" type="noConversion"/>
  </si>
  <si>
    <t>虽然反弹没站上3000点，但不会有很大调整</t>
    <phoneticPr fontId="18" type="noConversion"/>
  </si>
  <si>
    <t>调整如期而来，趋势没有破坏</t>
    <phoneticPr fontId="18" type="noConversion"/>
  </si>
  <si>
    <t>今天可以申购远东转债（申购代码072406）、游族转债（申购代码072174），目前都有不同程度的折价，全仓申购</t>
    <phoneticPr fontId="18" type="noConversion"/>
  </si>
  <si>
    <t>今天可申购桃李转债</t>
    <phoneticPr fontId="18" type="noConversion"/>
  </si>
  <si>
    <t>美联储如期降息，美股走出V字</t>
    <phoneticPr fontId="18" type="noConversion"/>
  </si>
  <si>
    <t>昨天大跌，有人觉得是降息预期落空，我觉得更多的是涨多了的正常调整</t>
    <phoneticPr fontId="18" type="noConversion"/>
  </si>
  <si>
    <t>沙特油田被袭，石油大涨。</t>
    <phoneticPr fontId="18" type="noConversion"/>
  </si>
  <si>
    <t>中秋期间消息面平稳，继续看涨</t>
    <phoneticPr fontId="18" type="noConversion"/>
  </si>
  <si>
    <t>以茅台为首的白酒大跌，应该是涨多了后的正常调整</t>
    <phoneticPr fontId="18" type="noConversion"/>
  </si>
  <si>
    <t>取消QFII和RQFII额度限制，利好不断</t>
    <phoneticPr fontId="18" type="noConversion"/>
  </si>
  <si>
    <t>科技股强势，小票强势，趋势变化</t>
    <phoneticPr fontId="18" type="noConversion"/>
  </si>
  <si>
    <t>降准、外资加仓等一系列利好，大盘继续上攻</t>
    <phoneticPr fontId="18" type="noConversion"/>
  </si>
  <si>
    <t>大盘放量上攻，可惜3000点得而复失。</t>
    <phoneticPr fontId="18" type="noConversion"/>
  </si>
  <si>
    <t>继续看好后市</t>
    <phoneticPr fontId="18" type="noConversion"/>
  </si>
  <si>
    <t>外围下跌，免不了低开。</t>
    <phoneticPr fontId="18" type="noConversion"/>
  </si>
  <si>
    <t>根据最新中报更新了A股白马股</t>
    <phoneticPr fontId="18" type="noConversion"/>
  </si>
  <si>
    <t>中报公布完毕，整体情况还不错</t>
    <phoneticPr fontId="18" type="noConversion"/>
  </si>
  <si>
    <t>外围走好，今天有望企稳</t>
    <phoneticPr fontId="18" type="noConversion"/>
  </si>
  <si>
    <t>今天可以申购的晶瑞转债，评级只有A+，而且还溢价了，虽然亏损的可能性不大，但也味同鸡肋，放弃。</t>
    <phoneticPr fontId="18" type="noConversion"/>
  </si>
  <si>
    <t>昨天尾盘MSCI配置A股,不少资金做了对手盘，今天免不了调整</t>
    <phoneticPr fontId="18" type="noConversion"/>
  </si>
  <si>
    <t>昨天虽然还是下跌了，但低开高走，下跌幅度不大，显示了A股承压能力。</t>
    <phoneticPr fontId="18" type="noConversion"/>
  </si>
  <si>
    <t>贸易战升级，低开无疑，但外资加仓不断，低开高走的概率不小</t>
  </si>
  <si>
    <t>大盘调整不多</t>
    <phoneticPr fontId="18" type="noConversion"/>
  </si>
  <si>
    <t>大盘放量大涨，继续看好后市</t>
    <phoneticPr fontId="18" type="noConversion"/>
  </si>
  <si>
    <t>利好袭来，看好后市</t>
    <phoneticPr fontId="18" type="noConversion"/>
  </si>
  <si>
    <t>昨天低开高走最后收红，说明了股市真的是一个发生故事的地方</t>
    <phoneticPr fontId="18" type="noConversion"/>
  </si>
  <si>
    <t>昨天高开低走，外围大跌，今天堪忧</t>
    <phoneticPr fontId="18" type="noConversion"/>
  </si>
  <si>
    <t>外围大涨，A50也大涨，就怕高开低走</t>
    <phoneticPr fontId="18" type="noConversion"/>
  </si>
  <si>
    <t>A股大涨，但晚上美股低走</t>
    <phoneticPr fontId="18" type="noConversion"/>
  </si>
  <si>
    <t>周末消息比较平稳，大盘下跌空间有限</t>
    <phoneticPr fontId="18" type="noConversion"/>
  </si>
  <si>
    <t>A股强烈反弹，美股高开高走，还能反弹</t>
    <phoneticPr fontId="18" type="noConversion"/>
  </si>
  <si>
    <t>昨天高开低走，继续寻底</t>
    <phoneticPr fontId="18" type="noConversion"/>
  </si>
  <si>
    <t>美股反弹，A股今天也应该企稳了</t>
    <phoneticPr fontId="18" type="noConversion"/>
  </si>
  <si>
    <t>美股暴跌，今天A股大概率跌破2800</t>
    <phoneticPr fontId="18" type="noConversion"/>
  </si>
  <si>
    <t>美股连续下跌，外围再次施压</t>
    <phoneticPr fontId="18" type="noConversion"/>
  </si>
  <si>
    <t>本来昨晚美股走的蛮好，结果特不靠谱又要加税，结果就暴跌了。</t>
    <phoneticPr fontId="18" type="noConversion"/>
  </si>
  <si>
    <t>受政策影响，以房地产板块为首开始调整</t>
    <phoneticPr fontId="18" type="noConversion"/>
  </si>
  <si>
    <t>海航债低开高走，大盘还在继续盘整中。</t>
    <phoneticPr fontId="18" type="noConversion"/>
  </si>
  <si>
    <t>大盘继续盘整中，海航有一私募债技术性违约，估计今天会影响海航公募债。</t>
    <phoneticPr fontId="18" type="noConversion"/>
  </si>
  <si>
    <t>纳指和标普500再创新高，A股有望再上一层</t>
    <phoneticPr fontId="18" type="noConversion"/>
  </si>
  <si>
    <t>上证指数红三兵，是否还会拓展进一步上涨的空间？</t>
    <phoneticPr fontId="18" type="noConversion"/>
  </si>
  <si>
    <t>纳指、标普500双双创历史新高。</t>
    <phoneticPr fontId="18" type="noConversion"/>
  </si>
  <si>
    <t>大盘反弹，不过量能还是不足。</t>
    <phoneticPr fontId="18" type="noConversion"/>
  </si>
  <si>
    <t>科创板大幅度上涨，对小票的挤出效应非常明显。</t>
    <phoneticPr fontId="18" type="noConversion"/>
  </si>
  <si>
    <t>科创板上市，免不了震荡。</t>
    <phoneticPr fontId="18" type="noConversion"/>
  </si>
  <si>
    <t>大盘继续调整中，但北上资金尾盘加速流入</t>
    <phoneticPr fontId="18" type="noConversion"/>
  </si>
  <si>
    <t>继续盘整中，波动越来越小</t>
    <phoneticPr fontId="18" type="noConversion"/>
  </si>
  <si>
    <t>白马继续调整，北上资金的风口也在变化。</t>
    <phoneticPr fontId="18" type="noConversion"/>
  </si>
  <si>
    <t>受半年经济数据影响，大盘走出深V</t>
    <phoneticPr fontId="18" type="noConversion"/>
  </si>
  <si>
    <t>科创板大规模打新一周结束，大盘应该能企稳</t>
    <phoneticPr fontId="18" type="noConversion"/>
  </si>
  <si>
    <t>昨天指数虽然收红，但高开低走还是预示着人心不稳</t>
    <phoneticPr fontId="18" type="noConversion"/>
  </si>
  <si>
    <t>美股三大指数齐创历史新高，今天看我们的了</t>
    <phoneticPr fontId="18" type="noConversion"/>
  </si>
  <si>
    <t>上证指数虽然没收红，但还是走出了一个V字</t>
    <phoneticPr fontId="18" type="noConversion"/>
  </si>
  <si>
    <t>昨天大跌，但调整不会很深的</t>
    <phoneticPr fontId="18" type="noConversion"/>
  </si>
  <si>
    <t>康得新处罚结果出来，ST股估计受影响</t>
    <phoneticPr fontId="18" type="noConversion"/>
  </si>
  <si>
    <t>大盘连续三天调整，北上资金逆流而上。</t>
    <phoneticPr fontId="18" type="noConversion"/>
  </si>
  <si>
    <t>美股道指、标普500创历史新高，纳指也只有一线之遥了</t>
    <phoneticPr fontId="18" type="noConversion"/>
  </si>
  <si>
    <t>小涨小跌，继续盘整</t>
    <phoneticPr fontId="18" type="noConversion"/>
  </si>
  <si>
    <t>昨天大涨，今天有调整也正常</t>
    <phoneticPr fontId="18" type="noConversion"/>
  </si>
  <si>
    <t>G20利好，防止高开低走</t>
    <phoneticPr fontId="18" type="noConversion"/>
  </si>
  <si>
    <t>今天是上半年最后一个交易日，历史上大概率上涨</t>
    <phoneticPr fontId="18" type="noConversion"/>
  </si>
  <si>
    <t>北上资金连续三天流出</t>
    <phoneticPr fontId="18" type="noConversion"/>
  </si>
  <si>
    <t>招行因利空大跌，带动蓝筹一起下跌，不过辟谣后下午又走出V字</t>
    <phoneticPr fontId="18" type="noConversion"/>
  </si>
  <si>
    <t>大盘继续维持在3000点上，不过量能一天比一天小。</t>
    <phoneticPr fontId="18" type="noConversion"/>
  </si>
  <si>
    <t>各种利好，估计还能涨一阵</t>
    <phoneticPr fontId="18" type="noConversion"/>
  </si>
  <si>
    <t>新政创业板能借壳，今天估计中小创又要开启一轮狂欢。</t>
    <phoneticPr fontId="18" type="noConversion"/>
  </si>
  <si>
    <t>利好带来的又是高开低走</t>
    <phoneticPr fontId="18" type="noConversion"/>
  </si>
  <si>
    <t>中美元首通话，外围看好。今天大概率高开</t>
    <phoneticPr fontId="18" type="noConversion"/>
  </si>
  <si>
    <t>再次小涨小跌，科创版开板</t>
    <phoneticPr fontId="18" type="noConversion"/>
  </si>
  <si>
    <t>连续涨了两天，出现调整也属正常</t>
    <phoneticPr fontId="18" type="noConversion"/>
  </si>
  <si>
    <t>昨天出乎意料的大涨，而且量能也放大了。</t>
    <phoneticPr fontId="18" type="noConversion"/>
  </si>
  <si>
    <t>昨天虽然反弹了，但量能还是太小，难免继续调整</t>
    <phoneticPr fontId="18" type="noConversion"/>
  </si>
  <si>
    <t>趋势还是弱，但北上资金一改流出，连续4天净流入。</t>
    <phoneticPr fontId="18" type="noConversion"/>
  </si>
  <si>
    <t>高开低走，显示着投资者的心态还是不稳</t>
    <phoneticPr fontId="18" type="noConversion"/>
  </si>
  <si>
    <t>再次下跌但还是没补上225跳空缺口。</t>
    <phoneticPr fontId="18" type="noConversion"/>
  </si>
  <si>
    <t>北上资金开始出现流入迹象。</t>
    <phoneticPr fontId="18" type="noConversion"/>
  </si>
  <si>
    <t>中方发表白皮书</t>
    <phoneticPr fontId="18" type="noConversion"/>
  </si>
  <si>
    <t>指数再次下跌，今天是本月最后一个交易日，外围也不错，有望走稳</t>
    <phoneticPr fontId="18" type="noConversion"/>
  </si>
  <si>
    <t>各大指数小涨小跌，估计还是在上下两个缺口之间震荡。</t>
    <phoneticPr fontId="18" type="noConversion"/>
  </si>
  <si>
    <t>昨天尾盘MSCI配置A股导致急涨</t>
    <phoneticPr fontId="18" type="noConversion"/>
  </si>
  <si>
    <t>昨天上午上证指数触碰到2月25日的跳空缺口后立即强烈反弹，预示着人心思涨。</t>
    <phoneticPr fontId="18" type="noConversion"/>
  </si>
  <si>
    <t>富时罗素指数纳入1097只A股，活水进一步增加。</t>
    <phoneticPr fontId="18" type="noConversion"/>
  </si>
  <si>
    <t>今天很有可能去补上2月25日的跳空缺口</t>
    <phoneticPr fontId="18" type="noConversion"/>
  </si>
  <si>
    <t>袁仁国出事，看今天茅台的解读</t>
    <phoneticPr fontId="18" type="noConversion"/>
  </si>
  <si>
    <t>反弹延续</t>
    <phoneticPr fontId="18" type="noConversion"/>
  </si>
  <si>
    <t>大盘虽然收阴，但缩量反弹</t>
    <phoneticPr fontId="18" type="noConversion"/>
  </si>
  <si>
    <t>刘士余主动投案，看看今天市场有什么反映</t>
    <phoneticPr fontId="18" type="noConversion"/>
  </si>
  <si>
    <t>市场开始走稳</t>
    <phoneticPr fontId="18" type="noConversion"/>
  </si>
  <si>
    <t>昨天A股大涨，可惜量能不济。</t>
    <phoneticPr fontId="18" type="noConversion"/>
  </si>
  <si>
    <t>美股企稳，今天A股有望止跌。</t>
    <phoneticPr fontId="18" type="noConversion"/>
  </si>
  <si>
    <t>中国反击，美股大跌</t>
    <phoneticPr fontId="18" type="noConversion"/>
  </si>
  <si>
    <t>利空再来，今天难免低开</t>
    <phoneticPr fontId="18" type="noConversion"/>
  </si>
  <si>
    <t>海龟转熊，仅供参考</t>
    <phoneticPr fontId="18" type="noConversion"/>
  </si>
  <si>
    <t>昨晚外盘下跌，今天又遇到黑色星期四了。</t>
    <phoneticPr fontId="18" type="noConversion"/>
  </si>
  <si>
    <t>外盘大跌，今天难免低开</t>
    <phoneticPr fontId="18" type="noConversion"/>
  </si>
  <si>
    <t>外盘低开高走，A50反弹，今天A股有望企稳。</t>
    <phoneticPr fontId="18" type="noConversion"/>
  </si>
  <si>
    <t>估计今天凶多吉少。</t>
    <phoneticPr fontId="18" type="noConversion"/>
  </si>
  <si>
    <t>大盘六连阴，今天企稳的概率应该很大。年报季报也全部公布了，该暴雷的也爆了。</t>
    <phoneticPr fontId="18" type="noConversion"/>
  </si>
  <si>
    <t>年报季报接近尾声，亏损股创历史最高纪录。</t>
    <phoneticPr fontId="18" type="noConversion"/>
  </si>
  <si>
    <t>昨天中位数跌幅高达4%，小票跌幅巨大。但估计调整不会很深。</t>
    <phoneticPr fontId="18" type="noConversion"/>
  </si>
  <si>
    <t>茅台一季度靓丽的业绩，为站上1000元打下坚实基础。</t>
    <phoneticPr fontId="18" type="noConversion"/>
  </si>
  <si>
    <t>昨天再次调整，估计应该差不多了。</t>
    <phoneticPr fontId="18" type="noConversion"/>
  </si>
  <si>
    <t>股票策略中海康威视跌出阈值换出。</t>
    <phoneticPr fontId="18" type="noConversion"/>
  </si>
  <si>
    <t>中央政治局会议，对经济政策有微调，整体还是利好股市</t>
    <phoneticPr fontId="18" type="noConversion"/>
  </si>
  <si>
    <t>看看今天是不是会破419魔咒</t>
    <phoneticPr fontId="18" type="noConversion"/>
  </si>
  <si>
    <t>家电补贴政策利好格力、美的、海尔等家电企业。</t>
    <phoneticPr fontId="18" type="noConversion"/>
  </si>
  <si>
    <t>昨天再次大涨，今天大概率惯性冲高回落</t>
    <phoneticPr fontId="18" type="noConversion"/>
  </si>
  <si>
    <t>高开低走，再次调整。</t>
    <phoneticPr fontId="18" type="noConversion"/>
  </si>
  <si>
    <t>继续看多，短期调整不影响趋势</t>
    <phoneticPr fontId="18" type="noConversion"/>
  </si>
  <si>
    <t>涨多了调整一次也正常</t>
    <phoneticPr fontId="18" type="noConversion"/>
  </si>
  <si>
    <t>格力再次涨停带动白马蓝筹行情继续发酵。</t>
    <phoneticPr fontId="18" type="noConversion"/>
  </si>
  <si>
    <t>格力今天再涨停不好说，但大涨还是有希望的。</t>
    <phoneticPr fontId="18" type="noConversion"/>
  </si>
  <si>
    <t>格力复牌，大概率会带动家电。</t>
    <phoneticPr fontId="18" type="noConversion"/>
  </si>
  <si>
    <t>周一效应大概率重现</t>
    <phoneticPr fontId="18" type="noConversion"/>
  </si>
  <si>
    <t>上证指数站上了3200，今天是清明小长假前最后一天，震荡可能性比较大。</t>
    <phoneticPr fontId="18" type="noConversion"/>
  </si>
  <si>
    <t>今天有两只新股，两只新债申购</t>
    <phoneticPr fontId="18" type="noConversion"/>
  </si>
  <si>
    <t>周一效应再次显现，大涨后大概率会在高位盘整</t>
    <phoneticPr fontId="18" type="noConversion"/>
  </si>
  <si>
    <t>PMI指数趋好，为大盘上升打下基础。</t>
    <phoneticPr fontId="18" type="noConversion"/>
  </si>
  <si>
    <t>大盘再次跌破3000，调整不会太深</t>
    <phoneticPr fontId="18" type="noConversion"/>
  </si>
  <si>
    <t>白马再次领涨，业绩再一次成为上涨的理由</t>
    <phoneticPr fontId="18" type="noConversion"/>
  </si>
  <si>
    <t>大盘调整正常，中线继续看好</t>
    <phoneticPr fontId="18" type="noConversion"/>
  </si>
  <si>
    <r>
      <t>大盘再次站上3</t>
    </r>
    <r>
      <rPr>
        <sz val="11"/>
        <color indexed="8"/>
        <rFont val="宋体"/>
        <family val="3"/>
        <charset val="134"/>
      </rPr>
      <t>100点</t>
    </r>
    <phoneticPr fontId="18" type="noConversion"/>
  </si>
  <si>
    <t>大盘再次走出V字调整，不改向上趋势</t>
    <phoneticPr fontId="18" type="noConversion"/>
  </si>
  <si>
    <t>调整也很正常。周一大涨周二调整成为惯例。</t>
    <phoneticPr fontId="18" type="noConversion"/>
  </si>
  <si>
    <t>周一再次大涨，大消费成为资金避险目标</t>
    <phoneticPr fontId="18" type="noConversion"/>
  </si>
  <si>
    <t>科创板再次加速，重要年报频出，估计业绩又将成为股价的推手。</t>
    <phoneticPr fontId="18" type="noConversion"/>
  </si>
  <si>
    <t>创业板再次调整，大消费成为避险资金的选择。</t>
    <phoneticPr fontId="18" type="noConversion"/>
  </si>
  <si>
    <r>
      <t>创业板终于调整了。而5</t>
    </r>
    <r>
      <rPr>
        <sz val="11"/>
        <color indexed="8"/>
        <rFont val="宋体"/>
        <family val="3"/>
        <charset val="134"/>
      </rPr>
      <t>0难得开始表现</t>
    </r>
    <phoneticPr fontId="18" type="noConversion"/>
  </si>
  <si>
    <t>市场再次大涨，创业板创出反弹新高，继续维持大弱小强格局。</t>
    <phoneticPr fontId="18" type="noConversion"/>
  </si>
  <si>
    <t>两份看空报告引起的血案，是牛市中的正常调整，如果不是因为这个原因触发，也是会因为其他原因触发的。</t>
    <phoneticPr fontId="18" type="noConversion"/>
  </si>
  <si>
    <t>多重利空袭来，调整难免</t>
    <phoneticPr fontId="18" type="noConversion"/>
  </si>
  <si>
    <r>
      <t>大盘站上3</t>
    </r>
    <r>
      <rPr>
        <sz val="11"/>
        <color indexed="8"/>
        <rFont val="宋体"/>
        <family val="3"/>
        <charset val="134"/>
      </rPr>
      <t>100，每次调整几乎都是盘中完成了，可见大盘之强。</t>
    </r>
    <phoneticPr fontId="18" type="noConversion"/>
  </si>
  <si>
    <t>大盘还是非常顽强的继续上攻，只不过中小创表现更好。</t>
    <phoneticPr fontId="18" type="noConversion"/>
  </si>
  <si>
    <r>
      <t>传增值税由1</t>
    </r>
    <r>
      <rPr>
        <sz val="11"/>
        <color indexed="8"/>
        <rFont val="宋体"/>
        <family val="3"/>
        <charset val="134"/>
      </rPr>
      <t>6%下降到13%，如果属实确实是重大利好。</t>
    </r>
    <phoneticPr fontId="18" type="noConversion"/>
  </si>
  <si>
    <r>
      <t>科创板加速，市场被激活，今天很有可能跳空高开站上3</t>
    </r>
    <r>
      <rPr>
        <sz val="11"/>
        <color indexed="8"/>
        <rFont val="宋体"/>
        <family val="3"/>
        <charset val="134"/>
      </rPr>
      <t>000点。</t>
    </r>
    <phoneticPr fontId="18" type="noConversion"/>
  </si>
  <si>
    <t>北上资金继续涌入，盘中多空交织。</t>
    <phoneticPr fontId="18" type="noConversion"/>
  </si>
  <si>
    <r>
      <t>两次冲击3</t>
    </r>
    <r>
      <rPr>
        <sz val="11"/>
        <color indexed="8"/>
        <rFont val="宋体"/>
        <family val="3"/>
        <charset val="134"/>
      </rPr>
      <t>000点未果，继续调整中。</t>
    </r>
    <phoneticPr fontId="18" type="noConversion"/>
  </si>
  <si>
    <t>大盘如期调整不一定是坏事。</t>
    <phoneticPr fontId="18" type="noConversion"/>
  </si>
  <si>
    <t>大盘天量大涨，留一份清醒。</t>
    <phoneticPr fontId="18" type="noConversion"/>
  </si>
  <si>
    <t>多个利好使得大盘继续有上攻的趋势，调整不改趋势。</t>
    <phoneticPr fontId="18" type="noConversion"/>
  </si>
  <si>
    <t>大盘意外走出倒V字，不过趋势还是没破坏。</t>
    <phoneticPr fontId="18" type="noConversion"/>
  </si>
  <si>
    <t>再次走出V字，大盘还是在上升区</t>
    <phoneticPr fontId="18" type="noConversion"/>
  </si>
  <si>
    <t>继续放量，调整后还会继续上攻。</t>
    <phoneticPr fontId="18" type="noConversion"/>
  </si>
  <si>
    <t>放量大涨后如果出现大幅度回调也是正常的，周五就是一个例子。</t>
    <phoneticPr fontId="18" type="noConversion"/>
  </si>
  <si>
    <t>中美贸易战谈判虽然艰难，但朝着好的方向在发展，美股周五红盘报收，今天有望见红。</t>
    <phoneticPr fontId="18" type="noConversion"/>
  </si>
  <si>
    <t>昨天上证指数走了一根假阳线，如果算上这根假阳线已经六连阳了，调整一下有利于行情进一步展开。</t>
    <phoneticPr fontId="18" type="noConversion"/>
  </si>
  <si>
    <t>指数放量，场外资金逐步入场</t>
    <phoneticPr fontId="18" type="noConversion"/>
  </si>
  <si>
    <t>上证指数3连阳，交易量逐步放大，继续看好。</t>
    <phoneticPr fontId="18" type="noConversion"/>
  </si>
  <si>
    <t>站上半年线意味着会有一段行情，虽然可能还会有反复。</t>
    <phoneticPr fontId="18" type="noConversion"/>
  </si>
  <si>
    <t>春节长假期间外围多空交织，整体还算平稳。</t>
    <phoneticPr fontId="18" type="noConversion"/>
  </si>
  <si>
    <t>今天是春节长假最后一天，历史上大概率上涨。</t>
    <phoneticPr fontId="18" type="noConversion"/>
  </si>
  <si>
    <t>天雷滚滚，关注商誉比例过大的公司</t>
    <phoneticPr fontId="18" type="noConversion"/>
  </si>
  <si>
    <t>大强小弱趋势明显</t>
    <phoneticPr fontId="18" type="noConversion"/>
  </si>
  <si>
    <t>又是高开低走熟悉的套路。</t>
    <phoneticPr fontId="18" type="noConversion"/>
  </si>
  <si>
    <t>证监会换帅，虽然不会因此而有大的变化，但还是看好今天的行情。</t>
    <phoneticPr fontId="18" type="noConversion"/>
  </si>
  <si>
    <t>央行决定创设央行票据互换工具 为银行发行永续债提供流动性支持</t>
    <phoneticPr fontId="18" type="noConversion"/>
  </si>
  <si>
    <t>大盘沿着进二退一的小碎步上攻</t>
    <phoneticPr fontId="18" type="noConversion"/>
  </si>
  <si>
    <t>调整不改继续上攻的步伐</t>
    <phoneticPr fontId="18" type="noConversion"/>
  </si>
  <si>
    <r>
      <t>站上2</t>
    </r>
    <r>
      <rPr>
        <sz val="11"/>
        <color indexed="8"/>
        <rFont val="宋体"/>
        <family val="3"/>
        <charset val="134"/>
      </rPr>
      <t>600后调整的可能性增加</t>
    </r>
    <phoneticPr fontId="18" type="noConversion"/>
  </si>
  <si>
    <t>股指期货空头净增加，小心。</t>
    <phoneticPr fontId="18" type="noConversion"/>
  </si>
  <si>
    <t>大盘再次回调，相信还会继续上攻</t>
    <phoneticPr fontId="18" type="noConversion"/>
  </si>
  <si>
    <t>大涨后的小涨小跌都是很良好的迹象，继续看多。</t>
    <phoneticPr fontId="18" type="noConversion"/>
  </si>
  <si>
    <t>上证指数的两个小缺口还是没补上，心理影响大于实际影响。</t>
    <phoneticPr fontId="18" type="noConversion"/>
  </si>
  <si>
    <t>方星海详解A股改革思路，利好股市。</t>
    <phoneticPr fontId="18" type="noConversion"/>
  </si>
  <si>
    <t>市场还是疲软，最后一个小时一路下滑，看看美股已经五连阳了。</t>
    <phoneticPr fontId="18" type="noConversion"/>
  </si>
  <si>
    <t>利好走成一个倒V字，创业板指数甚至翻绿，调整在所难免。</t>
    <phoneticPr fontId="18" type="noConversion"/>
  </si>
  <si>
    <r>
      <t>昨天3</t>
    </r>
    <r>
      <rPr>
        <sz val="11"/>
        <color indexed="8"/>
        <rFont val="宋体"/>
        <family val="3"/>
        <charset val="134"/>
      </rPr>
      <t>54再次因风险提醒大跌，质押取消也不意味着降级，但还是有大跌的风险。</t>
    </r>
    <phoneticPr fontId="18" type="noConversion"/>
  </si>
  <si>
    <r>
      <t>昨天很难得走稳。3</t>
    </r>
    <r>
      <rPr>
        <sz val="11"/>
        <color indexed="8"/>
        <rFont val="宋体"/>
        <family val="3"/>
        <charset val="134"/>
      </rPr>
      <t>54也强烈反弹了2天，但还是有很大风险。</t>
    </r>
    <phoneticPr fontId="18" type="noConversion"/>
  </si>
  <si>
    <t>高开无疑，千万别再高开低走</t>
    <phoneticPr fontId="18" type="noConversion"/>
  </si>
  <si>
    <r>
      <t>开盘大概率破2</t>
    </r>
    <r>
      <rPr>
        <sz val="11"/>
        <color indexed="8"/>
        <rFont val="宋体"/>
        <family val="3"/>
        <charset val="134"/>
      </rPr>
      <t>449，然后反弹。</t>
    </r>
    <phoneticPr fontId="18" type="noConversion"/>
  </si>
  <si>
    <r>
      <t>A股差点破</t>
    </r>
    <r>
      <rPr>
        <sz val="11"/>
        <color indexed="8"/>
        <rFont val="宋体"/>
        <family val="3"/>
        <charset val="134"/>
      </rPr>
      <t>2449前低，美股低开高走。今天的走势会很纠结。</t>
    </r>
    <phoneticPr fontId="18" type="noConversion"/>
  </si>
  <si>
    <t>年前最后一个交易日港股美股都上涨，但康美因为信息披露问题而被证监会立案，估计债券也会下跌。但违约的可能性不大。</t>
    <phoneticPr fontId="18" type="noConversion"/>
  </si>
  <si>
    <r>
      <t>A股高开低走，美股走出深</t>
    </r>
    <r>
      <rPr>
        <sz val="11"/>
        <color indexed="8"/>
        <rFont val="宋体"/>
        <family val="3"/>
        <charset val="134"/>
      </rPr>
      <t>V，今天是今年最后一个交易日了，卖出后资金也取不出来了，估计会稳定。</t>
    </r>
    <phoneticPr fontId="18" type="noConversion"/>
  </si>
  <si>
    <t>美股节后强烈反弹，大A股千万别高开低走。</t>
    <phoneticPr fontId="18" type="noConversion"/>
  </si>
  <si>
    <r>
      <t>大A股顽强的走出了深</t>
    </r>
    <r>
      <rPr>
        <sz val="11"/>
        <color indexed="8"/>
        <rFont val="宋体"/>
        <family val="3"/>
        <charset val="134"/>
      </rPr>
      <t>V，估计会有反弹，但弱势很难改变。</t>
    </r>
    <phoneticPr fontId="18" type="noConversion"/>
  </si>
  <si>
    <t>美股半天交易继续大跌，确立了美股熊市。A股开盘免不了受影响。</t>
    <phoneticPr fontId="18" type="noConversion"/>
  </si>
  <si>
    <t>最后一周有望期望</t>
    <phoneticPr fontId="18" type="noConversion"/>
  </si>
  <si>
    <t>银行补跌，大弱小强。</t>
    <phoneticPr fontId="18" type="noConversion"/>
  </si>
  <si>
    <t>美联储如期加息，导致美股跳水，A股承压。</t>
    <phoneticPr fontId="18" type="noConversion"/>
  </si>
  <si>
    <t>大盘继续缩量调整，幅度应该不会很大。</t>
    <phoneticPr fontId="18" type="noConversion"/>
  </si>
  <si>
    <t>美股暴跌，道指、标指、纳指三大指数今年全部翻绿，A股大概率低开高走。</t>
    <phoneticPr fontId="18" type="noConversion"/>
  </si>
  <si>
    <r>
      <t>明天有纪念改革开放4</t>
    </r>
    <r>
      <rPr>
        <sz val="11"/>
        <color indexed="8"/>
        <rFont val="宋体"/>
        <family val="3"/>
        <charset val="134"/>
      </rPr>
      <t>0周年重大活动，届时大概率有利好宣布，本周会企稳。</t>
    </r>
    <phoneticPr fontId="18" type="noConversion"/>
  </si>
  <si>
    <t>昨天强烈反弹，不过下午基本在盘整，反弹趋势尚未形成。</t>
    <phoneticPr fontId="18" type="noConversion"/>
  </si>
  <si>
    <t>缩量反弹，估计年底前大概率在这个小区间内震荡</t>
    <phoneticPr fontId="18" type="noConversion"/>
  </si>
  <si>
    <t>沪市创4年地量，但也不能说明一定反弹</t>
    <phoneticPr fontId="18" type="noConversion"/>
  </si>
  <si>
    <t>补上缺口后大概率会企稳</t>
    <phoneticPr fontId="18" type="noConversion"/>
  </si>
  <si>
    <t>周五晚上美股再次大跌，不过对A股的影响越来越小了。</t>
    <phoneticPr fontId="18" type="noConversion"/>
  </si>
  <si>
    <t>提醒</t>
    <phoneticPr fontId="67" type="noConversion"/>
  </si>
  <si>
    <t>今天有新天转债、唐人转债可以申购</t>
    <phoneticPr fontId="18" type="noConversion"/>
  </si>
  <si>
    <t>顺昌转债</t>
    <phoneticPr fontId="18" type="noConversion"/>
  </si>
  <si>
    <t>今天有一只正裕转债可以顶格申购，另外今天新北转债上市，估计最起码能涨10%。现在打新债的新手增多，一上市就迫不及待的卖出，导致价格偏低。即使第一天卖出也不要一开盘就卖出</t>
    <phoneticPr fontId="18" type="noConversion"/>
  </si>
  <si>
    <t>备选：</t>
    <phoneticPr fontId="18" type="noConversion"/>
  </si>
  <si>
    <t>sz123004</t>
  </si>
  <si>
    <t>sz123023</t>
  </si>
  <si>
    <t>sz123024</t>
  </si>
  <si>
    <t>sz123026</t>
  </si>
  <si>
    <t>sz123028</t>
  </si>
  <si>
    <t>sz123030</t>
  </si>
  <si>
    <t>sz123032</t>
  </si>
  <si>
    <t>sz123034</t>
  </si>
  <si>
    <t>sz128010</t>
  </si>
  <si>
    <t>sz128014</t>
  </si>
  <si>
    <t>sz128022</t>
  </si>
  <si>
    <t>sz128049</t>
  </si>
  <si>
    <t>sz128053</t>
  </si>
  <si>
    <t>sz128056</t>
  </si>
  <si>
    <t>sz128066</t>
  </si>
  <si>
    <t>sz128076</t>
  </si>
  <si>
    <t>迪森转债</t>
    <phoneticPr fontId="18" type="noConversion"/>
  </si>
  <si>
    <t>九洲转债</t>
    <phoneticPr fontId="18" type="noConversion"/>
  </si>
  <si>
    <t>辉丰转债</t>
    <phoneticPr fontId="18" type="noConversion"/>
  </si>
  <si>
    <t>sh113546</t>
    <phoneticPr fontId="18" type="noConversion"/>
  </si>
  <si>
    <t>sh113534</t>
    <phoneticPr fontId="18" type="noConversion"/>
  </si>
  <si>
    <t>sh113536</t>
    <phoneticPr fontId="18" type="noConversion"/>
  </si>
  <si>
    <t>sh113541</t>
    <phoneticPr fontId="18" type="noConversion"/>
  </si>
  <si>
    <t>中欧恒利</t>
  </si>
  <si>
    <t>财通福鑫</t>
  </si>
  <si>
    <t>科创配置</t>
  </si>
  <si>
    <t>中欧瑞丰</t>
  </si>
  <si>
    <t>社会责任</t>
  </si>
  <si>
    <t>科创投资</t>
  </si>
  <si>
    <t>2020年第一个交易日就迎来了降准利好，期待今天的开门红。另外今天有一个璞泰转债可以顶格申购</t>
  </si>
  <si>
    <t>sh110003</t>
  </si>
  <si>
    <t>sh110031</t>
  </si>
  <si>
    <t>sh160213</t>
  </si>
  <si>
    <t>sh160218</t>
  </si>
  <si>
    <t>sh160716</t>
  </si>
  <si>
    <t>sh163407</t>
  </si>
  <si>
    <t>sh164906</t>
  </si>
  <si>
    <t>sh213010</t>
  </si>
  <si>
    <t>sh217022</t>
  </si>
  <si>
    <t>sh217027</t>
  </si>
  <si>
    <t>sh240019</t>
  </si>
  <si>
    <t>sh270042</t>
  </si>
  <si>
    <t>sh310398</t>
  </si>
  <si>
    <t>sh340001</t>
  </si>
  <si>
    <t>sh481012</t>
  </si>
  <si>
    <t>sh000248</t>
    <phoneticPr fontId="18" type="noConversion"/>
  </si>
  <si>
    <t>sh001180</t>
    <phoneticPr fontId="18" type="noConversion"/>
  </si>
  <si>
    <t>sh001631</t>
    <phoneticPr fontId="18" type="noConversion"/>
  </si>
  <si>
    <t>sh001938</t>
    <phoneticPr fontId="18" type="noConversion"/>
  </si>
  <si>
    <t>sh005063</t>
    <phoneticPr fontId="18" type="noConversion"/>
  </si>
  <si>
    <t>市价</t>
    <phoneticPr fontId="18" type="noConversion"/>
  </si>
  <si>
    <t>sh159928</t>
  </si>
  <si>
    <t>sh161912</t>
  </si>
  <si>
    <t>sh163417</t>
  </si>
  <si>
    <t>sh166023</t>
  </si>
  <si>
    <t>sh166024</t>
  </si>
  <si>
    <t>sh168103</t>
  </si>
  <si>
    <t>sh501038</t>
  </si>
  <si>
    <t>sh501046</t>
  </si>
  <si>
    <t>sh501063</t>
  </si>
  <si>
    <t>sh501075</t>
  </si>
  <si>
    <t>sh501078</t>
  </si>
  <si>
    <t>sh501082</t>
  </si>
  <si>
    <t>sh510050</t>
  </si>
  <si>
    <t>sh510300</t>
  </si>
  <si>
    <t>sh510900</t>
  </si>
  <si>
    <t>sh512010</t>
  </si>
  <si>
    <t>sh512200</t>
  </si>
  <si>
    <t>sh512700</t>
  </si>
  <si>
    <t>sh512760</t>
  </si>
  <si>
    <t>sh513100</t>
  </si>
  <si>
    <t>sh515000</t>
  </si>
  <si>
    <t>汇添富中证主要消费ETF联接</t>
    <phoneticPr fontId="18" type="noConversion"/>
  </si>
  <si>
    <t>广发医药卫生联接A</t>
    <phoneticPr fontId="18" type="noConversion"/>
  </si>
  <si>
    <t>天弘中证食品饮料指数A</t>
    <phoneticPr fontId="18" type="noConversion"/>
  </si>
  <si>
    <t>中欧时代先锋股票A</t>
    <phoneticPr fontId="18" type="noConversion"/>
  </si>
  <si>
    <t>广发中证全指家用电器指数A</t>
    <phoneticPr fontId="18" type="noConversion"/>
  </si>
  <si>
    <t>易方达上证50指数A</t>
    <phoneticPr fontId="18" type="noConversion"/>
  </si>
  <si>
    <t>易方达恒生中国企业ETF联接(QDII)A</t>
    <phoneticPr fontId="18" type="noConversion"/>
  </si>
  <si>
    <t>国泰纳斯达克100指数(QDII)</t>
    <phoneticPr fontId="18" type="noConversion"/>
  </si>
  <si>
    <t>国泰国证房地产行业指数分级</t>
    <phoneticPr fontId="18" type="noConversion"/>
  </si>
  <si>
    <t>嘉实基本面50指数(LOF)A</t>
    <phoneticPr fontId="18" type="noConversion"/>
  </si>
  <si>
    <t>兴全沪深300指数(LOF)A</t>
    <phoneticPr fontId="18" type="noConversion"/>
  </si>
  <si>
    <t>交银中证海外中国互联网指数(QDII-LOF)</t>
    <phoneticPr fontId="18" type="noConversion"/>
  </si>
  <si>
    <t>宝盈中证100指数增强A</t>
    <phoneticPr fontId="18" type="noConversion"/>
  </si>
  <si>
    <t>招商产业债券A</t>
    <phoneticPr fontId="18" type="noConversion"/>
  </si>
  <si>
    <t>招商央视财经50指数A</t>
    <phoneticPr fontId="18" type="noConversion"/>
  </si>
  <si>
    <t>华宝银行ETF联接A</t>
    <phoneticPr fontId="18" type="noConversion"/>
  </si>
  <si>
    <t>广发纳斯达克100指数A(QDII)</t>
    <phoneticPr fontId="18" type="noConversion"/>
  </si>
  <si>
    <t>申万菱信沪深300价值指数A</t>
    <phoneticPr fontId="18" type="noConversion"/>
  </si>
  <si>
    <t>兴全可转债混合</t>
    <phoneticPr fontId="18" type="noConversion"/>
  </si>
  <si>
    <t>工银深证红利ETF联接A</t>
    <phoneticPr fontId="18" type="noConversion"/>
  </si>
  <si>
    <t>sh513050</t>
  </si>
  <si>
    <t>sz159928</t>
  </si>
  <si>
    <t>sz161912</t>
  </si>
  <si>
    <t>sz163417</t>
  </si>
  <si>
    <t>sz164906</t>
  </si>
  <si>
    <t>sz166023</t>
  </si>
  <si>
    <t>sz166024</t>
  </si>
  <si>
    <t>sz168103</t>
  </si>
  <si>
    <t>科创投资</t>
    <phoneticPr fontId="18" type="noConversion"/>
  </si>
  <si>
    <t>溢价率</t>
    <phoneticPr fontId="18" type="noConversion"/>
  </si>
  <si>
    <t>股票</t>
  </si>
  <si>
    <t>债券</t>
  </si>
  <si>
    <t>可转债</t>
  </si>
  <si>
    <t>可转债</t>
    <phoneticPr fontId="18" type="noConversion"/>
  </si>
  <si>
    <t>场外基金</t>
  </si>
  <si>
    <t>场外基金</t>
    <phoneticPr fontId="18" type="noConversion"/>
  </si>
  <si>
    <t>场内基金</t>
  </si>
  <si>
    <t>场内基金</t>
    <phoneticPr fontId="18" type="noConversion"/>
  </si>
  <si>
    <t>平均</t>
    <phoneticPr fontId="18" type="noConversion"/>
  </si>
  <si>
    <t>涨幅</t>
    <phoneticPr fontId="18" type="noConversion"/>
  </si>
  <si>
    <t>净值涨幅</t>
    <phoneticPr fontId="18" type="noConversion"/>
  </si>
  <si>
    <t>市价涨幅</t>
    <phoneticPr fontId="18" type="noConversion"/>
  </si>
  <si>
    <t>备选：</t>
    <phoneticPr fontId="18" type="noConversion"/>
  </si>
  <si>
    <t>汇添富中证主要消费ETF</t>
    <phoneticPr fontId="18" type="noConversion"/>
  </si>
  <si>
    <t>万家社会责任18个月定期开放混合A</t>
    <phoneticPr fontId="18" type="noConversion"/>
  </si>
  <si>
    <t>中欧瑞丰灵活配置混合A</t>
    <phoneticPr fontId="18" type="noConversion"/>
  </si>
  <si>
    <t>中欧恒利三年定期开放混合</t>
    <phoneticPr fontId="18" type="noConversion"/>
  </si>
  <si>
    <t>九泰锐益定增混合</t>
    <phoneticPr fontId="18" type="noConversion"/>
  </si>
  <si>
    <t>财通福鑫定开混合发起</t>
    <phoneticPr fontId="18" type="noConversion"/>
  </si>
  <si>
    <t>添富悦享定开混合</t>
    <phoneticPr fontId="18" type="noConversion"/>
  </si>
  <si>
    <t>万家科创主题3年封闭运作灵活配置混合A</t>
    <phoneticPr fontId="18" type="noConversion"/>
  </si>
  <si>
    <t>广发科创主题3年封闭混合</t>
    <phoneticPr fontId="18" type="noConversion"/>
  </si>
  <si>
    <t>博时科创主题3年封闭混合</t>
    <phoneticPr fontId="18" type="noConversion"/>
  </si>
  <si>
    <t>易方达恒生中国企业ETF(QDII)</t>
    <phoneticPr fontId="18" type="noConversion"/>
  </si>
  <si>
    <t>易方达沪深300医药ETF</t>
    <phoneticPr fontId="18" type="noConversion"/>
  </si>
  <si>
    <t>南方中证全指房地产ETF</t>
    <phoneticPr fontId="18" type="noConversion"/>
  </si>
  <si>
    <t>南方中证银行ETF</t>
    <phoneticPr fontId="18" type="noConversion"/>
  </si>
  <si>
    <t>国泰纳斯达克100(QDII-ETF)</t>
    <phoneticPr fontId="18" type="noConversion"/>
  </si>
  <si>
    <t>消费ETF</t>
    <phoneticPr fontId="18" type="noConversion"/>
  </si>
  <si>
    <t>中欧恒利</t>
    <phoneticPr fontId="18" type="noConversion"/>
  </si>
  <si>
    <t>沪深300</t>
    <phoneticPr fontId="18" type="noConversion"/>
  </si>
  <si>
    <t>每天涨幅</t>
    <phoneticPr fontId="18" type="noConversion"/>
  </si>
  <si>
    <t>美股再次大涨创历史新高，今天可以顶格申购希望转债、乐普转债、百川转债，今天还有一个鹰19转债上市，有可能会突破120元。</t>
    <phoneticPr fontId="18" type="noConversion"/>
  </si>
  <si>
    <t>今天华峰转债上市，估计在110元以上，今天还有个京沪高铁可以打新，发行市盈率突破了23倍至23.39</t>
    <phoneticPr fontId="18" type="noConversion"/>
  </si>
  <si>
    <t>sz127003</t>
    <phoneticPr fontId="18" type="noConversion"/>
  </si>
  <si>
    <t>今天金牌转债、明阳转债上市，最低115，最高都有可能触及120元停牌价，最近是打新可转债的高光时刻，天天都有肉吃。</t>
    <phoneticPr fontId="18" type="noConversion"/>
  </si>
  <si>
    <t>今天上市的鸿达转债很有可能又会冲击120元</t>
    <phoneticPr fontId="18" type="noConversion"/>
  </si>
  <si>
    <t>今天有只至纯转债上市，明天竟然有6只可转债上市，吃肉吃肉。</t>
    <phoneticPr fontId="18" type="noConversion"/>
  </si>
  <si>
    <t>今天6只可转债上市，多只可转债会突破120甚至130，估计价格会低开高走，慢慢吃肉别噎着。</t>
  </si>
  <si>
    <t>今天有个东财转2可以顶格申购，估计至少人手一签。今天还有个AAA的淮矿转债上市，估计又要冲击120元了。</t>
    <phoneticPr fontId="18" type="noConversion"/>
  </si>
  <si>
    <t>今天有个金银河可转债可以顶格申购，今天上市的振德转债、日月转债，大概率冲上120双双停牌半小时</t>
    <phoneticPr fontId="18" type="noConversion"/>
  </si>
  <si>
    <t>今天既没有可转债可以打新，也没有上市可以吃肉，明天有2个打新3个吃肉</t>
    <phoneticPr fontId="18" type="noConversion"/>
  </si>
  <si>
    <t>今天有柳药转债、星帅转债可以顶格申购，另外今天还有深南转债、建工转债、孚日转债三只转债同时上市交易。</t>
    <phoneticPr fontId="18" type="noConversion"/>
  </si>
  <si>
    <t>分红</t>
  </si>
  <si>
    <t>分红</t>
    <phoneticPr fontId="18" type="noConversion"/>
  </si>
  <si>
    <t>涨幅</t>
    <phoneticPr fontId="18" type="noConversion"/>
  </si>
  <si>
    <t>平均</t>
    <phoneticPr fontId="18" type="noConversion"/>
  </si>
  <si>
    <t>九州转债</t>
    <phoneticPr fontId="18" type="noConversion"/>
  </si>
  <si>
    <t>今天有个新天转债上市</t>
    <phoneticPr fontId="18" type="noConversion"/>
  </si>
  <si>
    <t>sz159941</t>
    <phoneticPr fontId="18" type="noConversion"/>
  </si>
  <si>
    <t>sz159941</t>
    <phoneticPr fontId="18" type="noConversion"/>
  </si>
  <si>
    <t>广发纳指100(QDII-ETF)</t>
    <phoneticPr fontId="18" type="noConversion"/>
  </si>
  <si>
    <t>广发纳斯达克100ETF</t>
    <phoneticPr fontId="18" type="noConversion"/>
  </si>
  <si>
    <t>兴全合宜后天最后一个交易日，目前折价率才1.38%，考虑到机会成本，建议择机卖出。今天有两只可转债上市，明天有三只上市，后天有一只上市，感觉是过年送年货的节奏了。</t>
    <phoneticPr fontId="18" type="noConversion"/>
  </si>
  <si>
    <t>今天有3只可转债上市，另外模塑转债正股涨停，溢价变负，价格上了133，今天如果正股惯性上涨，可转债跟着上涨的时候可以择机卖出落袋为安。</t>
    <phoneticPr fontId="18" type="noConversion"/>
  </si>
  <si>
    <t>今天涨幅</t>
    <phoneticPr fontId="18" type="noConversion"/>
  </si>
  <si>
    <t>今天有个东风转债上市，另外辉丰转债可能停牌，不过也不用害怕，还有3个月就进入回售期了。</t>
    <phoneticPr fontId="18" type="noConversion"/>
  </si>
  <si>
    <t>模拟盘尾盘卖出模塑转债，今天有汽模转2、乐普转债、开润转债3只转债上市。</t>
    <phoneticPr fontId="18" type="noConversion"/>
  </si>
  <si>
    <t>今年涨幅</t>
    <phoneticPr fontId="18" type="noConversion"/>
  </si>
  <si>
    <t>兴全合宜混合(LOF)A</t>
    <phoneticPr fontId="18" type="noConversion"/>
  </si>
  <si>
    <t>今年涨幅</t>
    <phoneticPr fontId="18" type="noConversion"/>
  </si>
  <si>
    <t>排序</t>
  </si>
  <si>
    <t>转债代码</t>
  </si>
  <si>
    <t>清水转债</t>
  </si>
  <si>
    <t>华锋转债</t>
  </si>
  <si>
    <t>鸿达转债</t>
  </si>
  <si>
    <t>迎接今天的大跌</t>
    <phoneticPr fontId="18" type="noConversion"/>
  </si>
  <si>
    <t>sh110043</t>
    <phoneticPr fontId="18" type="noConversion"/>
  </si>
  <si>
    <t>sh110051</t>
  </si>
  <si>
    <t>sh110059</t>
  </si>
  <si>
    <t>sh110064</t>
  </si>
  <si>
    <t>sh113017</t>
  </si>
  <si>
    <t>sh113021</t>
  </si>
  <si>
    <t>sh113024</t>
  </si>
  <si>
    <t>sh113026</t>
  </si>
  <si>
    <t>sh113505</t>
  </si>
  <si>
    <t>sh113508</t>
  </si>
  <si>
    <t>sh113516</t>
  </si>
  <si>
    <t>sh113525</t>
  </si>
  <si>
    <t>sh113528</t>
  </si>
  <si>
    <t>sh113532</t>
  </si>
  <si>
    <t>sh113535</t>
  </si>
  <si>
    <t>sh113545</t>
  </si>
  <si>
    <t>sh113549</t>
  </si>
  <si>
    <t>sz128064</t>
  </si>
  <si>
    <t>sz128071</t>
  </si>
  <si>
    <t>sz128082</t>
  </si>
  <si>
    <t>sz128085</t>
  </si>
  <si>
    <t>sz128087</t>
  </si>
  <si>
    <t>sz128092</t>
  </si>
  <si>
    <t>鸿达转债</t>
    <phoneticPr fontId="18" type="noConversion"/>
  </si>
  <si>
    <t>唐人转债</t>
    <phoneticPr fontId="18" type="noConversion"/>
  </si>
  <si>
    <t>昨天基金的净值很多都没出来，场外基金部分仅供参考</t>
    <phoneticPr fontId="18" type="noConversion"/>
  </si>
  <si>
    <t>sh110047</t>
  </si>
  <si>
    <t>sh110053</t>
  </si>
  <si>
    <t>sh110060</t>
  </si>
  <si>
    <t>sh113025</t>
  </si>
  <si>
    <t>sh113027</t>
  </si>
  <si>
    <t>sh113030</t>
  </si>
  <si>
    <t>sh113542</t>
  </si>
  <si>
    <t>sz123011</t>
  </si>
  <si>
    <t>sz123015</t>
  </si>
  <si>
    <t>sz123019</t>
  </si>
  <si>
    <t>sz127007</t>
  </si>
  <si>
    <t>sz127011</t>
  </si>
  <si>
    <t>sz127014</t>
  </si>
  <si>
    <t>sz128021</t>
  </si>
  <si>
    <t>sz128033</t>
  </si>
  <si>
    <t>sz128036</t>
  </si>
  <si>
    <t>sz128050</t>
  </si>
  <si>
    <t>sz128075</t>
  </si>
  <si>
    <t>sz128093</t>
  </si>
  <si>
    <t>天路转债</t>
    <phoneticPr fontId="18" type="noConversion"/>
  </si>
  <si>
    <t>纳指再创新高，这次疫情也说明了资产配置的重要性。</t>
    <phoneticPr fontId="18" type="noConversion"/>
  </si>
  <si>
    <t>大盘继续反攻，市场主力由外资转向内资，热点也由白马转为科技。但调整不会一次到位，要做好长期准备。</t>
    <phoneticPr fontId="18" type="noConversion"/>
  </si>
  <si>
    <t>再次提醒一下，可转债中左边排序的是年初的名单，一般不要多换，右边的是当天的排名，如果现在上次可以参考，上车后也不宜多动</t>
    <phoneticPr fontId="18" type="noConversion"/>
  </si>
  <si>
    <t>“1”是自动获取指数、股票和基金实时价格的模块，“2”是自动获取基金净值模块，点击“更新”或者“更新净值”获取，自己也可以添加在第一列，注意沪市是SH开头，深市是SZ开头，平时每天的榜单因为带宏的在手机上打不开发了不带宏的，如果需要可以索取。</t>
    <phoneticPr fontId="18" type="noConversion"/>
  </si>
  <si>
    <t>该榜单1-2个月公布一次，提倡长期投资、稳定投资，不建议大家天天去做短线</t>
    <phoneticPr fontId="18" type="noConversion"/>
  </si>
  <si>
    <t>这是剔除ytm&lt;0和PB&gt;2的可转债后，按照溢价率排名和YTM排名各占50%后得到的排名，排名日期为最近一个交易日</t>
    <phoneticPr fontId="18" type="noConversion"/>
  </si>
  <si>
    <t>折价率10.59%，2022年6月12日到期</t>
    <phoneticPr fontId="18" type="noConversion"/>
  </si>
  <si>
    <t>折价率4.82%，明年8月25日到期</t>
    <phoneticPr fontId="18" type="noConversion"/>
  </si>
  <si>
    <t>阶段涨幅</t>
    <phoneticPr fontId="18" type="noConversion"/>
  </si>
  <si>
    <t>可转债名单已经换入最新的，今天正裕转债上市</t>
    <phoneticPr fontId="18" type="noConversion"/>
  </si>
  <si>
    <t>今飞转债!</t>
  </si>
  <si>
    <t>维格转债!</t>
  </si>
  <si>
    <t>司尔转债!</t>
  </si>
  <si>
    <t>长城转债!</t>
  </si>
  <si>
    <t>迪森转债!</t>
  </si>
  <si>
    <t>众兴转债!</t>
  </si>
  <si>
    <t>大业转债!</t>
  </si>
  <si>
    <t>亚太转债!</t>
  </si>
  <si>
    <t>洪涛转债!</t>
  </si>
  <si>
    <t>海环转债!</t>
  </si>
  <si>
    <t>台华转债!</t>
  </si>
  <si>
    <t>永东转债!</t>
  </si>
  <si>
    <t>岩土转债!</t>
  </si>
  <si>
    <t>浦发转债!</t>
  </si>
  <si>
    <t>辉丰转债!</t>
  </si>
  <si>
    <t>双环转债!</t>
  </si>
  <si>
    <t>新凤转债!</t>
  </si>
  <si>
    <t>26天没新的可转债申购了，今天可以顶格申购恩捷转债、奥瑞转债</t>
    <phoneticPr fontId="18" type="noConversion"/>
  </si>
  <si>
    <t>银行等大蓝筹补涨，创业板调整，注意风险。</t>
    <phoneticPr fontId="18" type="noConversion"/>
  </si>
  <si>
    <t>短短几天，符合条件的可转债就少了7只。另外国泰、广发的外汇额度用完无法申购纳指的，可以选择大成（000834）、华安（040046）、易方达（161130）的纳指100基金</t>
    <phoneticPr fontId="18" type="noConversion"/>
  </si>
  <si>
    <t>今天银河转债、东财转2上市，又可以吃到点肉，特别是东财转2这种人手一手的可转债。</t>
    <phoneticPr fontId="18" type="noConversion"/>
  </si>
  <si>
    <t>易方达标普科技</t>
    <phoneticPr fontId="18" type="noConversion"/>
  </si>
  <si>
    <t>标普500信息科技指数</t>
    <phoneticPr fontId="18" type="noConversion"/>
  </si>
  <si>
    <t>sz161128</t>
    <phoneticPr fontId="18" type="noConversion"/>
  </si>
  <si>
    <t>替代溢价过高的纳指</t>
    <phoneticPr fontId="18" type="noConversion"/>
  </si>
  <si>
    <t>今天博威转债上市，估计要上120元</t>
    <phoneticPr fontId="18" type="noConversion"/>
  </si>
  <si>
    <t>昨天普涨，最近表现弱的板块也不用急，会轮到的。</t>
    <phoneticPr fontId="18" type="noConversion"/>
  </si>
  <si>
    <t>添富悦享</t>
    <phoneticPr fontId="18" type="noConversion"/>
  </si>
  <si>
    <t>符合条件的可转债只有39只了。康美债公布了20万以下全部兑付和50万以下全部兑付两个方案投票</t>
    <phoneticPr fontId="18" type="noConversion"/>
  </si>
  <si>
    <t>昨天创业板调整，很多人觉得是短期的，我也是这样认为的，但最后总有一次是真的。</t>
    <phoneticPr fontId="18" type="noConversion"/>
  </si>
  <si>
    <t>好客转债</t>
    <phoneticPr fontId="18" type="noConversion"/>
  </si>
  <si>
    <t>中来转债</t>
    <phoneticPr fontId="18" type="noConversion"/>
  </si>
  <si>
    <t>北方转债</t>
    <phoneticPr fontId="18" type="noConversion"/>
  </si>
  <si>
    <t>钧达转债</t>
    <phoneticPr fontId="18" type="noConversion"/>
  </si>
  <si>
    <t>百川转债</t>
    <phoneticPr fontId="18" type="noConversion"/>
  </si>
  <si>
    <t>标普科技</t>
    <phoneticPr fontId="18" type="noConversion"/>
  </si>
  <si>
    <t>两个品种净值一样一个溢价高涨的一个不涨，如果认为是前者好的适合炒股打板不适合做投资。</t>
    <phoneticPr fontId="18" type="noConversion"/>
  </si>
  <si>
    <t>核能转债!</t>
  </si>
  <si>
    <t>康美债投票截止到今天下午3点前，持有该债的尽快参与投票</t>
    <phoneticPr fontId="18" type="noConversion"/>
  </si>
  <si>
    <t>中信转债!</t>
  </si>
  <si>
    <t>全球股市受疫情影响大跌，看看A股今天是否能独善其身？</t>
    <phoneticPr fontId="18" type="noConversion"/>
  </si>
  <si>
    <t>合兴转债!</t>
  </si>
  <si>
    <t>美股继续暴跌，A股今天继续受考验。</t>
    <phoneticPr fontId="18" type="noConversion"/>
  </si>
  <si>
    <t>德尔转债!</t>
  </si>
  <si>
    <t>sh136670</t>
    <phoneticPr fontId="18" type="noConversion"/>
  </si>
  <si>
    <t>16南山05</t>
    <phoneticPr fontId="18" type="noConversion"/>
  </si>
  <si>
    <t>创业板科技股大跌，我们不知道这次是不是狼来了，但最终狼总会来的。卖出16南山01避税换入16南山05</t>
    <phoneticPr fontId="18" type="noConversion"/>
  </si>
  <si>
    <t>吉视转债!</t>
  </si>
  <si>
    <t>美股再次大跌，道指本周4个交易日大跌了11.13%。</t>
    <phoneticPr fontId="18" type="noConversion"/>
  </si>
  <si>
    <t>迪龙转债!</t>
  </si>
  <si>
    <t>小康转债!</t>
  </si>
  <si>
    <t>核建转债!</t>
  </si>
  <si>
    <t>林洋转债!</t>
  </si>
  <si>
    <t>牧原股份</t>
    <phoneticPr fontId="18" type="noConversion"/>
  </si>
  <si>
    <t>农林牧渔</t>
  </si>
  <si>
    <t>畜禽养殖</t>
  </si>
  <si>
    <t>sz002714</t>
    <phoneticPr fontId="18" type="noConversion"/>
  </si>
  <si>
    <t>002714</t>
    <phoneticPr fontId="18" type="noConversion"/>
  </si>
  <si>
    <t>养猪龙头</t>
    <phoneticPr fontId="18" type="noConversion"/>
  </si>
  <si>
    <t>可转债换债，可以按照表格中的前20平均买入，和上次相比，卖出了5只可转债的平均涨幅度都在9%以上。也可以根据自己的日期按照每天发布的右边的榜单从前面开始买入。今天还有两只可转债可以顶格申购</t>
    <phoneticPr fontId="18" type="noConversion"/>
  </si>
  <si>
    <t>中天转债</t>
    <phoneticPr fontId="18" type="noConversion"/>
  </si>
  <si>
    <t>18华汽02</t>
    <phoneticPr fontId="18" type="noConversion"/>
  </si>
  <si>
    <t>sh127860</t>
    <phoneticPr fontId="18" type="noConversion"/>
  </si>
  <si>
    <t>AAA</t>
    <phoneticPr fontId="18" type="noConversion"/>
  </si>
  <si>
    <t>美股报复性反弹，债券名单中添加18华汽02，普通投资者可以买。</t>
    <phoneticPr fontId="18" type="noConversion"/>
  </si>
  <si>
    <t>美联储降息，美股反弹后再次大跌。可转债剩下33只</t>
    <phoneticPr fontId="18" type="noConversion"/>
  </si>
  <si>
    <t>美股暴跌后再次暴涨，上证指数第47次站上3000，入选可转债剩下31只。</t>
    <phoneticPr fontId="18" type="noConversion"/>
  </si>
  <si>
    <t>019547</t>
    <phoneticPr fontId="18" type="noConversion"/>
  </si>
  <si>
    <t>019536</t>
    <phoneticPr fontId="18" type="noConversion"/>
  </si>
  <si>
    <t>16国债08</t>
    <phoneticPr fontId="18" type="noConversion"/>
  </si>
  <si>
    <t>16国债19</t>
    <phoneticPr fontId="18" type="noConversion"/>
  </si>
  <si>
    <t>sh019536</t>
  </si>
  <si>
    <t>sh019547</t>
  </si>
  <si>
    <t>国债</t>
    <phoneticPr fontId="18" type="noConversion"/>
  </si>
  <si>
    <t>备选：</t>
    <phoneticPr fontId="18" type="noConversion"/>
  </si>
  <si>
    <t>今天加入两只长周期的国债，虽然现在ytm只有3%多，因为在降息周期，所以骑乘效应导致了今年这些国债也大涨了8%多。美股再次暴跌，不过对A股的影响越来越小。</t>
    <phoneticPr fontId="18" type="noConversion"/>
  </si>
  <si>
    <t>内容</t>
    <phoneticPr fontId="18" type="noConversion"/>
  </si>
  <si>
    <t>这是一个参考的榜单，不保证一定赚钱，特别是中短期可能会亏损，请买入是慎重考虑，以不影响睡眠为准。</t>
    <phoneticPr fontId="18" type="noConversion"/>
  </si>
  <si>
    <t>目前性价比较好的是可转债，新手买入时按照右边排序，一般建议前20个，左边是我们上次调仓的结果，供对比参考。你不一定和我完全一样换债，可以早几天晚几天。右边的名单每天都会变化，左边的一段时间不比，买入后千万不要频繁换债</t>
    <phoneticPr fontId="18" type="noConversion"/>
  </si>
  <si>
    <t>每次换债时间为1-2个月，先卖出不在右边名单里的可转债，然后买入在右边名单里的可转债，换债可以跟着我，也可以自己定个日期，比如每月10日等，或者等我换完后用最新的名单来操作，效果是差不多的。</t>
    <phoneticPr fontId="18" type="noConversion"/>
  </si>
  <si>
    <t>这个榜单是剔除了到期收益率小于0，和PB大于2的可转债，然后先分别按照转股溢价率和税后到期收益率分别排序然后把排名相加后再次倒排序得到的排名，经过十几年的历史数据回测，表明是一个攻守兼备的策略，但不能保证每次跑赢指数</t>
    <phoneticPr fontId="18" type="noConversion"/>
  </si>
  <si>
    <t>外围大跌，A股47次跌破3000，但A股今明会有反弹。可转债和国债是最近比较好的选择。</t>
    <phoneticPr fontId="18" type="noConversion"/>
  </si>
  <si>
    <t>A股如期反弹，外围也有期望迹象。</t>
    <phoneticPr fontId="18" type="noConversion"/>
  </si>
  <si>
    <t>昨天A股美股都在调整，今天有6只可转债打新。</t>
    <phoneticPr fontId="18" type="noConversion"/>
  </si>
  <si>
    <t>美股再次暴跌，不要轻易重仓抄底。今天可转债按照模型有个中来转债因为强赎被手动剔除，目前的行情坚守可转债是最好的策略了。</t>
    <phoneticPr fontId="18" type="noConversion"/>
  </si>
  <si>
    <t>央行降准，美股周五大涨，但盘前又是大跌。市场不稳定时不要轻易操作。</t>
    <phoneticPr fontId="18" type="noConversion"/>
  </si>
  <si>
    <t>sh113537</t>
    <phoneticPr fontId="18" type="noConversion"/>
  </si>
  <si>
    <t>上次全价</t>
    <phoneticPr fontId="18" type="noConversion"/>
  </si>
  <si>
    <t>美股再次熔断，A股一起下跌，前期涨幅过大的板块相对风险大。</t>
    <phoneticPr fontId="18" type="noConversion"/>
  </si>
  <si>
    <t>建工转债!</t>
  </si>
  <si>
    <t>sz128096</t>
    <phoneticPr fontId="18" type="noConversion"/>
  </si>
  <si>
    <t>可转债名单又增加到43只了，游资明显进入了可转债在炒作，切勿跟风。</t>
    <phoneticPr fontId="18" type="noConversion"/>
  </si>
  <si>
    <t>sz128081</t>
    <phoneticPr fontId="18" type="noConversion"/>
  </si>
  <si>
    <t>sh113519</t>
    <phoneticPr fontId="18" type="noConversion"/>
  </si>
  <si>
    <t>即使加仓，也是以右边名单的可转债为准，一般建议平均持有前20。</t>
    <phoneticPr fontId="18" type="noConversion"/>
  </si>
  <si>
    <t>目前可转债的出色表现不可能长期维持，一定要做好调整的准备。</t>
    <phoneticPr fontId="18" type="noConversion"/>
  </si>
  <si>
    <t>可转债是一个知道最长持有时间（6年）、知道涨到什么价格（130元以上可能强赎）、知道跌到什么价格（80元以下极少出现）的品种。</t>
    <phoneticPr fontId="18" type="noConversion"/>
  </si>
  <si>
    <t>美股再次熔断，A股免不了受影响，坚守策略，迎接春天的到来。</t>
    <phoneticPr fontId="18" type="noConversion"/>
  </si>
  <si>
    <t>sh110063</t>
  </si>
  <si>
    <t>sh110043</t>
  </si>
  <si>
    <t>美股反弹，有走稳迹象，A股也接近底部了。</t>
    <phoneticPr fontId="18" type="noConversion"/>
  </si>
  <si>
    <t>管理层加严可转债监管，今天可转债可能会受影响。短暂调整不改可转债价值。</t>
    <phoneticPr fontId="18" type="noConversion"/>
  </si>
  <si>
    <t>美国放大招无限宽松依然难改下跌，昨天可转债调整反而是机会。</t>
    <phoneticPr fontId="18" type="noConversion"/>
  </si>
  <si>
    <t>昨天今飞冲高卖出，模拟盘上没改。最新可转债榜单缩小到27只，其中中信、苏农、浦发、苏银都是银行可转债，其特点是涨跌都比较小。</t>
    <phoneticPr fontId="18" type="noConversion"/>
  </si>
  <si>
    <t>金能转债</t>
  </si>
  <si>
    <t>文灿转债!</t>
  </si>
  <si>
    <t>顺昌转债!!</t>
  </si>
  <si>
    <t>G20视频会议放水利好，美股再次反弹。今天大概率反弹，勿追高。</t>
    <phoneticPr fontId="18" type="noConversion"/>
  </si>
  <si>
    <t>现在可转债涨的已经蛮好了，很多新同学刚刚建仓担心追高，建议可以采取这样的方法：我今天右边20个可转债，如果有5个是下跌的，你先买这5个，明天的20个可转债不一定重复，如果还有3个下跌的而且和你买的不重复，那就买这3个，不断补仓到满20个，然后等下一次轮动。这样就避免了追高。</t>
    <phoneticPr fontId="18" type="noConversion"/>
  </si>
  <si>
    <t>周五美股再次暴跌，外围不稳，A股大概率回去补缺口</t>
    <phoneticPr fontId="18" type="noConversion"/>
  </si>
  <si>
    <t>山鹰转债</t>
  </si>
  <si>
    <t>奇精转债!</t>
  </si>
  <si>
    <t>时达转债!</t>
  </si>
  <si>
    <t>sh113524</t>
    <phoneticPr fontId="18" type="noConversion"/>
  </si>
  <si>
    <t>最近可转债走弱，其实从长期来说是好事情，因为有更多的品种可以选择了。投资是一次长跑，投资可转债更是如此。</t>
    <phoneticPr fontId="18" type="noConversion"/>
  </si>
  <si>
    <t>sh110066</t>
    <phoneticPr fontId="18" type="noConversion"/>
  </si>
  <si>
    <t>盛屯转债</t>
    <phoneticPr fontId="18" type="noConversion"/>
  </si>
  <si>
    <t>今天如期换可转债，实盘操作不一定到月底，可以选一个适合自己的日子，比如发薪日。换债还是建议先卖出涨多的，买入跌多的品种，慢慢换，不急。</t>
    <phoneticPr fontId="18" type="noConversion"/>
  </si>
  <si>
    <t>最新排名</t>
    <phoneticPr fontId="18" type="noConversion"/>
  </si>
  <si>
    <t>美股大跌，A股免不了又要承压。</t>
    <phoneticPr fontId="18" type="noConversion"/>
  </si>
  <si>
    <t>sh113568</t>
    <phoneticPr fontId="18" type="noConversion"/>
  </si>
  <si>
    <t>原来排名</t>
    <phoneticPr fontId="18" type="noConversion"/>
  </si>
  <si>
    <t>新债给我们带来了新的希望，刚上市的盛屯转债、新春转债都列入了榜单，而且还排名在最前面</t>
    <phoneticPr fontId="18" type="noConversion"/>
  </si>
  <si>
    <t>盛屯转债!</t>
  </si>
  <si>
    <t>sz128044</t>
    <phoneticPr fontId="18" type="noConversion"/>
  </si>
  <si>
    <t>美股大幅度反弹，A股今天高开后防止低走</t>
    <phoneticPr fontId="18" type="noConversion"/>
  </si>
  <si>
    <t>岭南转债</t>
    <phoneticPr fontId="18" type="noConversion"/>
  </si>
  <si>
    <t>可转债逐步恢复正常，满意的收益在于长期的坚持。今天百达转债和科达转债上市。</t>
    <phoneticPr fontId="18" type="noConversion"/>
  </si>
  <si>
    <t>今天三只可转债上市，三只可转债申购</t>
    <phoneticPr fontId="18" type="noConversion"/>
  </si>
  <si>
    <t>11海航02（122071）还有1.12年到期，税后年化收益率接近14%。如果能持有到期，10万以下还是很安全的。</t>
    <phoneticPr fontId="18" type="noConversion"/>
  </si>
  <si>
    <t>可转债在退潮中，高溢价高价的可转债更甚。</t>
    <phoneticPr fontId="18" type="noConversion"/>
  </si>
  <si>
    <t>sz128097</t>
    <phoneticPr fontId="18" type="noConversion"/>
  </si>
  <si>
    <t>市场缩量调整，底部应该不远了，疫情期间还是看好食品和药品这些刚需。</t>
    <phoneticPr fontId="18" type="noConversion"/>
  </si>
  <si>
    <t>美股大涨，格力公布业绩下滑，海航集团债券强行延期一年，今天可能会对071有个冲击。</t>
    <phoneticPr fontId="18" type="noConversion"/>
  </si>
  <si>
    <t>钧达转债!</t>
  </si>
  <si>
    <t>sh110068</t>
    <phoneticPr fontId="18" type="noConversion"/>
  </si>
  <si>
    <t>年报季报接近位数，注意踩雷。</t>
    <phoneticPr fontId="18" type="noConversion"/>
  </si>
  <si>
    <t>龙净转债</t>
    <phoneticPr fontId="18" type="noConversion"/>
  </si>
  <si>
    <t>龙净转债!</t>
  </si>
  <si>
    <t>苏农转债!</t>
  </si>
  <si>
    <t>苏银转债!</t>
  </si>
  <si>
    <t>中鼎转2!</t>
  </si>
  <si>
    <t>游资再次回到可转债，切勿追高上当。</t>
    <phoneticPr fontId="18" type="noConversion"/>
  </si>
  <si>
    <t>政治局会议释放信号，降准降息预期加强。</t>
    <phoneticPr fontId="18" type="noConversion"/>
  </si>
  <si>
    <t>石油继续暴跌，都迭出负价格了。场外基金的模拟盘转正。</t>
    <phoneticPr fontId="18" type="noConversion"/>
  </si>
  <si>
    <t>2019年晨星奖</t>
    <phoneticPr fontId="18" type="noConversion"/>
  </si>
  <si>
    <t>南方优选成长混合</t>
  </si>
  <si>
    <t>2020年晨星奖</t>
    <phoneticPr fontId="18" type="noConversion"/>
  </si>
  <si>
    <t>广发稳健增长混合</t>
    <phoneticPr fontId="18" type="noConversion"/>
  </si>
  <si>
    <t>sh270002</t>
    <phoneticPr fontId="18" type="noConversion"/>
  </si>
  <si>
    <t>sh202023</t>
    <phoneticPr fontId="18" type="noConversion"/>
  </si>
  <si>
    <t>今天在场外基金中增加了2019年晨星奖广发稳健增长(270002)和2020年晨星奖南方成长(202023)</t>
    <phoneticPr fontId="18" type="noConversion"/>
  </si>
  <si>
    <t>sh110065</t>
    <phoneticPr fontId="18" type="noConversion"/>
  </si>
  <si>
    <t>sh113033</t>
    <phoneticPr fontId="18" type="noConversion"/>
  </si>
  <si>
    <t>美股再次大涨，昨天A股也涨势良好。年报季报接近尾声，注意避免踩雷。</t>
    <phoneticPr fontId="18" type="noConversion"/>
  </si>
  <si>
    <t>利群转债</t>
  </si>
  <si>
    <t>给辉丰数日子，不放弃，不重仓，平常心对待。</t>
    <phoneticPr fontId="18" type="noConversion"/>
  </si>
  <si>
    <t>新春转债</t>
  </si>
  <si>
    <t>奥佳转债</t>
  </si>
  <si>
    <t>搜特转债!</t>
  </si>
  <si>
    <t>岭南转债!</t>
  </si>
  <si>
    <t>sz128100</t>
    <phoneticPr fontId="18" type="noConversion"/>
  </si>
  <si>
    <t>鹏华回报</t>
  </si>
  <si>
    <t>易基科顺</t>
  </si>
  <si>
    <t>添富配售</t>
  </si>
  <si>
    <t>银华明择</t>
  </si>
  <si>
    <t>嘉实瑞享</t>
  </si>
  <si>
    <t>广发睿阳</t>
  </si>
  <si>
    <t>sz160645</t>
  </si>
  <si>
    <t>sz160726</t>
  </si>
  <si>
    <t>sz161132</t>
  </si>
  <si>
    <t>sh501070</t>
  </si>
  <si>
    <t>sh501188</t>
  </si>
  <si>
    <t>搜特转债</t>
    <phoneticPr fontId="18" type="noConversion"/>
  </si>
  <si>
    <t>平均</t>
    <phoneticPr fontId="18" type="noConversion"/>
  </si>
  <si>
    <t>封基组合</t>
    <phoneticPr fontId="18" type="noConversion"/>
  </si>
  <si>
    <t>周五可转债两极分化，高价债因前期炒作厉害而价值回归加速下跌，低价债相对抗跌。</t>
    <phoneticPr fontId="18" type="noConversion"/>
  </si>
  <si>
    <t>济川药业</t>
    <phoneticPr fontId="18" type="noConversion"/>
  </si>
  <si>
    <t>广发睿阳</t>
    <phoneticPr fontId="18" type="noConversion"/>
  </si>
  <si>
    <t>百川转债!</t>
  </si>
  <si>
    <t>铁汉转债!</t>
  </si>
  <si>
    <t>创业板试点注册制</t>
    <phoneticPr fontId="18" type="noConversion"/>
  </si>
  <si>
    <t>sh113032</t>
    <phoneticPr fontId="18" type="noConversion"/>
  </si>
  <si>
    <t>平均</t>
    <phoneticPr fontId="18" type="noConversion"/>
  </si>
  <si>
    <t>截止到昨天，模拟盘中场内基金、场外基金今年均转正，今年股票、债券、可转债、场内基金、场外基金5个模拟盘只有股票还浮亏，本月股票、场内、场外基金均跑赢沪深300，反而是前期强势的可转债、债券出现了下跌。</t>
    <phoneticPr fontId="18" type="noConversion"/>
  </si>
  <si>
    <t>明泰转债!</t>
  </si>
  <si>
    <t>年报季报最后一天公布完毕，该暴雷的都暴雷了。</t>
    <phoneticPr fontId="18" type="noConversion"/>
  </si>
  <si>
    <t>滨化转债</t>
  </si>
  <si>
    <t>sh113034</t>
    <phoneticPr fontId="18" type="noConversion"/>
  </si>
  <si>
    <t>可转债模拟盘清单已经换。</t>
    <phoneticPr fontId="18" type="noConversion"/>
  </si>
  <si>
    <t>外盘低开高走，估计今天低开后会企稳。071变Q债不能买入，不建议割肉。可转债换榜单，只是一个参考，没必要都今天换。</t>
    <phoneticPr fontId="18" type="noConversion"/>
  </si>
  <si>
    <t>071如期暴跌，但成交非常少。过程可能有点难受，但一年后还是会按照100元加上利息兑付的。和071不同的是泰晶转债这样的双高债，一纸通告可能使得双高债再也回不去了。</t>
    <phoneticPr fontId="18" type="noConversion"/>
  </si>
  <si>
    <t>金轮转债!</t>
  </si>
  <si>
    <t>泰晶如期暴跌，抵御诱惑，坚守双低债。071一个下午没有一分钱成交，耐心持有。</t>
    <phoneticPr fontId="18" type="noConversion"/>
  </si>
  <si>
    <t>外围走稳，市场有望站上2900甚至更高。</t>
    <phoneticPr fontId="18" type="noConversion"/>
  </si>
  <si>
    <t>华源转债!</t>
  </si>
  <si>
    <t>孚日转债</t>
  </si>
  <si>
    <t>A股冲高回落，美股涨跌互现</t>
    <phoneticPr fontId="18" type="noConversion"/>
  </si>
  <si>
    <t>奥瑞转债</t>
  </si>
  <si>
    <t>维尔转债</t>
  </si>
  <si>
    <t>sz123049</t>
    <phoneticPr fontId="18" type="noConversion"/>
  </si>
  <si>
    <t>最近债券、可转债都走低，债性品种和股性品种不同，估值是有底的，越是跌越要有信心。</t>
    <phoneticPr fontId="18" type="noConversion"/>
  </si>
  <si>
    <t>sh113577</t>
  </si>
  <si>
    <t>sh110070</t>
  </si>
  <si>
    <t>sz128105</t>
  </si>
  <si>
    <t>sz127016</t>
  </si>
  <si>
    <t>鲁泰转债</t>
  </si>
  <si>
    <t>凌钢转债</t>
  </si>
  <si>
    <t>最近新高不断，切勿追高。</t>
    <phoneticPr fontId="18" type="noConversion"/>
  </si>
  <si>
    <t>东风转债</t>
  </si>
  <si>
    <t>鹰19转债</t>
  </si>
  <si>
    <t>淮矿转债!</t>
  </si>
  <si>
    <t>可转债溢价率中位数从最高的31.9%跌到26.15%，跌去5.55%，从另外一个角度来说更加安全了。</t>
    <phoneticPr fontId="18" type="noConversion"/>
  </si>
  <si>
    <t>白电转债</t>
  </si>
  <si>
    <t>杭电转债!</t>
  </si>
  <si>
    <t>无锡转债!</t>
  </si>
  <si>
    <t>贵广转债</t>
  </si>
  <si>
    <t>sh110048</t>
    <phoneticPr fontId="18" type="noConversion"/>
  </si>
  <si>
    <t>sh110052</t>
    <phoneticPr fontId="18" type="noConversion"/>
  </si>
  <si>
    <t>福能转债</t>
    <phoneticPr fontId="18" type="noConversion"/>
  </si>
  <si>
    <t>485111</t>
  </si>
  <si>
    <t>217022</t>
  </si>
  <si>
    <t>000032</t>
  </si>
  <si>
    <t>000191</t>
  </si>
  <si>
    <t>050011</t>
  </si>
  <si>
    <t>206018</t>
  </si>
  <si>
    <t>工银瑞信双利债券</t>
  </si>
  <si>
    <t>招商产业债券</t>
  </si>
  <si>
    <t>易方达信用债债券</t>
  </si>
  <si>
    <t>富国信用债债券</t>
  </si>
  <si>
    <t>博时信用债券</t>
  </si>
  <si>
    <t>鹏华产业债债券</t>
  </si>
  <si>
    <t>2019年激进债券</t>
  </si>
  <si>
    <t>2019年普通债券</t>
  </si>
  <si>
    <t>2019年纯债型</t>
  </si>
  <si>
    <t>2020年激进债券</t>
  </si>
  <si>
    <t>2020年普通债券</t>
  </si>
  <si>
    <t>2020年纯债型</t>
  </si>
  <si>
    <t>163402</t>
  </si>
  <si>
    <t>110011</t>
  </si>
  <si>
    <t>兴全趋势投资混合(LOF)</t>
  </si>
  <si>
    <t>易方达中小盘混合</t>
  </si>
  <si>
    <t>2019年激进配置</t>
    <phoneticPr fontId="18" type="noConversion"/>
  </si>
  <si>
    <t>2020年激进配置</t>
    <phoneticPr fontId="18" type="noConversion"/>
  </si>
  <si>
    <t>广发稳健增长混合</t>
  </si>
  <si>
    <t>2019年混合型</t>
  </si>
  <si>
    <t>2020年混合型</t>
  </si>
  <si>
    <t>股票仓位大于70%</t>
    <phoneticPr fontId="18" type="noConversion"/>
  </si>
  <si>
    <t>股票仓位小于70%</t>
    <phoneticPr fontId="18" type="noConversion"/>
  </si>
  <si>
    <t>股票仓位大于10%</t>
    <phoneticPr fontId="18" type="noConversion"/>
  </si>
  <si>
    <t>股票仓位小于10%</t>
    <phoneticPr fontId="18" type="noConversion"/>
  </si>
  <si>
    <t>股票仓位0</t>
    <phoneticPr fontId="18" type="noConversion"/>
  </si>
  <si>
    <t>晨星奖奖项</t>
    <phoneticPr fontId="18" type="noConversion"/>
  </si>
  <si>
    <t>股票仓位</t>
    <phoneticPr fontId="18" type="noConversion"/>
  </si>
  <si>
    <t>sz163402</t>
  </si>
  <si>
    <t>sz110011</t>
  </si>
  <si>
    <t>sz485111</t>
  </si>
  <si>
    <t>sz050011</t>
  </si>
  <si>
    <t>sz217022</t>
  </si>
  <si>
    <t>sz206018</t>
  </si>
  <si>
    <t>sz000032</t>
  </si>
  <si>
    <t>sz000191</t>
  </si>
  <si>
    <t>增加了晨星奖，在目前的震荡市，低仓位的混合型比激进型好。债券里的低仓位的普通债券、纯债比高仓位的激进债券好</t>
    <phoneticPr fontId="18" type="noConversion"/>
  </si>
  <si>
    <t>星帅转债</t>
  </si>
  <si>
    <t>博彦转债</t>
  </si>
  <si>
    <t>同德转债</t>
  </si>
  <si>
    <t>招路转债!</t>
  </si>
  <si>
    <t>骆驼转债!</t>
  </si>
  <si>
    <t>敖东转债!</t>
  </si>
  <si>
    <t>sz128094</t>
  </si>
  <si>
    <t>sz128057</t>
  </si>
  <si>
    <t>sz128103</t>
  </si>
  <si>
    <t>sz128084</t>
  </si>
  <si>
    <t>sz127012</t>
  </si>
  <si>
    <t>sz128083</t>
  </si>
  <si>
    <t>sz127006</t>
  </si>
  <si>
    <t>可转债继续下跌，影响的只是我们到达目的地的路径而不是目标。</t>
    <phoneticPr fontId="18" type="noConversion"/>
  </si>
  <si>
    <t>益丰药房</t>
    <phoneticPr fontId="18" type="noConversion"/>
  </si>
  <si>
    <t>木森转债</t>
    <phoneticPr fontId="18" type="noConversion"/>
  </si>
  <si>
    <t>敖东转债</t>
    <phoneticPr fontId="18" type="noConversion"/>
  </si>
  <si>
    <t>荣晟转债!</t>
  </si>
  <si>
    <t>sh113578</t>
    <phoneticPr fontId="18" type="noConversion"/>
  </si>
  <si>
    <t>美股因为疫苗利空尾盘下跌，A股开盘免不了受影响。</t>
    <phoneticPr fontId="18" type="noConversion"/>
  </si>
  <si>
    <t>福能转债</t>
  </si>
  <si>
    <t>华钰转债!</t>
  </si>
  <si>
    <t>江银转债!</t>
  </si>
  <si>
    <t>sz128034</t>
    <phoneticPr fontId="18" type="noConversion"/>
  </si>
  <si>
    <t>昨天市场调整，银行一枝独秀，晚上美股创反弹以来新高。继续高看一线</t>
    <phoneticPr fontId="18" type="noConversion"/>
  </si>
  <si>
    <t>鼎胜转债!</t>
  </si>
  <si>
    <t>sh113550</t>
    <phoneticPr fontId="18" type="noConversion"/>
  </si>
  <si>
    <t>今天三个可转债上市后基本上要到下个月再有新债了，昨天可转债基本企稳</t>
    <phoneticPr fontId="18" type="noConversion"/>
  </si>
  <si>
    <t>北方转债</t>
  </si>
  <si>
    <t>交科转债</t>
  </si>
  <si>
    <t>sz128107</t>
    <phoneticPr fontId="18" type="noConversion"/>
  </si>
  <si>
    <t>交科转债</t>
    <phoneticPr fontId="18" type="noConversion"/>
  </si>
  <si>
    <t>华安转债</t>
  </si>
  <si>
    <t>利德转债</t>
  </si>
  <si>
    <t>sh113581</t>
    <phoneticPr fontId="18" type="noConversion"/>
  </si>
  <si>
    <t>sh113547</t>
  </si>
  <si>
    <t>sh110045</t>
  </si>
  <si>
    <t>sh110067</t>
  </si>
  <si>
    <t>sz123035</t>
  </si>
  <si>
    <t>富时罗素指数进一步扩容，A股跌幅不会很大。</t>
    <phoneticPr fontId="18" type="noConversion"/>
  </si>
  <si>
    <t>sz128048</t>
    <phoneticPr fontId="18" type="noConversion"/>
  </si>
  <si>
    <t>股市有走稳迹象，但可转债还在继续调整之中。</t>
    <phoneticPr fontId="18" type="noConversion"/>
  </si>
  <si>
    <t>海亮转债</t>
  </si>
  <si>
    <t>迪贝转债!</t>
  </si>
  <si>
    <t>股票仓位大于70%</t>
    <phoneticPr fontId="18" type="noConversion"/>
  </si>
  <si>
    <t>可转债经过11天连续下跌后，昨天终于出现了反弹。和一个月前比，投资可转债其实更加安全，只不过需要时间来证明。</t>
    <phoneticPr fontId="18" type="noConversion"/>
  </si>
  <si>
    <t>本月第一次出现可转债的正股下跌，可转债上涨的现象。</t>
    <phoneticPr fontId="18" type="noConversion"/>
  </si>
  <si>
    <t>新北转债</t>
  </si>
  <si>
    <t>sh110057</t>
    <phoneticPr fontId="18" type="noConversion"/>
  </si>
  <si>
    <t>维格转债</t>
    <phoneticPr fontId="18" type="noConversion"/>
  </si>
  <si>
    <t>白云机场</t>
    <phoneticPr fontId="18" type="noConversion"/>
  </si>
  <si>
    <t>中国巨石</t>
    <phoneticPr fontId="18" type="noConversion"/>
  </si>
  <si>
    <t>金地集团</t>
    <phoneticPr fontId="18" type="noConversion"/>
  </si>
  <si>
    <t>方大特钢</t>
    <phoneticPr fontId="18" type="noConversion"/>
  </si>
  <si>
    <t>福耀玻璃</t>
    <phoneticPr fontId="18" type="noConversion"/>
  </si>
  <si>
    <t>海尔智家</t>
    <phoneticPr fontId="18" type="noConversion"/>
  </si>
  <si>
    <t>大秦铁路</t>
    <phoneticPr fontId="18" type="noConversion"/>
  </si>
  <si>
    <t>兴业银行</t>
    <phoneticPr fontId="18" type="noConversion"/>
  </si>
  <si>
    <t>滨化股份</t>
    <phoneticPr fontId="18" type="noConversion"/>
  </si>
  <si>
    <t>格力电器</t>
    <phoneticPr fontId="18" type="noConversion"/>
  </si>
  <si>
    <t>天山股份</t>
    <phoneticPr fontId="18" type="noConversion"/>
  </si>
  <si>
    <t>分众传媒</t>
    <phoneticPr fontId="18" type="noConversion"/>
  </si>
  <si>
    <t>信立泰</t>
    <phoneticPr fontId="18" type="noConversion"/>
  </si>
  <si>
    <t>海康威视</t>
    <phoneticPr fontId="18" type="noConversion"/>
  </si>
  <si>
    <t>停牌</t>
    <phoneticPr fontId="18" type="noConversion"/>
  </si>
  <si>
    <t>模塑转债</t>
    <phoneticPr fontId="18" type="noConversion"/>
  </si>
  <si>
    <t>长盈精密</t>
    <phoneticPr fontId="18" type="noConversion"/>
  </si>
  <si>
    <t>宋城演艺</t>
    <phoneticPr fontId="18" type="noConversion"/>
  </si>
  <si>
    <t>社会责任</t>
    <phoneticPr fontId="18" type="noConversion"/>
  </si>
  <si>
    <t>银华明择</t>
    <phoneticPr fontId="18" type="noConversion"/>
  </si>
  <si>
    <t>300ETF</t>
    <phoneticPr fontId="18" type="noConversion"/>
  </si>
  <si>
    <t>H股ETF</t>
    <phoneticPr fontId="18" type="noConversion"/>
  </si>
  <si>
    <t>无锡转债</t>
    <phoneticPr fontId="18" type="noConversion"/>
  </si>
  <si>
    <t>中鼎转2</t>
    <phoneticPr fontId="18" type="noConversion"/>
  </si>
  <si>
    <t>金农转债</t>
    <phoneticPr fontId="18" type="noConversion"/>
  </si>
  <si>
    <t>易基科顺</t>
    <phoneticPr fontId="18" type="noConversion"/>
  </si>
  <si>
    <t>滨化转债</t>
    <phoneticPr fontId="18" type="noConversion"/>
  </si>
  <si>
    <t>sh600570</t>
    <phoneticPr fontId="18" type="noConversion"/>
  </si>
  <si>
    <t>三星转债</t>
    <phoneticPr fontId="18" type="noConversion"/>
  </si>
  <si>
    <t>海印转债</t>
    <phoneticPr fontId="18" type="noConversion"/>
  </si>
  <si>
    <t>上汽集团</t>
    <phoneticPr fontId="18" type="noConversion"/>
  </si>
  <si>
    <t>华夏幸福</t>
    <phoneticPr fontId="18" type="noConversion"/>
  </si>
  <si>
    <t>*ST安信</t>
    <phoneticPr fontId="18" type="noConversion"/>
  </si>
  <si>
    <t>宏发股份</t>
    <phoneticPr fontId="18" type="noConversion"/>
  </si>
  <si>
    <t>隆基股份</t>
    <phoneticPr fontId="18" type="noConversion"/>
  </si>
  <si>
    <t>光迅科技</t>
    <phoneticPr fontId="18" type="noConversion"/>
  </si>
  <si>
    <t>金禾实业</t>
    <phoneticPr fontId="18" type="noConversion"/>
  </si>
  <si>
    <t>铁汉转债</t>
    <phoneticPr fontId="18" type="noConversion"/>
  </si>
  <si>
    <t>洪涛转债</t>
    <phoneticPr fontId="18" type="noConversion"/>
  </si>
  <si>
    <t>财通福鑫</t>
    <phoneticPr fontId="18" type="noConversion"/>
  </si>
  <si>
    <t>50ETF</t>
    <phoneticPr fontId="18" type="noConversion"/>
  </si>
  <si>
    <t>医药ETF</t>
    <phoneticPr fontId="18" type="noConversion"/>
  </si>
  <si>
    <t>银行基金</t>
    <phoneticPr fontId="18" type="noConversion"/>
  </si>
  <si>
    <t>白电转债</t>
    <phoneticPr fontId="18" type="noConversion"/>
  </si>
  <si>
    <t>司尔转债</t>
    <phoneticPr fontId="18" type="noConversion"/>
  </si>
  <si>
    <t>伟明环保</t>
    <phoneticPr fontId="18" type="noConversion"/>
  </si>
  <si>
    <t>方大集团</t>
    <phoneticPr fontId="18" type="noConversion"/>
  </si>
  <si>
    <t>锡业股份</t>
    <phoneticPr fontId="18" type="noConversion"/>
  </si>
  <si>
    <t>金轮转债</t>
    <phoneticPr fontId="18" type="noConversion"/>
  </si>
  <si>
    <t>中欧瑞丰</t>
    <phoneticPr fontId="18" type="noConversion"/>
  </si>
  <si>
    <t>华夏银行</t>
    <phoneticPr fontId="18" type="noConversion"/>
  </si>
  <si>
    <t>安琪酵母</t>
    <phoneticPr fontId="18" type="noConversion"/>
  </si>
  <si>
    <t>国电南瑞</t>
    <phoneticPr fontId="18" type="noConversion"/>
  </si>
  <si>
    <t>双汇发展</t>
    <phoneticPr fontId="18" type="noConversion"/>
  </si>
  <si>
    <t>冀中能源</t>
    <phoneticPr fontId="18" type="noConversion"/>
  </si>
  <si>
    <t>苏 泊 尔</t>
    <phoneticPr fontId="18" type="noConversion"/>
  </si>
  <si>
    <t>中国互联</t>
    <phoneticPr fontId="18" type="noConversion"/>
  </si>
  <si>
    <t>中概互联</t>
    <phoneticPr fontId="18" type="noConversion"/>
  </si>
  <si>
    <t>嘉实瑞享</t>
    <phoneticPr fontId="18" type="noConversion"/>
  </si>
  <si>
    <t>丽珠集团</t>
    <phoneticPr fontId="18" type="noConversion"/>
  </si>
  <si>
    <t>索菲亚</t>
    <phoneticPr fontId="18" type="noConversion"/>
  </si>
  <si>
    <t>华源转债</t>
    <phoneticPr fontId="18" type="noConversion"/>
  </si>
  <si>
    <t>兴全合宜</t>
    <phoneticPr fontId="18" type="noConversion"/>
  </si>
  <si>
    <t>吉视转债</t>
    <phoneticPr fontId="18" type="noConversion"/>
  </si>
  <si>
    <t>文灿转债</t>
    <phoneticPr fontId="18" type="noConversion"/>
  </si>
  <si>
    <t>添富配售</t>
    <phoneticPr fontId="18" type="noConversion"/>
  </si>
  <si>
    <t>凌钢转债</t>
    <phoneticPr fontId="18" type="noConversion"/>
  </si>
  <si>
    <t>常汽转债</t>
    <phoneticPr fontId="18" type="noConversion"/>
  </si>
  <si>
    <t>上证指数</t>
    <phoneticPr fontId="18" type="noConversion"/>
  </si>
  <si>
    <t>济川转债</t>
    <phoneticPr fontId="18" type="noConversion"/>
  </si>
  <si>
    <t>永鼎转债</t>
    <phoneticPr fontId="18" type="noConversion"/>
  </si>
  <si>
    <t>骆驼转债</t>
    <phoneticPr fontId="18" type="noConversion"/>
  </si>
  <si>
    <t>林洋转债</t>
    <phoneticPr fontId="18" type="noConversion"/>
  </si>
  <si>
    <t>小康转债</t>
    <phoneticPr fontId="18" type="noConversion"/>
  </si>
  <si>
    <t>嘉澳转债</t>
    <phoneticPr fontId="18" type="noConversion"/>
  </si>
  <si>
    <t>鼎胜转债</t>
    <phoneticPr fontId="18" type="noConversion"/>
  </si>
  <si>
    <t>荣晟转债</t>
    <phoneticPr fontId="18" type="noConversion"/>
  </si>
  <si>
    <t>迪贝转债</t>
    <phoneticPr fontId="18" type="noConversion"/>
  </si>
  <si>
    <t>15康美债</t>
    <phoneticPr fontId="18" type="noConversion"/>
  </si>
  <si>
    <t>09海航债</t>
    <phoneticPr fontId="18" type="noConversion"/>
  </si>
  <si>
    <t>13海航债</t>
    <phoneticPr fontId="18" type="noConversion"/>
  </si>
  <si>
    <t>宝钢股份</t>
    <phoneticPr fontId="18" type="noConversion"/>
  </si>
  <si>
    <t>中国石化</t>
    <phoneticPr fontId="18" type="noConversion"/>
  </si>
  <si>
    <t>恒瑞医药</t>
    <phoneticPr fontId="18" type="noConversion"/>
  </si>
  <si>
    <t>万华化学</t>
    <phoneticPr fontId="18" type="noConversion"/>
  </si>
  <si>
    <t>华发股份</t>
    <phoneticPr fontId="18" type="noConversion"/>
  </si>
  <si>
    <t>海澜之家</t>
    <phoneticPr fontId="18" type="noConversion"/>
  </si>
  <si>
    <t>亨通光电</t>
    <phoneticPr fontId="18" type="noConversion"/>
  </si>
  <si>
    <t>万业企业</t>
    <phoneticPr fontId="18" type="noConversion"/>
  </si>
  <si>
    <t>华新水泥</t>
    <phoneticPr fontId="18" type="noConversion"/>
  </si>
  <si>
    <t>通化东宝</t>
    <phoneticPr fontId="18" type="noConversion"/>
  </si>
  <si>
    <t>南京银行</t>
    <phoneticPr fontId="18" type="noConversion"/>
  </si>
  <si>
    <t>陕西煤业</t>
    <phoneticPr fontId="18" type="noConversion"/>
  </si>
  <si>
    <t>交通银行</t>
    <phoneticPr fontId="18" type="noConversion"/>
  </si>
  <si>
    <t>中国石油</t>
    <phoneticPr fontId="18" type="noConversion"/>
  </si>
  <si>
    <t>中国国旅</t>
    <phoneticPr fontId="18" type="noConversion"/>
  </si>
  <si>
    <t>中国银行</t>
    <phoneticPr fontId="18" type="noConversion"/>
  </si>
  <si>
    <t>景旺电子</t>
    <phoneticPr fontId="18" type="noConversion"/>
  </si>
  <si>
    <t>海天味业</t>
    <phoneticPr fontId="18" type="noConversion"/>
  </si>
  <si>
    <t>浙江鼎力</t>
    <phoneticPr fontId="18" type="noConversion"/>
  </si>
  <si>
    <t>欧普照明</t>
    <phoneticPr fontId="18" type="noConversion"/>
  </si>
  <si>
    <t>飞科电器</t>
    <phoneticPr fontId="18" type="noConversion"/>
  </si>
  <si>
    <t>万 科Ａ</t>
    <phoneticPr fontId="18" type="noConversion"/>
  </si>
  <si>
    <t>深物业A</t>
    <phoneticPr fontId="18" type="noConversion"/>
  </si>
  <si>
    <t>东阿阿胶</t>
    <phoneticPr fontId="18" type="noConversion"/>
  </si>
  <si>
    <t>晨鸣纸业</t>
    <phoneticPr fontId="18" type="noConversion"/>
  </si>
  <si>
    <t>柳 工</t>
    <phoneticPr fontId="18" type="noConversion"/>
  </si>
  <si>
    <t>云南白药</t>
    <phoneticPr fontId="18" type="noConversion"/>
  </si>
  <si>
    <t>华东医药</t>
    <phoneticPr fontId="18" type="noConversion"/>
  </si>
  <si>
    <t>大族激光</t>
    <phoneticPr fontId="18" type="noConversion"/>
  </si>
  <si>
    <t>亿帆医药</t>
    <phoneticPr fontId="18" type="noConversion"/>
  </si>
  <si>
    <t>三花智控</t>
    <phoneticPr fontId="18" type="noConversion"/>
  </si>
  <si>
    <t>黑猫股份</t>
    <phoneticPr fontId="18" type="noConversion"/>
  </si>
  <si>
    <t>太阳纸业</t>
    <phoneticPr fontId="18" type="noConversion"/>
  </si>
  <si>
    <t>中泰化学</t>
    <phoneticPr fontId="18" type="noConversion"/>
  </si>
  <si>
    <t>宁波银行</t>
    <phoneticPr fontId="18" type="noConversion"/>
  </si>
  <si>
    <t>卫 士 通</t>
    <phoneticPr fontId="18" type="noConversion"/>
  </si>
  <si>
    <t>东方雨虹</t>
    <phoneticPr fontId="18" type="noConversion"/>
  </si>
  <si>
    <t>洋河股份</t>
    <phoneticPr fontId="18" type="noConversion"/>
  </si>
  <si>
    <t>*ST康得</t>
    <phoneticPr fontId="18" type="noConversion"/>
  </si>
  <si>
    <t>老板电器</t>
    <phoneticPr fontId="18" type="noConversion"/>
  </si>
  <si>
    <t>*ST海源</t>
    <phoneticPr fontId="18" type="noConversion"/>
  </si>
  <si>
    <t>兄弟科技</t>
    <phoneticPr fontId="18" type="noConversion"/>
  </si>
  <si>
    <t>海能达</t>
    <phoneticPr fontId="18" type="noConversion"/>
  </si>
  <si>
    <t>龙蟒佰利</t>
    <phoneticPr fontId="18" type="noConversion"/>
  </si>
  <si>
    <t>岱勒转债</t>
    <phoneticPr fontId="18" type="noConversion"/>
  </si>
  <si>
    <t>中环转债</t>
    <phoneticPr fontId="18" type="noConversion"/>
  </si>
  <si>
    <t>清水转债</t>
    <phoneticPr fontId="18" type="noConversion"/>
  </si>
  <si>
    <t>万里转债</t>
    <phoneticPr fontId="18" type="noConversion"/>
  </si>
  <si>
    <t>通光转债</t>
    <phoneticPr fontId="18" type="noConversion"/>
  </si>
  <si>
    <t>永东转债</t>
    <phoneticPr fontId="18" type="noConversion"/>
  </si>
  <si>
    <t>久其转债</t>
    <phoneticPr fontId="18" type="noConversion"/>
  </si>
  <si>
    <t>时达转债</t>
    <phoneticPr fontId="18" type="noConversion"/>
  </si>
  <si>
    <t>众信转债</t>
    <phoneticPr fontId="18" type="noConversion"/>
  </si>
  <si>
    <t>亚太转债</t>
    <phoneticPr fontId="18" type="noConversion"/>
  </si>
  <si>
    <t>众兴转债</t>
    <phoneticPr fontId="18" type="noConversion"/>
  </si>
  <si>
    <t>双环转债</t>
    <phoneticPr fontId="18" type="noConversion"/>
  </si>
  <si>
    <t>岩土转债</t>
    <phoneticPr fontId="18" type="noConversion"/>
  </si>
  <si>
    <t>尚荣转债</t>
    <phoneticPr fontId="18" type="noConversion"/>
  </si>
  <si>
    <t>今飞转债</t>
    <phoneticPr fontId="18" type="noConversion"/>
  </si>
  <si>
    <t>亚药转债</t>
    <phoneticPr fontId="18" type="noConversion"/>
  </si>
  <si>
    <t>雅化转债</t>
    <phoneticPr fontId="18" type="noConversion"/>
  </si>
  <si>
    <t>亚泰转债</t>
    <phoneticPr fontId="18" type="noConversion"/>
  </si>
  <si>
    <t>聚光科技</t>
    <phoneticPr fontId="18" type="noConversion"/>
  </si>
  <si>
    <t>利亚德</t>
    <phoneticPr fontId="18" type="noConversion"/>
  </si>
  <si>
    <t>创业板指</t>
    <phoneticPr fontId="18" type="noConversion"/>
  </si>
  <si>
    <t>科创主题</t>
    <phoneticPr fontId="18" type="noConversion"/>
  </si>
  <si>
    <t>科创配置</t>
    <phoneticPr fontId="18" type="noConversion"/>
  </si>
  <si>
    <t>地产ETF</t>
    <phoneticPr fontId="18" type="noConversion"/>
  </si>
  <si>
    <t>半导体50</t>
    <phoneticPr fontId="18" type="noConversion"/>
  </si>
  <si>
    <t>纳指ETF</t>
    <phoneticPr fontId="18" type="noConversion"/>
  </si>
  <si>
    <t>科技ETF</t>
    <phoneticPr fontId="18" type="noConversion"/>
  </si>
  <si>
    <t>浦发转债</t>
    <phoneticPr fontId="18" type="noConversion"/>
  </si>
  <si>
    <t>建工转债</t>
    <phoneticPr fontId="18" type="noConversion"/>
  </si>
  <si>
    <t>中信转债</t>
    <phoneticPr fontId="18" type="noConversion"/>
  </si>
  <si>
    <t>核建转债</t>
    <phoneticPr fontId="18" type="noConversion"/>
  </si>
  <si>
    <t>核能转债</t>
    <phoneticPr fontId="18" type="noConversion"/>
  </si>
  <si>
    <t>杭电转债</t>
    <phoneticPr fontId="18" type="noConversion"/>
  </si>
  <si>
    <t>新凤转债</t>
    <phoneticPr fontId="18" type="noConversion"/>
  </si>
  <si>
    <t>苏农转债</t>
    <phoneticPr fontId="18" type="noConversion"/>
  </si>
  <si>
    <t>台华转债</t>
    <phoneticPr fontId="18" type="noConversion"/>
  </si>
  <si>
    <t>长城转债</t>
    <phoneticPr fontId="18" type="noConversion"/>
  </si>
  <si>
    <t>海环转债</t>
    <phoneticPr fontId="18" type="noConversion"/>
  </si>
  <si>
    <t>大业转债</t>
    <phoneticPr fontId="18" type="noConversion"/>
  </si>
  <si>
    <t>金能转债</t>
    <phoneticPr fontId="18" type="noConversion"/>
  </si>
  <si>
    <t>合兴转债</t>
    <phoneticPr fontId="18" type="noConversion"/>
  </si>
  <si>
    <t>华锋转债</t>
    <phoneticPr fontId="18" type="noConversion"/>
  </si>
  <si>
    <t>孚日转债</t>
    <phoneticPr fontId="18" type="noConversion"/>
  </si>
  <si>
    <t>山鹰转债</t>
    <phoneticPr fontId="18" type="noConversion"/>
  </si>
  <si>
    <t>苏银转债</t>
    <phoneticPr fontId="18" type="noConversion"/>
  </si>
  <si>
    <t>明泰转债</t>
    <phoneticPr fontId="18" type="noConversion"/>
  </si>
  <si>
    <t>华钰转债</t>
    <phoneticPr fontId="18" type="noConversion"/>
  </si>
  <si>
    <t>东风转债</t>
    <phoneticPr fontId="18" type="noConversion"/>
  </si>
  <si>
    <t>德尔转债</t>
    <phoneticPr fontId="18" type="noConversion"/>
  </si>
  <si>
    <t>蓝盾转债</t>
    <phoneticPr fontId="18" type="noConversion"/>
  </si>
  <si>
    <t>湖广转债</t>
    <phoneticPr fontId="18" type="noConversion"/>
  </si>
  <si>
    <t>兄弟转债</t>
    <phoneticPr fontId="18" type="noConversion"/>
  </si>
  <si>
    <t>迪龙转债</t>
    <phoneticPr fontId="18" type="noConversion"/>
  </si>
  <si>
    <t>远东转债</t>
    <phoneticPr fontId="18" type="noConversion"/>
  </si>
  <si>
    <t>奥瑞转债</t>
    <phoneticPr fontId="18" type="noConversion"/>
  </si>
  <si>
    <t>海亮转债</t>
    <phoneticPr fontId="18" type="noConversion"/>
  </si>
  <si>
    <t>长久转债</t>
    <phoneticPr fontId="18" type="noConversion"/>
  </si>
  <si>
    <t>鹰19转债</t>
    <phoneticPr fontId="18" type="noConversion"/>
  </si>
  <si>
    <t>奇精转债</t>
    <phoneticPr fontId="18" type="noConversion"/>
  </si>
  <si>
    <t>新春转债</t>
    <phoneticPr fontId="18" type="noConversion"/>
  </si>
  <si>
    <t>奥佳转债</t>
    <phoneticPr fontId="18" type="noConversion"/>
  </si>
  <si>
    <t>利群转债</t>
    <phoneticPr fontId="18" type="noConversion"/>
  </si>
  <si>
    <t>淮矿转债</t>
    <phoneticPr fontId="18" type="noConversion"/>
  </si>
  <si>
    <t>鹏华回报</t>
    <phoneticPr fontId="18" type="noConversion"/>
  </si>
  <si>
    <t>桐20转债</t>
    <phoneticPr fontId="18" type="noConversion"/>
  </si>
  <si>
    <t>维尔转债</t>
    <phoneticPr fontId="18" type="noConversion"/>
  </si>
  <si>
    <t>春秋转债</t>
    <phoneticPr fontId="18" type="noConversion"/>
  </si>
  <si>
    <t>长集转债</t>
    <phoneticPr fontId="18" type="noConversion"/>
  </si>
  <si>
    <t>鲁泰转债</t>
    <phoneticPr fontId="18" type="noConversion"/>
  </si>
  <si>
    <t>贵广转债</t>
    <phoneticPr fontId="18" type="noConversion"/>
  </si>
  <si>
    <t>星帅转债</t>
    <phoneticPr fontId="18" type="noConversion"/>
  </si>
  <si>
    <t>博彦转债</t>
    <phoneticPr fontId="18" type="noConversion"/>
  </si>
  <si>
    <t>同德转债</t>
    <phoneticPr fontId="18" type="noConversion"/>
  </si>
  <si>
    <t>招路转债</t>
    <phoneticPr fontId="18" type="noConversion"/>
  </si>
  <si>
    <t>新北转债</t>
    <phoneticPr fontId="18" type="noConversion"/>
  </si>
  <si>
    <t>全筑转债</t>
    <phoneticPr fontId="18" type="noConversion"/>
  </si>
  <si>
    <t>江银转债</t>
    <phoneticPr fontId="18" type="noConversion"/>
  </si>
  <si>
    <t>龙蟠转债</t>
    <phoneticPr fontId="18" type="noConversion"/>
  </si>
  <si>
    <t>索发转债</t>
    <phoneticPr fontId="18" type="noConversion"/>
  </si>
  <si>
    <t>海澜转债</t>
    <phoneticPr fontId="18" type="noConversion"/>
  </si>
  <si>
    <t>华安转债</t>
    <phoneticPr fontId="18" type="noConversion"/>
  </si>
  <si>
    <t>利德转债</t>
    <phoneticPr fontId="18" type="noConversion"/>
  </si>
  <si>
    <t>张行转债</t>
    <phoneticPr fontId="18" type="noConversion"/>
  </si>
  <si>
    <t>现代转债</t>
    <phoneticPr fontId="18" type="noConversion"/>
  </si>
  <si>
    <t>恒生电子</t>
    <phoneticPr fontId="18" type="noConversion"/>
  </si>
  <si>
    <t>银行、保险、券商金三胖走稳，外资重新流入</t>
    <phoneticPr fontId="18" type="noConversion"/>
  </si>
  <si>
    <t>XD保利地</t>
    <phoneticPr fontId="18" type="noConversion"/>
  </si>
  <si>
    <t>杭电转债</t>
  </si>
  <si>
    <t>迪龙转债</t>
  </si>
  <si>
    <t>吉视转债</t>
  </si>
  <si>
    <t>双环转债</t>
  </si>
  <si>
    <t>铁汉转债</t>
  </si>
  <si>
    <t>众兴转债</t>
  </si>
  <si>
    <t>亚太转债</t>
  </si>
  <si>
    <t>众信转债</t>
  </si>
  <si>
    <t>嘉澳转债</t>
  </si>
  <si>
    <t>时达转债</t>
  </si>
  <si>
    <t>小康转债</t>
  </si>
  <si>
    <t>林洋转债</t>
  </si>
  <si>
    <t>久其转债</t>
  </si>
  <si>
    <t>模塑转债</t>
  </si>
  <si>
    <t>永东转债</t>
  </si>
  <si>
    <t>骆驼转债</t>
  </si>
  <si>
    <t>洪涛转债</t>
  </si>
  <si>
    <t>海印转债</t>
  </si>
  <si>
    <t>辉丰转债</t>
  </si>
  <si>
    <t>顺昌转债</t>
  </si>
  <si>
    <t>剩余年限</t>
  </si>
  <si>
    <t>龙蟠转债</t>
  </si>
  <si>
    <t>康隆转债</t>
  </si>
  <si>
    <t>纵横转债</t>
  </si>
  <si>
    <t>聚飞转债</t>
  </si>
  <si>
    <t>凌钢转债!</t>
  </si>
  <si>
    <t>应急转债</t>
  </si>
  <si>
    <t>起步转债!</t>
  </si>
  <si>
    <t>利群转债!</t>
  </si>
  <si>
    <t>华体转债</t>
  </si>
  <si>
    <t>久吾转债</t>
  </si>
  <si>
    <t>联创转债!</t>
  </si>
  <si>
    <t>雷迪转债</t>
  </si>
  <si>
    <t>红相转债</t>
  </si>
  <si>
    <t>百达转债</t>
  </si>
  <si>
    <t>科达转债!</t>
  </si>
  <si>
    <t>正元转债</t>
  </si>
  <si>
    <t>君禾转债</t>
  </si>
  <si>
    <t>翔港转债</t>
  </si>
  <si>
    <t>天目转债</t>
  </si>
  <si>
    <t>奥佳转债!</t>
  </si>
  <si>
    <t>银河转债!</t>
  </si>
  <si>
    <t>正裕转债!</t>
  </si>
  <si>
    <t>唐人转债</t>
  </si>
  <si>
    <t>开润转债!</t>
  </si>
  <si>
    <t>永创转债!</t>
  </si>
  <si>
    <t>森特转债</t>
  </si>
  <si>
    <t>孚日转债!</t>
  </si>
  <si>
    <t>新北转债!</t>
  </si>
  <si>
    <t>华锋转债!</t>
  </si>
  <si>
    <t>利德转债!</t>
  </si>
  <si>
    <t>金力转债!</t>
  </si>
  <si>
    <t>万里转债!</t>
  </si>
  <si>
    <t>哈尔转债!</t>
  </si>
  <si>
    <t>翔鹭转债!</t>
  </si>
  <si>
    <t>智能转债!</t>
  </si>
  <si>
    <t>华森转债!</t>
  </si>
  <si>
    <t>蓝晓转债!</t>
  </si>
  <si>
    <t>永鼎转债!</t>
  </si>
  <si>
    <t>未来转债</t>
  </si>
  <si>
    <t>亚药转债!</t>
  </si>
  <si>
    <t>大丰转债!</t>
  </si>
  <si>
    <t>岱勒转债!</t>
  </si>
  <si>
    <t>伊力转债!</t>
  </si>
  <si>
    <t>拓邦转债</t>
  </si>
  <si>
    <t>贵广转债!</t>
  </si>
  <si>
    <t>光华转债!</t>
  </si>
  <si>
    <t>福能转债!</t>
  </si>
  <si>
    <t>长久转债!</t>
  </si>
  <si>
    <t>凯中转债!</t>
  </si>
  <si>
    <t>海澜转债!</t>
  </si>
  <si>
    <t>博世转债!</t>
  </si>
  <si>
    <t>大族转债!</t>
  </si>
  <si>
    <t>道氏转债!!</t>
  </si>
  <si>
    <t>特一转债!</t>
  </si>
  <si>
    <t>嘉澳转债!</t>
  </si>
  <si>
    <t>久其转债!</t>
  </si>
  <si>
    <t>海印转债!</t>
  </si>
  <si>
    <t>sh110055</t>
  </si>
  <si>
    <t>sh113530</t>
  </si>
  <si>
    <t>sz123007</t>
  </si>
  <si>
    <t>sz123010</t>
  </si>
  <si>
    <t>sz123027</t>
  </si>
  <si>
    <t>sz123033</t>
  </si>
  <si>
    <t>sz128025</t>
  </si>
  <si>
    <t>sz128035</t>
  </si>
  <si>
    <t>sz128042</t>
  </si>
  <si>
    <t>sz128051</t>
  </si>
  <si>
    <t>sz128058</t>
  </si>
  <si>
    <t>sz128063</t>
  </si>
  <si>
    <t>sz128069</t>
  </si>
  <si>
    <t>sz128070</t>
  </si>
  <si>
    <t>sz128072</t>
  </si>
  <si>
    <t>sz128073</t>
  </si>
  <si>
    <t>sh113557</t>
  </si>
  <si>
    <t>sh113559</t>
  </si>
  <si>
    <t>sh113561</t>
  </si>
  <si>
    <t>sh113564</t>
  </si>
  <si>
    <t>sh113566</t>
  </si>
  <si>
    <t>sh113567</t>
  </si>
  <si>
    <t>sh113569</t>
  </si>
  <si>
    <t>sh113570</t>
  </si>
  <si>
    <t>sh113573</t>
  </si>
  <si>
    <t>sh113574</t>
  </si>
  <si>
    <t>sh113576</t>
  </si>
  <si>
    <t>sh113580</t>
  </si>
  <si>
    <t>sz123039</t>
  </si>
  <si>
    <t>sz123042</t>
  </si>
  <si>
    <t>sz123043</t>
  </si>
  <si>
    <t>sz123044</t>
  </si>
  <si>
    <t>sz123045</t>
  </si>
  <si>
    <t>sz123047</t>
  </si>
  <si>
    <t>sz123048</t>
  </si>
  <si>
    <t>sz123050</t>
  </si>
  <si>
    <t>sz128101</t>
  </si>
  <si>
    <t>伊力转债</t>
    <phoneticPr fontId="18" type="noConversion"/>
  </si>
  <si>
    <t>大丰转债</t>
    <phoneticPr fontId="18" type="noConversion"/>
  </si>
  <si>
    <t>道氏转债</t>
    <phoneticPr fontId="18" type="noConversion"/>
  </si>
  <si>
    <t>博世转债</t>
    <phoneticPr fontId="18" type="noConversion"/>
  </si>
  <si>
    <t>蓝晓转债</t>
    <phoneticPr fontId="18" type="noConversion"/>
  </si>
  <si>
    <t>金力转债</t>
    <phoneticPr fontId="18" type="noConversion"/>
  </si>
  <si>
    <t>特一转债</t>
    <phoneticPr fontId="18" type="noConversion"/>
  </si>
  <si>
    <t>大族转债</t>
    <phoneticPr fontId="18" type="noConversion"/>
  </si>
  <si>
    <t>凯中转债</t>
    <phoneticPr fontId="18" type="noConversion"/>
  </si>
  <si>
    <t>光华转债</t>
    <phoneticPr fontId="18" type="noConversion"/>
  </si>
  <si>
    <t>拓邦转债</t>
    <phoneticPr fontId="18" type="noConversion"/>
  </si>
  <si>
    <t>未来转债</t>
    <phoneticPr fontId="18" type="noConversion"/>
  </si>
  <si>
    <t>华森转债</t>
    <phoneticPr fontId="18" type="noConversion"/>
  </si>
  <si>
    <t>智能转债</t>
    <phoneticPr fontId="18" type="noConversion"/>
  </si>
  <si>
    <t>翔鹭转债</t>
    <phoneticPr fontId="18" type="noConversion"/>
  </si>
  <si>
    <t>哈尔转债</t>
    <phoneticPr fontId="18" type="noConversion"/>
  </si>
  <si>
    <t>这是剔除ytm&lt;0按照剩余年限得到的排名，排名日期为最近一个交易日</t>
    <phoneticPr fontId="18" type="noConversion"/>
  </si>
  <si>
    <t>这是剔除ytm&lt;0后按照2019年12月31日的剩余年限排名最小的前20名</t>
    <phoneticPr fontId="18" type="noConversion"/>
  </si>
  <si>
    <t>备注：除ytm&lt;0和PB&gt;2的可转债后，按照溢价率排名和YTM排名各占50%后得到的排名，排名日期为2020年5月29日收盘</t>
    <phoneticPr fontId="18" type="noConversion"/>
  </si>
  <si>
    <t>增加了可转债的死守模式，具体介绍见培训资料</t>
    <phoneticPr fontId="18" type="noConversion"/>
  </si>
  <si>
    <t>蛋卷开户</t>
    <phoneticPr fontId="18" type="noConversion"/>
  </si>
  <si>
    <t>https://danjuanapp.com/marketopenaccount?channel=1500000501</t>
  </si>
  <si>
    <t>sz000001</t>
    <phoneticPr fontId="18" type="noConversion"/>
  </si>
  <si>
    <t>sh600000</t>
    <phoneticPr fontId="18" type="noConversion"/>
  </si>
  <si>
    <t>平安银行</t>
  </si>
  <si>
    <t>森特转债</t>
    <phoneticPr fontId="18" type="noConversion"/>
  </si>
  <si>
    <t>永创转债</t>
    <phoneticPr fontId="18" type="noConversion"/>
  </si>
  <si>
    <t>正裕转债</t>
    <phoneticPr fontId="18" type="noConversion"/>
  </si>
  <si>
    <t>天目转债</t>
    <phoneticPr fontId="18" type="noConversion"/>
  </si>
  <si>
    <t>翔港转债</t>
    <phoneticPr fontId="18" type="noConversion"/>
  </si>
  <si>
    <t>君禾转债</t>
    <phoneticPr fontId="18" type="noConversion"/>
  </si>
  <si>
    <t>科达转债</t>
    <phoneticPr fontId="18" type="noConversion"/>
  </si>
  <si>
    <t>百达转债</t>
    <phoneticPr fontId="18" type="noConversion"/>
  </si>
  <si>
    <t>纵横转债</t>
    <phoneticPr fontId="18" type="noConversion"/>
  </si>
  <si>
    <t>华体转债</t>
    <phoneticPr fontId="18" type="noConversion"/>
  </si>
  <si>
    <t>起步转债</t>
    <phoneticPr fontId="18" type="noConversion"/>
  </si>
  <si>
    <t>康隆转债</t>
    <phoneticPr fontId="18" type="noConversion"/>
  </si>
  <si>
    <t>开润转债</t>
    <phoneticPr fontId="18" type="noConversion"/>
  </si>
  <si>
    <t>银河转债</t>
    <phoneticPr fontId="18" type="noConversion"/>
  </si>
  <si>
    <t>正元转债</t>
    <phoneticPr fontId="18" type="noConversion"/>
  </si>
  <si>
    <t>红相转债</t>
    <phoneticPr fontId="18" type="noConversion"/>
  </si>
  <si>
    <t>雷迪转债</t>
    <phoneticPr fontId="18" type="noConversion"/>
  </si>
  <si>
    <t>久吾转债</t>
    <phoneticPr fontId="18" type="noConversion"/>
  </si>
  <si>
    <t>应急转债</t>
    <phoneticPr fontId="18" type="noConversion"/>
  </si>
  <si>
    <t>聚飞转债</t>
    <phoneticPr fontId="18" type="noConversion"/>
  </si>
  <si>
    <t>联创转债</t>
    <phoneticPr fontId="18" type="noConversion"/>
  </si>
  <si>
    <t>浦发银行</t>
  </si>
  <si>
    <t>招商产业债券A</t>
  </si>
  <si>
    <t>易标普信息科技指数(QDII-LOF)</t>
  </si>
  <si>
    <t>广发稳健增长混合A</t>
  </si>
  <si>
    <t>南方优选成长混合A</t>
  </si>
  <si>
    <t>鹏华精选回报三年定开混合</t>
  </si>
  <si>
    <t>嘉实瑞享定期混合</t>
  </si>
  <si>
    <t>易方达科顺定开混合(LOF)</t>
  </si>
  <si>
    <t>广发睿阳三年定开混合</t>
  </si>
  <si>
    <t>汇添富3年封闭运作战略配售混合(LOF)</t>
  </si>
  <si>
    <t>工银瑞信双利债券A</t>
  </si>
  <si>
    <t>博时信用债券A/B</t>
  </si>
  <si>
    <t>易方达信用债债券A</t>
  </si>
  <si>
    <t>富国信用债债券A</t>
  </si>
</sst>
</file>

<file path=xl/styles.xml><?xml version="1.0" encoding="utf-8"?>
<styleSheet xmlns="http://schemas.openxmlformats.org/spreadsheetml/2006/main">
  <numFmts count="12">
    <numFmt numFmtId="176" formatCode="[$-F400]h:mm:ss\ AM/PM"/>
    <numFmt numFmtId="177" formatCode="0.0000_ "/>
    <numFmt numFmtId="178" formatCode="0.000_ "/>
    <numFmt numFmtId="179" formatCode="0.00_);[Red]\(0.00\)"/>
    <numFmt numFmtId="180" formatCode="0.0000_);[Red]\(0.0000\)"/>
    <numFmt numFmtId="181" formatCode="0.000_);[Red]\(0.000\)"/>
    <numFmt numFmtId="182" formatCode="0.00_ "/>
    <numFmt numFmtId="183" formatCode="0_ "/>
    <numFmt numFmtId="184" formatCode="000000"/>
    <numFmt numFmtId="185" formatCode="[$-F800]dddd\,\ mmmm\ dd\,\ yyyy"/>
    <numFmt numFmtId="186" formatCode="0.0000"/>
    <numFmt numFmtId="187" formatCode="0.000"/>
  </numFmts>
  <fonts count="72">
    <font>
      <sz val="11"/>
      <color indexed="8"/>
      <name val="宋体"/>
      <charset val="134"/>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Tahoma"/>
      <family val="2"/>
      <charset val="134"/>
    </font>
    <font>
      <sz val="11"/>
      <color theme="1"/>
      <name val="Tahoma"/>
      <family val="2"/>
      <charset val="134"/>
    </font>
    <font>
      <sz val="11"/>
      <color theme="1"/>
      <name val="Tahoma"/>
      <family val="2"/>
      <charset val="134"/>
    </font>
    <font>
      <sz val="11"/>
      <color theme="1"/>
      <name val="Tahoma"/>
      <family val="2"/>
      <charset val="134"/>
    </font>
    <font>
      <sz val="11"/>
      <color theme="1"/>
      <name val="Tahoma"/>
      <family val="2"/>
      <charset val="134"/>
    </font>
    <font>
      <sz val="11"/>
      <color theme="1"/>
      <name val="Tahoma"/>
      <family val="2"/>
      <charset val="134"/>
    </font>
    <font>
      <sz val="11"/>
      <color theme="1"/>
      <name val="Tahoma"/>
      <family val="2"/>
      <charset val="134"/>
    </font>
    <font>
      <sz val="11"/>
      <color indexed="8"/>
      <name val="宋体"/>
      <family val="3"/>
      <charset val="134"/>
    </font>
    <font>
      <sz val="9"/>
      <color indexed="8"/>
      <name val="宋体"/>
      <family val="3"/>
      <charset val="134"/>
    </font>
    <font>
      <sz val="11"/>
      <color indexed="8"/>
      <name val="宋体"/>
      <family val="3"/>
      <charset val="134"/>
    </font>
    <font>
      <sz val="9"/>
      <name val="宋体"/>
      <family val="3"/>
      <charset val="134"/>
    </font>
    <font>
      <sz val="11"/>
      <color indexed="8"/>
      <name val="宋体"/>
      <family val="3"/>
      <charset val="134"/>
    </font>
    <font>
      <b/>
      <sz val="18"/>
      <color theme="3"/>
      <name val="宋体"/>
      <family val="2"/>
      <charset val="134"/>
      <scheme val="major"/>
    </font>
    <font>
      <b/>
      <sz val="15"/>
      <color theme="3"/>
      <name val="Tahoma"/>
      <family val="2"/>
      <charset val="134"/>
    </font>
    <font>
      <b/>
      <sz val="13"/>
      <color theme="3"/>
      <name val="Tahoma"/>
      <family val="2"/>
      <charset val="134"/>
    </font>
    <font>
      <b/>
      <sz val="11"/>
      <color theme="3"/>
      <name val="Tahoma"/>
      <family val="2"/>
      <charset val="134"/>
    </font>
    <font>
      <sz val="11"/>
      <color rgb="FF006100"/>
      <name val="Tahoma"/>
      <family val="2"/>
      <charset val="134"/>
    </font>
    <font>
      <sz val="11"/>
      <color rgb="FF9C0006"/>
      <name val="Tahoma"/>
      <family val="2"/>
      <charset val="134"/>
    </font>
    <font>
      <sz val="11"/>
      <color rgb="FF9C6500"/>
      <name val="Tahoma"/>
      <family val="2"/>
      <charset val="134"/>
    </font>
    <font>
      <sz val="11"/>
      <color rgb="FF3F3F76"/>
      <name val="Tahoma"/>
      <family val="2"/>
      <charset val="134"/>
    </font>
    <font>
      <b/>
      <sz val="11"/>
      <color rgb="FF3F3F3F"/>
      <name val="Tahoma"/>
      <family val="2"/>
      <charset val="134"/>
    </font>
    <font>
      <b/>
      <sz val="11"/>
      <color rgb="FFFA7D00"/>
      <name val="Tahoma"/>
      <family val="2"/>
      <charset val="134"/>
    </font>
    <font>
      <sz val="11"/>
      <color rgb="FFFA7D00"/>
      <name val="Tahoma"/>
      <family val="2"/>
      <charset val="134"/>
    </font>
    <font>
      <b/>
      <sz val="11"/>
      <color theme="0"/>
      <name val="Tahoma"/>
      <family val="2"/>
      <charset val="134"/>
    </font>
    <font>
      <sz val="11"/>
      <color rgb="FFFF0000"/>
      <name val="Tahoma"/>
      <family val="2"/>
      <charset val="134"/>
    </font>
    <font>
      <i/>
      <sz val="11"/>
      <color rgb="FF7F7F7F"/>
      <name val="Tahoma"/>
      <family val="2"/>
      <charset val="134"/>
    </font>
    <font>
      <b/>
      <sz val="11"/>
      <color theme="1"/>
      <name val="Tahoma"/>
      <family val="2"/>
      <charset val="134"/>
    </font>
    <font>
      <sz val="11"/>
      <color theme="0"/>
      <name val="Tahoma"/>
      <family val="2"/>
      <charset val="134"/>
    </font>
    <font>
      <sz val="11"/>
      <color theme="1"/>
      <name val="宋体"/>
      <family val="3"/>
      <charset val="134"/>
      <scheme val="minor"/>
    </font>
    <font>
      <sz val="12"/>
      <name val="宋体"/>
      <family val="3"/>
      <charset val="134"/>
    </font>
    <font>
      <sz val="11"/>
      <color rgb="FF9C0006"/>
      <name val="宋体"/>
      <family val="3"/>
      <charset val="134"/>
      <scheme val="minor"/>
    </font>
    <font>
      <sz val="11"/>
      <color rgb="FF006100"/>
      <name val="宋体"/>
      <family val="3"/>
      <charset val="134"/>
      <scheme val="minor"/>
    </font>
    <font>
      <sz val="11"/>
      <color theme="1"/>
      <name val="宋体"/>
      <family val="2"/>
      <charset val="134"/>
      <scheme val="minor"/>
    </font>
    <font>
      <sz val="9"/>
      <color indexed="8"/>
      <name val="宋体"/>
      <family val="3"/>
      <charset val="134"/>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b/>
      <sz val="12"/>
      <color indexed="8"/>
      <name val="宋体"/>
      <family val="3"/>
      <charset val="134"/>
    </font>
    <font>
      <b/>
      <sz val="12"/>
      <name val="宋体"/>
      <family val="3"/>
      <charset val="134"/>
    </font>
    <font>
      <sz val="12"/>
      <color indexed="8"/>
      <name val="宋体"/>
      <family val="3"/>
      <charset val="134"/>
    </font>
    <font>
      <sz val="12"/>
      <color rgb="FFFF0000"/>
      <name val="宋体"/>
      <family val="3"/>
      <charset val="134"/>
    </font>
    <font>
      <sz val="12"/>
      <color rgb="FF008000"/>
      <name val="宋体"/>
      <family val="3"/>
      <charset val="134"/>
    </font>
    <font>
      <sz val="11"/>
      <color indexed="8"/>
      <name val="宋体"/>
      <family val="3"/>
      <charset val="134"/>
    </font>
    <font>
      <sz val="12"/>
      <color indexed="8"/>
      <name val="宋体"/>
      <family val="3"/>
      <charset val="134"/>
      <scheme val="minor"/>
    </font>
    <font>
      <sz val="12"/>
      <name val="宋体"/>
      <family val="3"/>
      <charset val="134"/>
      <scheme val="minor"/>
    </font>
    <font>
      <sz val="11"/>
      <color rgb="FF000000"/>
      <name val="宋体"/>
      <family val="3"/>
      <charset val="134"/>
    </font>
    <font>
      <sz val="18"/>
      <color theme="3"/>
      <name val="宋体"/>
      <family val="2"/>
      <charset val="134"/>
      <scheme val="major"/>
    </font>
    <font>
      <sz val="9"/>
      <name val="宋体"/>
      <family val="2"/>
      <charset val="134"/>
      <scheme val="minor"/>
    </font>
    <font>
      <sz val="12"/>
      <color rgb="FF000000"/>
      <name val="宋体"/>
      <family val="3"/>
      <charset val="134"/>
    </font>
    <font>
      <sz val="12"/>
      <color rgb="FFFF0000"/>
      <name val="宋体"/>
      <family val="3"/>
      <charset val="134"/>
      <scheme val="minor"/>
    </font>
    <font>
      <sz val="12"/>
      <color rgb="FF008000"/>
      <name val="宋体"/>
      <family val="3"/>
      <charset val="134"/>
      <scheme val="minor"/>
    </font>
    <font>
      <sz val="12"/>
      <color rgb="FF000000"/>
      <name val="宋体"/>
      <family val="3"/>
      <charset val="134"/>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right style="thin">
        <color auto="1"/>
      </right>
      <top/>
      <bottom/>
      <diagonal/>
    </border>
    <border>
      <left/>
      <right style="thin">
        <color auto="1"/>
      </right>
      <top style="thin">
        <color auto="1"/>
      </top>
      <bottom style="thin">
        <color auto="1"/>
      </bottom>
      <diagonal/>
    </border>
  </borders>
  <cellStyleXfs count="2190">
    <xf numFmtId="176" fontId="0" fillId="0" borderId="0">
      <alignment vertical="center"/>
    </xf>
    <xf numFmtId="176" fontId="15" fillId="0" borderId="0">
      <alignment vertical="center"/>
    </xf>
    <xf numFmtId="176" fontId="15" fillId="0" borderId="0">
      <alignment vertical="center"/>
    </xf>
    <xf numFmtId="176" fontId="17" fillId="0" borderId="0">
      <alignment vertical="center"/>
    </xf>
    <xf numFmtId="176" fontId="15" fillId="0" borderId="0">
      <alignment vertical="center"/>
    </xf>
    <xf numFmtId="176" fontId="16" fillId="0" borderId="0">
      <alignment vertical="center"/>
    </xf>
    <xf numFmtId="176" fontId="20" fillId="0" borderId="0" applyNumberFormat="0" applyFill="0" applyBorder="0" applyAlignment="0" applyProtection="0">
      <alignment vertical="center"/>
    </xf>
    <xf numFmtId="176" fontId="21" fillId="0" borderId="1" applyNumberFormat="0" applyFill="0" applyAlignment="0" applyProtection="0">
      <alignment vertical="center"/>
    </xf>
    <xf numFmtId="176" fontId="22" fillId="0" borderId="2" applyNumberFormat="0" applyFill="0" applyAlignment="0" applyProtection="0">
      <alignment vertical="center"/>
    </xf>
    <xf numFmtId="176" fontId="23" fillId="0" borderId="3" applyNumberFormat="0" applyFill="0" applyAlignment="0" applyProtection="0">
      <alignment vertical="center"/>
    </xf>
    <xf numFmtId="176" fontId="23" fillId="0" borderId="0" applyNumberFormat="0" applyFill="0" applyBorder="0" applyAlignment="0" applyProtection="0">
      <alignment vertical="center"/>
    </xf>
    <xf numFmtId="176" fontId="24" fillId="2" borderId="0" applyNumberFormat="0" applyBorder="0" applyAlignment="0" applyProtection="0">
      <alignment vertical="center"/>
    </xf>
    <xf numFmtId="176" fontId="25" fillId="3" borderId="0" applyNumberFormat="0" applyBorder="0" applyAlignment="0" applyProtection="0">
      <alignment vertical="center"/>
    </xf>
    <xf numFmtId="176" fontId="26" fillId="4" borderId="0" applyNumberFormat="0" applyBorder="0" applyAlignment="0" applyProtection="0">
      <alignment vertical="center"/>
    </xf>
    <xf numFmtId="176" fontId="27" fillId="5" borderId="4" applyNumberFormat="0" applyAlignment="0" applyProtection="0">
      <alignment vertical="center"/>
    </xf>
    <xf numFmtId="176" fontId="28" fillId="6" borderId="5" applyNumberFormat="0" applyAlignment="0" applyProtection="0">
      <alignment vertical="center"/>
    </xf>
    <xf numFmtId="176" fontId="29" fillId="6" borderId="4" applyNumberFormat="0" applyAlignment="0" applyProtection="0">
      <alignment vertical="center"/>
    </xf>
    <xf numFmtId="176" fontId="30" fillId="0" borderId="6" applyNumberFormat="0" applyFill="0" applyAlignment="0" applyProtection="0">
      <alignment vertical="center"/>
    </xf>
    <xf numFmtId="176" fontId="31" fillId="7" borderId="7" applyNumberFormat="0" applyAlignment="0" applyProtection="0">
      <alignment vertical="center"/>
    </xf>
    <xf numFmtId="176" fontId="32" fillId="0" borderId="0" applyNumberFormat="0" applyFill="0" applyBorder="0" applyAlignment="0" applyProtection="0">
      <alignment vertical="center"/>
    </xf>
    <xf numFmtId="176" fontId="33" fillId="0" borderId="0" applyNumberFormat="0" applyFill="0" applyBorder="0" applyAlignment="0" applyProtection="0">
      <alignment vertical="center"/>
    </xf>
    <xf numFmtId="176" fontId="34" fillId="0" borderId="9" applyNumberFormat="0" applyFill="0" applyAlignment="0" applyProtection="0">
      <alignment vertical="center"/>
    </xf>
    <xf numFmtId="176" fontId="35" fillId="9" borderId="0" applyNumberFormat="0" applyBorder="0" applyAlignment="0" applyProtection="0">
      <alignment vertical="center"/>
    </xf>
    <xf numFmtId="176" fontId="14" fillId="10" borderId="0" applyNumberFormat="0" applyBorder="0" applyAlignment="0" applyProtection="0">
      <alignment vertical="center"/>
    </xf>
    <xf numFmtId="176" fontId="14" fillId="11" borderId="0" applyNumberFormat="0" applyBorder="0" applyAlignment="0" applyProtection="0">
      <alignment vertical="center"/>
    </xf>
    <xf numFmtId="176" fontId="35" fillId="12" borderId="0" applyNumberFormat="0" applyBorder="0" applyAlignment="0" applyProtection="0">
      <alignment vertical="center"/>
    </xf>
    <xf numFmtId="176" fontId="35" fillId="13" borderId="0" applyNumberFormat="0" applyBorder="0" applyAlignment="0" applyProtection="0">
      <alignment vertical="center"/>
    </xf>
    <xf numFmtId="176" fontId="14" fillId="14" borderId="0" applyNumberFormat="0" applyBorder="0" applyAlignment="0" applyProtection="0">
      <alignment vertical="center"/>
    </xf>
    <xf numFmtId="176" fontId="14" fillId="15" borderId="0" applyNumberFormat="0" applyBorder="0" applyAlignment="0" applyProtection="0">
      <alignment vertical="center"/>
    </xf>
    <xf numFmtId="176" fontId="35" fillId="16" borderId="0" applyNumberFormat="0" applyBorder="0" applyAlignment="0" applyProtection="0">
      <alignment vertical="center"/>
    </xf>
    <xf numFmtId="176" fontId="35" fillId="17" borderId="0" applyNumberFormat="0" applyBorder="0" applyAlignment="0" applyProtection="0">
      <alignment vertical="center"/>
    </xf>
    <xf numFmtId="176" fontId="14" fillId="18" borderId="0" applyNumberFormat="0" applyBorder="0" applyAlignment="0" applyProtection="0">
      <alignment vertical="center"/>
    </xf>
    <xf numFmtId="176" fontId="14" fillId="19" borderId="0" applyNumberFormat="0" applyBorder="0" applyAlignment="0" applyProtection="0">
      <alignment vertical="center"/>
    </xf>
    <xf numFmtId="176" fontId="35" fillId="20" borderId="0" applyNumberFormat="0" applyBorder="0" applyAlignment="0" applyProtection="0">
      <alignment vertical="center"/>
    </xf>
    <xf numFmtId="176" fontId="35" fillId="21" borderId="0" applyNumberFormat="0" applyBorder="0" applyAlignment="0" applyProtection="0">
      <alignment vertical="center"/>
    </xf>
    <xf numFmtId="176" fontId="14" fillId="22" borderId="0" applyNumberFormat="0" applyBorder="0" applyAlignment="0" applyProtection="0">
      <alignment vertical="center"/>
    </xf>
    <xf numFmtId="176" fontId="14" fillId="23" borderId="0" applyNumberFormat="0" applyBorder="0" applyAlignment="0" applyProtection="0">
      <alignment vertical="center"/>
    </xf>
    <xf numFmtId="176" fontId="35" fillId="24" borderId="0" applyNumberFormat="0" applyBorder="0" applyAlignment="0" applyProtection="0">
      <alignment vertical="center"/>
    </xf>
    <xf numFmtId="176" fontId="35" fillId="25" borderId="0" applyNumberFormat="0" applyBorder="0" applyAlignment="0" applyProtection="0">
      <alignment vertical="center"/>
    </xf>
    <xf numFmtId="176" fontId="14" fillId="26" borderId="0" applyNumberFormat="0" applyBorder="0" applyAlignment="0" applyProtection="0">
      <alignment vertical="center"/>
    </xf>
    <xf numFmtId="176" fontId="14" fillId="27" borderId="0" applyNumberFormat="0" applyBorder="0" applyAlignment="0" applyProtection="0">
      <alignment vertical="center"/>
    </xf>
    <xf numFmtId="176" fontId="35" fillId="28" borderId="0" applyNumberFormat="0" applyBorder="0" applyAlignment="0" applyProtection="0">
      <alignment vertical="center"/>
    </xf>
    <xf numFmtId="176" fontId="35" fillId="29" borderId="0" applyNumberFormat="0" applyBorder="0" applyAlignment="0" applyProtection="0">
      <alignment vertical="center"/>
    </xf>
    <xf numFmtId="176" fontId="14" fillId="30" borderId="0" applyNumberFormat="0" applyBorder="0" applyAlignment="0" applyProtection="0">
      <alignment vertical="center"/>
    </xf>
    <xf numFmtId="176" fontId="14" fillId="31" borderId="0" applyNumberFormat="0" applyBorder="0" applyAlignment="0" applyProtection="0">
      <alignment vertical="center"/>
    </xf>
    <xf numFmtId="176" fontId="35" fillId="32" borderId="0" applyNumberFormat="0" applyBorder="0" applyAlignment="0" applyProtection="0">
      <alignment vertical="center"/>
    </xf>
    <xf numFmtId="176" fontId="36" fillId="0" borderId="0">
      <alignment vertical="center"/>
    </xf>
    <xf numFmtId="176" fontId="38" fillId="3" borderId="0" applyNumberFormat="0" applyBorder="0" applyAlignment="0" applyProtection="0">
      <alignment vertical="center"/>
    </xf>
    <xf numFmtId="176" fontId="37"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7" fillId="0" borderId="0">
      <alignment vertical="center"/>
    </xf>
    <xf numFmtId="176" fontId="36" fillId="0" borderId="0">
      <alignment vertical="center"/>
    </xf>
    <xf numFmtId="176" fontId="36" fillId="0" borderId="0">
      <alignment vertical="center"/>
    </xf>
    <xf numFmtId="176" fontId="39" fillId="2" borderId="0" applyNumberFormat="0" applyBorder="0" applyAlignment="0" applyProtection="0">
      <alignment vertical="center"/>
    </xf>
    <xf numFmtId="176" fontId="14" fillId="8" borderId="8" applyNumberFormat="0" applyFont="0" applyAlignment="0" applyProtection="0">
      <alignment vertical="center"/>
    </xf>
    <xf numFmtId="176" fontId="14" fillId="0" borderId="0">
      <alignment vertical="center"/>
    </xf>
    <xf numFmtId="176" fontId="14" fillId="8" borderId="8" applyNumberFormat="0" applyFont="0" applyAlignment="0" applyProtection="0">
      <alignment vertical="center"/>
    </xf>
    <xf numFmtId="176" fontId="14" fillId="8" borderId="8" applyNumberFormat="0" applyFont="0" applyAlignment="0" applyProtection="0">
      <alignment vertical="center"/>
    </xf>
    <xf numFmtId="176" fontId="14" fillId="10" borderId="0" applyNumberFormat="0" applyBorder="0" applyAlignment="0" applyProtection="0">
      <alignment vertical="center"/>
    </xf>
    <xf numFmtId="176" fontId="14" fillId="11" borderId="0" applyNumberFormat="0" applyBorder="0" applyAlignment="0" applyProtection="0">
      <alignment vertical="center"/>
    </xf>
    <xf numFmtId="176" fontId="14" fillId="14" borderId="0" applyNumberFormat="0" applyBorder="0" applyAlignment="0" applyProtection="0">
      <alignment vertical="center"/>
    </xf>
    <xf numFmtId="176" fontId="14" fillId="15" borderId="0" applyNumberFormat="0" applyBorder="0" applyAlignment="0" applyProtection="0">
      <alignment vertical="center"/>
    </xf>
    <xf numFmtId="176" fontId="14" fillId="18" borderId="0" applyNumberFormat="0" applyBorder="0" applyAlignment="0" applyProtection="0">
      <alignment vertical="center"/>
    </xf>
    <xf numFmtId="176" fontId="14" fillId="19" borderId="0" applyNumberFormat="0" applyBorder="0" applyAlignment="0" applyProtection="0">
      <alignment vertical="center"/>
    </xf>
    <xf numFmtId="176" fontId="14" fillId="22" borderId="0" applyNumberFormat="0" applyBorder="0" applyAlignment="0" applyProtection="0">
      <alignment vertical="center"/>
    </xf>
    <xf numFmtId="176" fontId="14" fillId="23" borderId="0" applyNumberFormat="0" applyBorder="0" applyAlignment="0" applyProtection="0">
      <alignment vertical="center"/>
    </xf>
    <xf numFmtId="176" fontId="14" fillId="26" borderId="0" applyNumberFormat="0" applyBorder="0" applyAlignment="0" applyProtection="0">
      <alignment vertical="center"/>
    </xf>
    <xf numFmtId="176" fontId="14" fillId="27" borderId="0" applyNumberFormat="0" applyBorder="0" applyAlignment="0" applyProtection="0">
      <alignment vertical="center"/>
    </xf>
    <xf numFmtId="176" fontId="14" fillId="30" borderId="0" applyNumberFormat="0" applyBorder="0" applyAlignment="0" applyProtection="0">
      <alignment vertical="center"/>
    </xf>
    <xf numFmtId="176" fontId="14" fillId="31" borderId="0" applyNumberFormat="0" applyBorder="0" applyAlignment="0" applyProtection="0">
      <alignment vertical="center"/>
    </xf>
    <xf numFmtId="176" fontId="14" fillId="8" borderId="8" applyNumberFormat="0" applyFont="0" applyAlignment="0" applyProtection="0">
      <alignment vertical="center"/>
    </xf>
    <xf numFmtId="176" fontId="14" fillId="10" borderId="0" applyNumberFormat="0" applyBorder="0" applyAlignment="0" applyProtection="0">
      <alignment vertical="center"/>
    </xf>
    <xf numFmtId="176" fontId="14" fillId="11" borderId="0" applyNumberFormat="0" applyBorder="0" applyAlignment="0" applyProtection="0">
      <alignment vertical="center"/>
    </xf>
    <xf numFmtId="176" fontId="14" fillId="14" borderId="0" applyNumberFormat="0" applyBorder="0" applyAlignment="0" applyProtection="0">
      <alignment vertical="center"/>
    </xf>
    <xf numFmtId="176" fontId="14" fillId="15" borderId="0" applyNumberFormat="0" applyBorder="0" applyAlignment="0" applyProtection="0">
      <alignment vertical="center"/>
    </xf>
    <xf numFmtId="176" fontId="14" fillId="18" borderId="0" applyNumberFormat="0" applyBorder="0" applyAlignment="0" applyProtection="0">
      <alignment vertical="center"/>
    </xf>
    <xf numFmtId="176" fontId="14" fillId="19" borderId="0" applyNumberFormat="0" applyBorder="0" applyAlignment="0" applyProtection="0">
      <alignment vertical="center"/>
    </xf>
    <xf numFmtId="176" fontId="14" fillId="22" borderId="0" applyNumberFormat="0" applyBorder="0" applyAlignment="0" applyProtection="0">
      <alignment vertical="center"/>
    </xf>
    <xf numFmtId="176" fontId="14" fillId="23" borderId="0" applyNumberFormat="0" applyBorder="0" applyAlignment="0" applyProtection="0">
      <alignment vertical="center"/>
    </xf>
    <xf numFmtId="176" fontId="14" fillId="26" borderId="0" applyNumberFormat="0" applyBorder="0" applyAlignment="0" applyProtection="0">
      <alignment vertical="center"/>
    </xf>
    <xf numFmtId="176" fontId="14" fillId="27" borderId="0" applyNumberFormat="0" applyBorder="0" applyAlignment="0" applyProtection="0">
      <alignment vertical="center"/>
    </xf>
    <xf numFmtId="176" fontId="14" fillId="30" borderId="0" applyNumberFormat="0" applyBorder="0" applyAlignment="0" applyProtection="0">
      <alignment vertical="center"/>
    </xf>
    <xf numFmtId="176" fontId="14" fillId="31" borderId="0" applyNumberFormat="0" applyBorder="0" applyAlignment="0" applyProtection="0">
      <alignment vertical="center"/>
    </xf>
    <xf numFmtId="176" fontId="14" fillId="8" borderId="8" applyNumberFormat="0" applyFont="0" applyAlignment="0" applyProtection="0">
      <alignment vertical="center"/>
    </xf>
    <xf numFmtId="176" fontId="14" fillId="10" borderId="0" applyNumberFormat="0" applyBorder="0" applyAlignment="0" applyProtection="0">
      <alignment vertical="center"/>
    </xf>
    <xf numFmtId="176" fontId="14" fillId="11" borderId="0" applyNumberFormat="0" applyBorder="0" applyAlignment="0" applyProtection="0">
      <alignment vertical="center"/>
    </xf>
    <xf numFmtId="176" fontId="14" fillId="14" borderId="0" applyNumberFormat="0" applyBorder="0" applyAlignment="0" applyProtection="0">
      <alignment vertical="center"/>
    </xf>
    <xf numFmtId="176" fontId="14" fillId="15" borderId="0" applyNumberFormat="0" applyBorder="0" applyAlignment="0" applyProtection="0">
      <alignment vertical="center"/>
    </xf>
    <xf numFmtId="176" fontId="14" fillId="18" borderId="0" applyNumberFormat="0" applyBorder="0" applyAlignment="0" applyProtection="0">
      <alignment vertical="center"/>
    </xf>
    <xf numFmtId="176" fontId="14" fillId="19" borderId="0" applyNumberFormat="0" applyBorder="0" applyAlignment="0" applyProtection="0">
      <alignment vertical="center"/>
    </xf>
    <xf numFmtId="176" fontId="14" fillId="22" borderId="0" applyNumberFormat="0" applyBorder="0" applyAlignment="0" applyProtection="0">
      <alignment vertical="center"/>
    </xf>
    <xf numFmtId="176" fontId="14" fillId="23" borderId="0" applyNumberFormat="0" applyBorder="0" applyAlignment="0" applyProtection="0">
      <alignment vertical="center"/>
    </xf>
    <xf numFmtId="176" fontId="14" fillId="26" borderId="0" applyNumberFormat="0" applyBorder="0" applyAlignment="0" applyProtection="0">
      <alignment vertical="center"/>
    </xf>
    <xf numFmtId="176" fontId="14" fillId="27" borderId="0" applyNumberFormat="0" applyBorder="0" applyAlignment="0" applyProtection="0">
      <alignment vertical="center"/>
    </xf>
    <xf numFmtId="176" fontId="14" fillId="30" borderId="0" applyNumberFormat="0" applyBorder="0" applyAlignment="0" applyProtection="0">
      <alignment vertical="center"/>
    </xf>
    <xf numFmtId="176" fontId="14" fillId="31" borderId="0" applyNumberFormat="0" applyBorder="0" applyAlignment="0" applyProtection="0">
      <alignment vertical="center"/>
    </xf>
    <xf numFmtId="176" fontId="14" fillId="8" borderId="8" applyNumberFormat="0" applyFont="0" applyAlignment="0" applyProtection="0">
      <alignment vertical="center"/>
    </xf>
    <xf numFmtId="176" fontId="14" fillId="10" borderId="0" applyNumberFormat="0" applyBorder="0" applyAlignment="0" applyProtection="0">
      <alignment vertical="center"/>
    </xf>
    <xf numFmtId="176" fontId="14" fillId="11" borderId="0" applyNumberFormat="0" applyBorder="0" applyAlignment="0" applyProtection="0">
      <alignment vertical="center"/>
    </xf>
    <xf numFmtId="176" fontId="14" fillId="14" borderId="0" applyNumberFormat="0" applyBorder="0" applyAlignment="0" applyProtection="0">
      <alignment vertical="center"/>
    </xf>
    <xf numFmtId="176" fontId="14" fillId="15" borderId="0" applyNumberFormat="0" applyBorder="0" applyAlignment="0" applyProtection="0">
      <alignment vertical="center"/>
    </xf>
    <xf numFmtId="176" fontId="14" fillId="18" borderId="0" applyNumberFormat="0" applyBorder="0" applyAlignment="0" applyProtection="0">
      <alignment vertical="center"/>
    </xf>
    <xf numFmtId="176" fontId="14" fillId="19" borderId="0" applyNumberFormat="0" applyBorder="0" applyAlignment="0" applyProtection="0">
      <alignment vertical="center"/>
    </xf>
    <xf numFmtId="176" fontId="14" fillId="22" borderId="0" applyNumberFormat="0" applyBorder="0" applyAlignment="0" applyProtection="0">
      <alignment vertical="center"/>
    </xf>
    <xf numFmtId="176" fontId="14" fillId="23" borderId="0" applyNumberFormat="0" applyBorder="0" applyAlignment="0" applyProtection="0">
      <alignment vertical="center"/>
    </xf>
    <xf numFmtId="176" fontId="14" fillId="26" borderId="0" applyNumberFormat="0" applyBorder="0" applyAlignment="0" applyProtection="0">
      <alignment vertical="center"/>
    </xf>
    <xf numFmtId="176" fontId="14" fillId="27" borderId="0" applyNumberFormat="0" applyBorder="0" applyAlignment="0" applyProtection="0">
      <alignment vertical="center"/>
    </xf>
    <xf numFmtId="176" fontId="14" fillId="30" borderId="0" applyNumberFormat="0" applyBorder="0" applyAlignment="0" applyProtection="0">
      <alignment vertical="center"/>
    </xf>
    <xf numFmtId="176" fontId="14" fillId="31" borderId="0" applyNumberFormat="0" applyBorder="0" applyAlignment="0" applyProtection="0">
      <alignment vertical="center"/>
    </xf>
    <xf numFmtId="176" fontId="37" fillId="0" borderId="0">
      <alignment vertical="center"/>
    </xf>
    <xf numFmtId="176" fontId="36" fillId="0" borderId="0">
      <alignment vertical="center"/>
    </xf>
    <xf numFmtId="176" fontId="36" fillId="0" borderId="0">
      <alignment vertical="center"/>
    </xf>
    <xf numFmtId="176" fontId="36" fillId="0" borderId="0">
      <alignment vertical="center"/>
    </xf>
    <xf numFmtId="176" fontId="37" fillId="0" borderId="0">
      <alignment vertical="center"/>
    </xf>
    <xf numFmtId="176" fontId="36" fillId="0" borderId="0">
      <alignment vertical="center"/>
    </xf>
    <xf numFmtId="176" fontId="36" fillId="0" borderId="0">
      <alignment vertical="center"/>
    </xf>
    <xf numFmtId="176" fontId="37" fillId="0" borderId="0">
      <alignment vertical="center"/>
    </xf>
    <xf numFmtId="176" fontId="13" fillId="10" borderId="0" applyNumberFormat="0" applyBorder="0" applyAlignment="0" applyProtection="0">
      <alignment vertical="center"/>
    </xf>
    <xf numFmtId="176" fontId="13" fillId="11" borderId="0" applyNumberFormat="0" applyBorder="0" applyAlignment="0" applyProtection="0">
      <alignment vertical="center"/>
    </xf>
    <xf numFmtId="176" fontId="36" fillId="0" borderId="0">
      <alignment vertical="center"/>
    </xf>
    <xf numFmtId="176" fontId="13" fillId="14" borderId="0" applyNumberFormat="0" applyBorder="0" applyAlignment="0" applyProtection="0">
      <alignment vertical="center"/>
    </xf>
    <xf numFmtId="176" fontId="13" fillId="15" borderId="0" applyNumberFormat="0" applyBorder="0" applyAlignment="0" applyProtection="0">
      <alignment vertical="center"/>
    </xf>
    <xf numFmtId="176" fontId="13" fillId="11" borderId="0" applyNumberFormat="0" applyBorder="0" applyAlignment="0" applyProtection="0">
      <alignment vertical="center"/>
    </xf>
    <xf numFmtId="176" fontId="13" fillId="18" borderId="0" applyNumberFormat="0" applyBorder="0" applyAlignment="0" applyProtection="0">
      <alignment vertical="center"/>
    </xf>
    <xf numFmtId="176" fontId="13" fillId="19" borderId="0" applyNumberFormat="0" applyBorder="0" applyAlignment="0" applyProtection="0">
      <alignment vertical="center"/>
    </xf>
    <xf numFmtId="176" fontId="13" fillId="10" borderId="0" applyNumberFormat="0" applyBorder="0" applyAlignment="0" applyProtection="0">
      <alignment vertical="center"/>
    </xf>
    <xf numFmtId="176" fontId="36" fillId="0" borderId="0">
      <alignment vertical="center"/>
    </xf>
    <xf numFmtId="176" fontId="13" fillId="22" borderId="0" applyNumberFormat="0" applyBorder="0" applyAlignment="0" applyProtection="0">
      <alignment vertical="center"/>
    </xf>
    <xf numFmtId="176" fontId="13" fillId="23" borderId="0" applyNumberFormat="0" applyBorder="0" applyAlignment="0" applyProtection="0">
      <alignment vertical="center"/>
    </xf>
    <xf numFmtId="176" fontId="36" fillId="0" borderId="0">
      <alignment vertical="center"/>
    </xf>
    <xf numFmtId="176" fontId="13" fillId="26" borderId="0" applyNumberFormat="0" applyBorder="0" applyAlignment="0" applyProtection="0">
      <alignment vertical="center"/>
    </xf>
    <xf numFmtId="176" fontId="13" fillId="27" borderId="0" applyNumberFormat="0" applyBorder="0" applyAlignment="0" applyProtection="0">
      <alignment vertical="center"/>
    </xf>
    <xf numFmtId="176" fontId="37" fillId="0" borderId="0">
      <alignment vertical="center"/>
    </xf>
    <xf numFmtId="176" fontId="13" fillId="30" borderId="0" applyNumberFormat="0" applyBorder="0" applyAlignment="0" applyProtection="0">
      <alignment vertical="center"/>
    </xf>
    <xf numFmtId="176" fontId="13" fillId="31" borderId="0" applyNumberFormat="0" applyBorder="0" applyAlignment="0" applyProtection="0">
      <alignment vertical="center"/>
    </xf>
    <xf numFmtId="176" fontId="13" fillId="8" borderId="8" applyNumberFormat="0" applyFont="0" applyAlignment="0" applyProtection="0">
      <alignment vertical="center"/>
    </xf>
    <xf numFmtId="176" fontId="13" fillId="0" borderId="0">
      <alignment vertical="center"/>
    </xf>
    <xf numFmtId="176" fontId="13" fillId="8" borderId="8" applyNumberFormat="0" applyFont="0" applyAlignment="0" applyProtection="0">
      <alignment vertical="center"/>
    </xf>
    <xf numFmtId="176" fontId="13" fillId="8" borderId="8" applyNumberFormat="0" applyFont="0" applyAlignment="0" applyProtection="0">
      <alignment vertical="center"/>
    </xf>
    <xf numFmtId="176" fontId="13" fillId="10" borderId="0" applyNumberFormat="0" applyBorder="0" applyAlignment="0" applyProtection="0">
      <alignment vertical="center"/>
    </xf>
    <xf numFmtId="176" fontId="13" fillId="11" borderId="0" applyNumberFormat="0" applyBorder="0" applyAlignment="0" applyProtection="0">
      <alignment vertical="center"/>
    </xf>
    <xf numFmtId="176" fontId="13" fillId="14" borderId="0" applyNumberFormat="0" applyBorder="0" applyAlignment="0" applyProtection="0">
      <alignment vertical="center"/>
    </xf>
    <xf numFmtId="176" fontId="13" fillId="15" borderId="0" applyNumberFormat="0" applyBorder="0" applyAlignment="0" applyProtection="0">
      <alignment vertical="center"/>
    </xf>
    <xf numFmtId="176" fontId="13" fillId="18" borderId="0" applyNumberFormat="0" applyBorder="0" applyAlignment="0" applyProtection="0">
      <alignment vertical="center"/>
    </xf>
    <xf numFmtId="176" fontId="13" fillId="19" borderId="0" applyNumberFormat="0" applyBorder="0" applyAlignment="0" applyProtection="0">
      <alignment vertical="center"/>
    </xf>
    <xf numFmtId="176" fontId="13" fillId="22" borderId="0" applyNumberFormat="0" applyBorder="0" applyAlignment="0" applyProtection="0">
      <alignment vertical="center"/>
    </xf>
    <xf numFmtId="176" fontId="13" fillId="23" borderId="0" applyNumberFormat="0" applyBorder="0" applyAlignment="0" applyProtection="0">
      <alignment vertical="center"/>
    </xf>
    <xf numFmtId="176" fontId="13" fillId="26" borderId="0" applyNumberFormat="0" applyBorder="0" applyAlignment="0" applyProtection="0">
      <alignment vertical="center"/>
    </xf>
    <xf numFmtId="176" fontId="13" fillId="27" borderId="0" applyNumberFormat="0" applyBorder="0" applyAlignment="0" applyProtection="0">
      <alignment vertical="center"/>
    </xf>
    <xf numFmtId="176" fontId="13" fillId="30" borderId="0" applyNumberFormat="0" applyBorder="0" applyAlignment="0" applyProtection="0">
      <alignment vertical="center"/>
    </xf>
    <xf numFmtId="176" fontId="13" fillId="31" borderId="0" applyNumberFormat="0" applyBorder="0" applyAlignment="0" applyProtection="0">
      <alignment vertical="center"/>
    </xf>
    <xf numFmtId="176" fontId="13" fillId="8" borderId="8" applyNumberFormat="0" applyFont="0" applyAlignment="0" applyProtection="0">
      <alignment vertical="center"/>
    </xf>
    <xf numFmtId="176" fontId="13" fillId="10" borderId="0" applyNumberFormat="0" applyBorder="0" applyAlignment="0" applyProtection="0">
      <alignment vertical="center"/>
    </xf>
    <xf numFmtId="176" fontId="13" fillId="11" borderId="0" applyNumberFormat="0" applyBorder="0" applyAlignment="0" applyProtection="0">
      <alignment vertical="center"/>
    </xf>
    <xf numFmtId="176" fontId="13" fillId="14" borderId="0" applyNumberFormat="0" applyBorder="0" applyAlignment="0" applyProtection="0">
      <alignment vertical="center"/>
    </xf>
    <xf numFmtId="176" fontId="13" fillId="15" borderId="0" applyNumberFormat="0" applyBorder="0" applyAlignment="0" applyProtection="0">
      <alignment vertical="center"/>
    </xf>
    <xf numFmtId="176" fontId="13" fillId="18" borderId="0" applyNumberFormat="0" applyBorder="0" applyAlignment="0" applyProtection="0">
      <alignment vertical="center"/>
    </xf>
    <xf numFmtId="176" fontId="13" fillId="19" borderId="0" applyNumberFormat="0" applyBorder="0" applyAlignment="0" applyProtection="0">
      <alignment vertical="center"/>
    </xf>
    <xf numFmtId="176" fontId="13" fillId="22" borderId="0" applyNumberFormat="0" applyBorder="0" applyAlignment="0" applyProtection="0">
      <alignment vertical="center"/>
    </xf>
    <xf numFmtId="176" fontId="13" fillId="23" borderId="0" applyNumberFormat="0" applyBorder="0" applyAlignment="0" applyProtection="0">
      <alignment vertical="center"/>
    </xf>
    <xf numFmtId="176" fontId="13" fillId="26" borderId="0" applyNumberFormat="0" applyBorder="0" applyAlignment="0" applyProtection="0">
      <alignment vertical="center"/>
    </xf>
    <xf numFmtId="176" fontId="13" fillId="27" borderId="0" applyNumberFormat="0" applyBorder="0" applyAlignment="0" applyProtection="0">
      <alignment vertical="center"/>
    </xf>
    <xf numFmtId="176" fontId="13" fillId="30" borderId="0" applyNumberFormat="0" applyBorder="0" applyAlignment="0" applyProtection="0">
      <alignment vertical="center"/>
    </xf>
    <xf numFmtId="176" fontId="13" fillId="31" borderId="0" applyNumberFormat="0" applyBorder="0" applyAlignment="0" applyProtection="0">
      <alignment vertical="center"/>
    </xf>
    <xf numFmtId="176" fontId="13" fillId="8" borderId="8" applyNumberFormat="0" applyFont="0" applyAlignment="0" applyProtection="0">
      <alignment vertical="center"/>
    </xf>
    <xf numFmtId="176" fontId="13" fillId="10" borderId="0" applyNumberFormat="0" applyBorder="0" applyAlignment="0" applyProtection="0">
      <alignment vertical="center"/>
    </xf>
    <xf numFmtId="176" fontId="13" fillId="11" borderId="0" applyNumberFormat="0" applyBorder="0" applyAlignment="0" applyProtection="0">
      <alignment vertical="center"/>
    </xf>
    <xf numFmtId="176" fontId="13" fillId="14" borderId="0" applyNumberFormat="0" applyBorder="0" applyAlignment="0" applyProtection="0">
      <alignment vertical="center"/>
    </xf>
    <xf numFmtId="176" fontId="13" fillId="15" borderId="0" applyNumberFormat="0" applyBorder="0" applyAlignment="0" applyProtection="0">
      <alignment vertical="center"/>
    </xf>
    <xf numFmtId="176" fontId="13" fillId="18" borderId="0" applyNumberFormat="0" applyBorder="0" applyAlignment="0" applyProtection="0">
      <alignment vertical="center"/>
    </xf>
    <xf numFmtId="176" fontId="13" fillId="19" borderId="0" applyNumberFormat="0" applyBorder="0" applyAlignment="0" applyProtection="0">
      <alignment vertical="center"/>
    </xf>
    <xf numFmtId="176" fontId="13" fillId="22" borderId="0" applyNumberFormat="0" applyBorder="0" applyAlignment="0" applyProtection="0">
      <alignment vertical="center"/>
    </xf>
    <xf numFmtId="176" fontId="13" fillId="23" borderId="0" applyNumberFormat="0" applyBorder="0" applyAlignment="0" applyProtection="0">
      <alignment vertical="center"/>
    </xf>
    <xf numFmtId="176" fontId="13" fillId="26" borderId="0" applyNumberFormat="0" applyBorder="0" applyAlignment="0" applyProtection="0">
      <alignment vertical="center"/>
    </xf>
    <xf numFmtId="176" fontId="13" fillId="27" borderId="0" applyNumberFormat="0" applyBorder="0" applyAlignment="0" applyProtection="0">
      <alignment vertical="center"/>
    </xf>
    <xf numFmtId="176" fontId="13" fillId="30" borderId="0" applyNumberFormat="0" applyBorder="0" applyAlignment="0" applyProtection="0">
      <alignment vertical="center"/>
    </xf>
    <xf numFmtId="176" fontId="13" fillId="31" borderId="0" applyNumberFormat="0" applyBorder="0" applyAlignment="0" applyProtection="0">
      <alignment vertical="center"/>
    </xf>
    <xf numFmtId="176" fontId="13" fillId="8" borderId="8" applyNumberFormat="0" applyFont="0" applyAlignment="0" applyProtection="0">
      <alignment vertical="center"/>
    </xf>
    <xf numFmtId="176" fontId="13" fillId="10" borderId="0" applyNumberFormat="0" applyBorder="0" applyAlignment="0" applyProtection="0">
      <alignment vertical="center"/>
    </xf>
    <xf numFmtId="176" fontId="13" fillId="11" borderId="0" applyNumberFormat="0" applyBorder="0" applyAlignment="0" applyProtection="0">
      <alignment vertical="center"/>
    </xf>
    <xf numFmtId="176" fontId="13" fillId="14" borderId="0" applyNumberFormat="0" applyBorder="0" applyAlignment="0" applyProtection="0">
      <alignment vertical="center"/>
    </xf>
    <xf numFmtId="176" fontId="13" fillId="15" borderId="0" applyNumberFormat="0" applyBorder="0" applyAlignment="0" applyProtection="0">
      <alignment vertical="center"/>
    </xf>
    <xf numFmtId="176" fontId="13" fillId="18" borderId="0" applyNumberFormat="0" applyBorder="0" applyAlignment="0" applyProtection="0">
      <alignment vertical="center"/>
    </xf>
    <xf numFmtId="176" fontId="13" fillId="19" borderId="0" applyNumberFormat="0" applyBorder="0" applyAlignment="0" applyProtection="0">
      <alignment vertical="center"/>
    </xf>
    <xf numFmtId="176" fontId="13" fillId="22" borderId="0" applyNumberFormat="0" applyBorder="0" applyAlignment="0" applyProtection="0">
      <alignment vertical="center"/>
    </xf>
    <xf numFmtId="176" fontId="13" fillId="23" borderId="0" applyNumberFormat="0" applyBorder="0" applyAlignment="0" applyProtection="0">
      <alignment vertical="center"/>
    </xf>
    <xf numFmtId="176" fontId="13" fillId="26" borderId="0" applyNumberFormat="0" applyBorder="0" applyAlignment="0" applyProtection="0">
      <alignment vertical="center"/>
    </xf>
    <xf numFmtId="176" fontId="13" fillId="27" borderId="0" applyNumberFormat="0" applyBorder="0" applyAlignment="0" applyProtection="0">
      <alignment vertical="center"/>
    </xf>
    <xf numFmtId="176" fontId="13" fillId="30" borderId="0" applyNumberFormat="0" applyBorder="0" applyAlignment="0" applyProtection="0">
      <alignment vertical="center"/>
    </xf>
    <xf numFmtId="176" fontId="13" fillId="31" borderId="0" applyNumberFormat="0" applyBorder="0" applyAlignment="0" applyProtection="0">
      <alignment vertical="center"/>
    </xf>
    <xf numFmtId="176" fontId="13" fillId="14" borderId="0" applyNumberFormat="0" applyBorder="0" applyAlignment="0" applyProtection="0">
      <alignment vertical="center"/>
    </xf>
    <xf numFmtId="176" fontId="13" fillId="15" borderId="0" applyNumberFormat="0" applyBorder="0" applyAlignment="0" applyProtection="0">
      <alignment vertical="center"/>
    </xf>
    <xf numFmtId="176" fontId="13" fillId="18" borderId="0" applyNumberFormat="0" applyBorder="0" applyAlignment="0" applyProtection="0">
      <alignment vertical="center"/>
    </xf>
    <xf numFmtId="176" fontId="13" fillId="19" borderId="0" applyNumberFormat="0" applyBorder="0" applyAlignment="0" applyProtection="0">
      <alignment vertical="center"/>
    </xf>
    <xf numFmtId="176" fontId="13" fillId="22" borderId="0" applyNumberFormat="0" applyBorder="0" applyAlignment="0" applyProtection="0">
      <alignment vertical="center"/>
    </xf>
    <xf numFmtId="176" fontId="13" fillId="23" borderId="0" applyNumberFormat="0" applyBorder="0" applyAlignment="0" applyProtection="0">
      <alignment vertical="center"/>
    </xf>
    <xf numFmtId="176" fontId="13" fillId="26" borderId="0" applyNumberFormat="0" applyBorder="0" applyAlignment="0" applyProtection="0">
      <alignment vertical="center"/>
    </xf>
    <xf numFmtId="176" fontId="13" fillId="27" borderId="0" applyNumberFormat="0" applyBorder="0" applyAlignment="0" applyProtection="0">
      <alignment vertical="center"/>
    </xf>
    <xf numFmtId="176" fontId="13" fillId="30" borderId="0" applyNumberFormat="0" applyBorder="0" applyAlignment="0" applyProtection="0">
      <alignment vertical="center"/>
    </xf>
    <xf numFmtId="176" fontId="13" fillId="31" borderId="0" applyNumberFormat="0" applyBorder="0" applyAlignment="0" applyProtection="0">
      <alignment vertical="center"/>
    </xf>
    <xf numFmtId="176" fontId="13" fillId="8" borderId="8" applyNumberFormat="0" applyFont="0" applyAlignment="0" applyProtection="0">
      <alignment vertical="center"/>
    </xf>
    <xf numFmtId="176" fontId="13" fillId="0" borderId="0">
      <alignment vertical="center"/>
    </xf>
    <xf numFmtId="176" fontId="13" fillId="8" borderId="8" applyNumberFormat="0" applyFont="0" applyAlignment="0" applyProtection="0">
      <alignment vertical="center"/>
    </xf>
    <xf numFmtId="176" fontId="13" fillId="8" borderId="8" applyNumberFormat="0" applyFont="0" applyAlignment="0" applyProtection="0">
      <alignment vertical="center"/>
    </xf>
    <xf numFmtId="176" fontId="13" fillId="10" borderId="0" applyNumberFormat="0" applyBorder="0" applyAlignment="0" applyProtection="0">
      <alignment vertical="center"/>
    </xf>
    <xf numFmtId="176" fontId="13" fillId="11" borderId="0" applyNumberFormat="0" applyBorder="0" applyAlignment="0" applyProtection="0">
      <alignment vertical="center"/>
    </xf>
    <xf numFmtId="176" fontId="13" fillId="14" borderId="0" applyNumberFormat="0" applyBorder="0" applyAlignment="0" applyProtection="0">
      <alignment vertical="center"/>
    </xf>
    <xf numFmtId="176" fontId="13" fillId="15" borderId="0" applyNumberFormat="0" applyBorder="0" applyAlignment="0" applyProtection="0">
      <alignment vertical="center"/>
    </xf>
    <xf numFmtId="176" fontId="13" fillId="18" borderId="0" applyNumberFormat="0" applyBorder="0" applyAlignment="0" applyProtection="0">
      <alignment vertical="center"/>
    </xf>
    <xf numFmtId="176" fontId="13" fillId="19" borderId="0" applyNumberFormat="0" applyBorder="0" applyAlignment="0" applyProtection="0">
      <alignment vertical="center"/>
    </xf>
    <xf numFmtId="176" fontId="13" fillId="22" borderId="0" applyNumberFormat="0" applyBorder="0" applyAlignment="0" applyProtection="0">
      <alignment vertical="center"/>
    </xf>
    <xf numFmtId="176" fontId="13" fillId="23" borderId="0" applyNumberFormat="0" applyBorder="0" applyAlignment="0" applyProtection="0">
      <alignment vertical="center"/>
    </xf>
    <xf numFmtId="176" fontId="13" fillId="26" borderId="0" applyNumberFormat="0" applyBorder="0" applyAlignment="0" applyProtection="0">
      <alignment vertical="center"/>
    </xf>
    <xf numFmtId="176" fontId="13" fillId="27" borderId="0" applyNumberFormat="0" applyBorder="0" applyAlignment="0" applyProtection="0">
      <alignment vertical="center"/>
    </xf>
    <xf numFmtId="176" fontId="13" fillId="30" borderId="0" applyNumberFormat="0" applyBorder="0" applyAlignment="0" applyProtection="0">
      <alignment vertical="center"/>
    </xf>
    <xf numFmtId="176" fontId="13" fillId="31" borderId="0" applyNumberFormat="0" applyBorder="0" applyAlignment="0" applyProtection="0">
      <alignment vertical="center"/>
    </xf>
    <xf numFmtId="176" fontId="13" fillId="8" borderId="8" applyNumberFormat="0" applyFont="0" applyAlignment="0" applyProtection="0">
      <alignment vertical="center"/>
    </xf>
    <xf numFmtId="176" fontId="13" fillId="10" borderId="0" applyNumberFormat="0" applyBorder="0" applyAlignment="0" applyProtection="0">
      <alignment vertical="center"/>
    </xf>
    <xf numFmtId="176" fontId="13" fillId="11" borderId="0" applyNumberFormat="0" applyBorder="0" applyAlignment="0" applyProtection="0">
      <alignment vertical="center"/>
    </xf>
    <xf numFmtId="176" fontId="13" fillId="14" borderId="0" applyNumberFormat="0" applyBorder="0" applyAlignment="0" applyProtection="0">
      <alignment vertical="center"/>
    </xf>
    <xf numFmtId="176" fontId="13" fillId="15" borderId="0" applyNumberFormat="0" applyBorder="0" applyAlignment="0" applyProtection="0">
      <alignment vertical="center"/>
    </xf>
    <xf numFmtId="176" fontId="13" fillId="18" borderId="0" applyNumberFormat="0" applyBorder="0" applyAlignment="0" applyProtection="0">
      <alignment vertical="center"/>
    </xf>
    <xf numFmtId="176" fontId="13" fillId="19" borderId="0" applyNumberFormat="0" applyBorder="0" applyAlignment="0" applyProtection="0">
      <alignment vertical="center"/>
    </xf>
    <xf numFmtId="176" fontId="13" fillId="22" borderId="0" applyNumberFormat="0" applyBorder="0" applyAlignment="0" applyProtection="0">
      <alignment vertical="center"/>
    </xf>
    <xf numFmtId="176" fontId="13" fillId="23" borderId="0" applyNumberFormat="0" applyBorder="0" applyAlignment="0" applyProtection="0">
      <alignment vertical="center"/>
    </xf>
    <xf numFmtId="176" fontId="13" fillId="26" borderId="0" applyNumberFormat="0" applyBorder="0" applyAlignment="0" applyProtection="0">
      <alignment vertical="center"/>
    </xf>
    <xf numFmtId="176" fontId="13" fillId="27" borderId="0" applyNumberFormat="0" applyBorder="0" applyAlignment="0" applyProtection="0">
      <alignment vertical="center"/>
    </xf>
    <xf numFmtId="176" fontId="13" fillId="30" borderId="0" applyNumberFormat="0" applyBorder="0" applyAlignment="0" applyProtection="0">
      <alignment vertical="center"/>
    </xf>
    <xf numFmtId="176" fontId="13" fillId="31" borderId="0" applyNumberFormat="0" applyBorder="0" applyAlignment="0" applyProtection="0">
      <alignment vertical="center"/>
    </xf>
    <xf numFmtId="176" fontId="13" fillId="8" borderId="8" applyNumberFormat="0" applyFont="0" applyAlignment="0" applyProtection="0">
      <alignment vertical="center"/>
    </xf>
    <xf numFmtId="176" fontId="13" fillId="10" borderId="0" applyNumberFormat="0" applyBorder="0" applyAlignment="0" applyProtection="0">
      <alignment vertical="center"/>
    </xf>
    <xf numFmtId="176" fontId="13" fillId="11" borderId="0" applyNumberFormat="0" applyBorder="0" applyAlignment="0" applyProtection="0">
      <alignment vertical="center"/>
    </xf>
    <xf numFmtId="176" fontId="13" fillId="14" borderId="0" applyNumberFormat="0" applyBorder="0" applyAlignment="0" applyProtection="0">
      <alignment vertical="center"/>
    </xf>
    <xf numFmtId="176" fontId="13" fillId="15" borderId="0" applyNumberFormat="0" applyBorder="0" applyAlignment="0" applyProtection="0">
      <alignment vertical="center"/>
    </xf>
    <xf numFmtId="176" fontId="13" fillId="18" borderId="0" applyNumberFormat="0" applyBorder="0" applyAlignment="0" applyProtection="0">
      <alignment vertical="center"/>
    </xf>
    <xf numFmtId="176" fontId="13" fillId="19" borderId="0" applyNumberFormat="0" applyBorder="0" applyAlignment="0" applyProtection="0">
      <alignment vertical="center"/>
    </xf>
    <xf numFmtId="176" fontId="13" fillId="22" borderId="0" applyNumberFormat="0" applyBorder="0" applyAlignment="0" applyProtection="0">
      <alignment vertical="center"/>
    </xf>
    <xf numFmtId="176" fontId="13" fillId="23" borderId="0" applyNumberFormat="0" applyBorder="0" applyAlignment="0" applyProtection="0">
      <alignment vertical="center"/>
    </xf>
    <xf numFmtId="176" fontId="13" fillId="26" borderId="0" applyNumberFormat="0" applyBorder="0" applyAlignment="0" applyProtection="0">
      <alignment vertical="center"/>
    </xf>
    <xf numFmtId="176" fontId="13" fillId="27" borderId="0" applyNumberFormat="0" applyBorder="0" applyAlignment="0" applyProtection="0">
      <alignment vertical="center"/>
    </xf>
    <xf numFmtId="176" fontId="13" fillId="30" borderId="0" applyNumberFormat="0" applyBorder="0" applyAlignment="0" applyProtection="0">
      <alignment vertical="center"/>
    </xf>
    <xf numFmtId="176" fontId="13" fillId="31" borderId="0" applyNumberFormat="0" applyBorder="0" applyAlignment="0" applyProtection="0">
      <alignment vertical="center"/>
    </xf>
    <xf numFmtId="176" fontId="13" fillId="8" borderId="8" applyNumberFormat="0" applyFont="0" applyAlignment="0" applyProtection="0">
      <alignment vertical="center"/>
    </xf>
    <xf numFmtId="176" fontId="13" fillId="10" borderId="0" applyNumberFormat="0" applyBorder="0" applyAlignment="0" applyProtection="0">
      <alignment vertical="center"/>
    </xf>
    <xf numFmtId="176" fontId="13" fillId="11" borderId="0" applyNumberFormat="0" applyBorder="0" applyAlignment="0" applyProtection="0">
      <alignment vertical="center"/>
    </xf>
    <xf numFmtId="176" fontId="13" fillId="14" borderId="0" applyNumberFormat="0" applyBorder="0" applyAlignment="0" applyProtection="0">
      <alignment vertical="center"/>
    </xf>
    <xf numFmtId="176" fontId="13" fillId="15" borderId="0" applyNumberFormat="0" applyBorder="0" applyAlignment="0" applyProtection="0">
      <alignment vertical="center"/>
    </xf>
    <xf numFmtId="176" fontId="13" fillId="18" borderId="0" applyNumberFormat="0" applyBorder="0" applyAlignment="0" applyProtection="0">
      <alignment vertical="center"/>
    </xf>
    <xf numFmtId="176" fontId="13" fillId="19" borderId="0" applyNumberFormat="0" applyBorder="0" applyAlignment="0" applyProtection="0">
      <alignment vertical="center"/>
    </xf>
    <xf numFmtId="176" fontId="13" fillId="22" borderId="0" applyNumberFormat="0" applyBorder="0" applyAlignment="0" applyProtection="0">
      <alignment vertical="center"/>
    </xf>
    <xf numFmtId="176" fontId="13" fillId="23" borderId="0" applyNumberFormat="0" applyBorder="0" applyAlignment="0" applyProtection="0">
      <alignment vertical="center"/>
    </xf>
    <xf numFmtId="176" fontId="13" fillId="26" borderId="0" applyNumberFormat="0" applyBorder="0" applyAlignment="0" applyProtection="0">
      <alignment vertical="center"/>
    </xf>
    <xf numFmtId="176" fontId="13" fillId="27" borderId="0" applyNumberFormat="0" applyBorder="0" applyAlignment="0" applyProtection="0">
      <alignment vertical="center"/>
    </xf>
    <xf numFmtId="176" fontId="13" fillId="30" borderId="0" applyNumberFormat="0" applyBorder="0" applyAlignment="0" applyProtection="0">
      <alignment vertical="center"/>
    </xf>
    <xf numFmtId="176" fontId="13" fillId="31" borderId="0" applyNumberFormat="0" applyBorder="0" applyAlignment="0" applyProtection="0">
      <alignment vertical="center"/>
    </xf>
    <xf numFmtId="176" fontId="37" fillId="0" borderId="0">
      <alignment vertical="center"/>
    </xf>
    <xf numFmtId="176" fontId="36" fillId="0" borderId="0">
      <alignment vertical="center"/>
    </xf>
    <xf numFmtId="176" fontId="36" fillId="0" borderId="0">
      <alignment vertical="center"/>
    </xf>
    <xf numFmtId="176" fontId="36" fillId="0" borderId="0">
      <alignment vertical="center"/>
    </xf>
    <xf numFmtId="176" fontId="37" fillId="0" borderId="0">
      <alignment vertical="center"/>
    </xf>
    <xf numFmtId="176" fontId="36" fillId="0" borderId="0">
      <alignment vertical="center"/>
    </xf>
    <xf numFmtId="176" fontId="12" fillId="10" borderId="0" applyNumberFormat="0" applyBorder="0" applyAlignment="0" applyProtection="0">
      <alignment vertical="center"/>
    </xf>
    <xf numFmtId="176" fontId="12" fillId="11" borderId="0" applyNumberFormat="0" applyBorder="0" applyAlignment="0" applyProtection="0">
      <alignment vertical="center"/>
    </xf>
    <xf numFmtId="176" fontId="12" fillId="14" borderId="0" applyNumberFormat="0" applyBorder="0" applyAlignment="0" applyProtection="0">
      <alignment vertical="center"/>
    </xf>
    <xf numFmtId="176" fontId="12" fillId="15" borderId="0" applyNumberFormat="0" applyBorder="0" applyAlignment="0" applyProtection="0">
      <alignment vertical="center"/>
    </xf>
    <xf numFmtId="176" fontId="12" fillId="18" borderId="0" applyNumberFormat="0" applyBorder="0" applyAlignment="0" applyProtection="0">
      <alignment vertical="center"/>
    </xf>
    <xf numFmtId="176" fontId="12" fillId="19" borderId="0" applyNumberFormat="0" applyBorder="0" applyAlignment="0" applyProtection="0">
      <alignment vertical="center"/>
    </xf>
    <xf numFmtId="176" fontId="12" fillId="22" borderId="0" applyNumberFormat="0" applyBorder="0" applyAlignment="0" applyProtection="0">
      <alignment vertical="center"/>
    </xf>
    <xf numFmtId="176" fontId="12" fillId="23" borderId="0" applyNumberFormat="0" applyBorder="0" applyAlignment="0" applyProtection="0">
      <alignment vertical="center"/>
    </xf>
    <xf numFmtId="176" fontId="12" fillId="26" borderId="0" applyNumberFormat="0" applyBorder="0" applyAlignment="0" applyProtection="0">
      <alignment vertical="center"/>
    </xf>
    <xf numFmtId="176" fontId="12" fillId="27" borderId="0" applyNumberFormat="0" applyBorder="0" applyAlignment="0" applyProtection="0">
      <alignment vertical="center"/>
    </xf>
    <xf numFmtId="176" fontId="12" fillId="30" borderId="0" applyNumberFormat="0" applyBorder="0" applyAlignment="0" applyProtection="0">
      <alignment vertical="center"/>
    </xf>
    <xf numFmtId="176" fontId="12" fillId="31" borderId="0" applyNumberFormat="0" applyBorder="0" applyAlignment="0" applyProtection="0">
      <alignment vertical="center"/>
    </xf>
    <xf numFmtId="176" fontId="12" fillId="8" borderId="8" applyNumberFormat="0" applyFont="0" applyAlignment="0" applyProtection="0">
      <alignment vertical="center"/>
    </xf>
    <xf numFmtId="176" fontId="12" fillId="0" borderId="0">
      <alignment vertical="center"/>
    </xf>
    <xf numFmtId="176" fontId="12" fillId="8" borderId="8" applyNumberFormat="0" applyFont="0" applyAlignment="0" applyProtection="0">
      <alignment vertical="center"/>
    </xf>
    <xf numFmtId="176" fontId="12" fillId="8" borderId="8" applyNumberFormat="0" applyFont="0" applyAlignment="0" applyProtection="0">
      <alignment vertical="center"/>
    </xf>
    <xf numFmtId="176" fontId="12" fillId="10" borderId="0" applyNumberFormat="0" applyBorder="0" applyAlignment="0" applyProtection="0">
      <alignment vertical="center"/>
    </xf>
    <xf numFmtId="176" fontId="12" fillId="11" borderId="0" applyNumberFormat="0" applyBorder="0" applyAlignment="0" applyProtection="0">
      <alignment vertical="center"/>
    </xf>
    <xf numFmtId="176" fontId="12" fillId="14" borderId="0" applyNumberFormat="0" applyBorder="0" applyAlignment="0" applyProtection="0">
      <alignment vertical="center"/>
    </xf>
    <xf numFmtId="176" fontId="12" fillId="15" borderId="0" applyNumberFormat="0" applyBorder="0" applyAlignment="0" applyProtection="0">
      <alignment vertical="center"/>
    </xf>
    <xf numFmtId="176" fontId="12" fillId="18" borderId="0" applyNumberFormat="0" applyBorder="0" applyAlignment="0" applyProtection="0">
      <alignment vertical="center"/>
    </xf>
    <xf numFmtId="176" fontId="12" fillId="19" borderId="0" applyNumberFormat="0" applyBorder="0" applyAlignment="0" applyProtection="0">
      <alignment vertical="center"/>
    </xf>
    <xf numFmtId="176" fontId="12" fillId="22" borderId="0" applyNumberFormat="0" applyBorder="0" applyAlignment="0" applyProtection="0">
      <alignment vertical="center"/>
    </xf>
    <xf numFmtId="176" fontId="12" fillId="23" borderId="0" applyNumberFormat="0" applyBorder="0" applyAlignment="0" applyProtection="0">
      <alignment vertical="center"/>
    </xf>
    <xf numFmtId="176" fontId="12" fillId="26" borderId="0" applyNumberFormat="0" applyBorder="0" applyAlignment="0" applyProtection="0">
      <alignment vertical="center"/>
    </xf>
    <xf numFmtId="176" fontId="12" fillId="27" borderId="0" applyNumberFormat="0" applyBorder="0" applyAlignment="0" applyProtection="0">
      <alignment vertical="center"/>
    </xf>
    <xf numFmtId="176" fontId="12" fillId="30" borderId="0" applyNumberFormat="0" applyBorder="0" applyAlignment="0" applyProtection="0">
      <alignment vertical="center"/>
    </xf>
    <xf numFmtId="176" fontId="12" fillId="31" borderId="0" applyNumberFormat="0" applyBorder="0" applyAlignment="0" applyProtection="0">
      <alignment vertical="center"/>
    </xf>
    <xf numFmtId="176" fontId="12" fillId="8" borderId="8" applyNumberFormat="0" applyFont="0" applyAlignment="0" applyProtection="0">
      <alignment vertical="center"/>
    </xf>
    <xf numFmtId="176" fontId="12" fillId="10" borderId="0" applyNumberFormat="0" applyBorder="0" applyAlignment="0" applyProtection="0">
      <alignment vertical="center"/>
    </xf>
    <xf numFmtId="176" fontId="12" fillId="11" borderId="0" applyNumberFormat="0" applyBorder="0" applyAlignment="0" applyProtection="0">
      <alignment vertical="center"/>
    </xf>
    <xf numFmtId="176" fontId="12" fillId="14" borderId="0" applyNumberFormat="0" applyBorder="0" applyAlignment="0" applyProtection="0">
      <alignment vertical="center"/>
    </xf>
    <xf numFmtId="176" fontId="12" fillId="15" borderId="0" applyNumberFormat="0" applyBorder="0" applyAlignment="0" applyProtection="0">
      <alignment vertical="center"/>
    </xf>
    <xf numFmtId="176" fontId="12" fillId="18" borderId="0" applyNumberFormat="0" applyBorder="0" applyAlignment="0" applyProtection="0">
      <alignment vertical="center"/>
    </xf>
    <xf numFmtId="176" fontId="12" fillId="19" borderId="0" applyNumberFormat="0" applyBorder="0" applyAlignment="0" applyProtection="0">
      <alignment vertical="center"/>
    </xf>
    <xf numFmtId="176" fontId="12" fillId="22" borderId="0" applyNumberFormat="0" applyBorder="0" applyAlignment="0" applyProtection="0">
      <alignment vertical="center"/>
    </xf>
    <xf numFmtId="176" fontId="12" fillId="23" borderId="0" applyNumberFormat="0" applyBorder="0" applyAlignment="0" applyProtection="0">
      <alignment vertical="center"/>
    </xf>
    <xf numFmtId="176" fontId="12" fillId="26" borderId="0" applyNumberFormat="0" applyBorder="0" applyAlignment="0" applyProtection="0">
      <alignment vertical="center"/>
    </xf>
    <xf numFmtId="176" fontId="12" fillId="27" borderId="0" applyNumberFormat="0" applyBorder="0" applyAlignment="0" applyProtection="0">
      <alignment vertical="center"/>
    </xf>
    <xf numFmtId="176" fontId="12" fillId="30" borderId="0" applyNumberFormat="0" applyBorder="0" applyAlignment="0" applyProtection="0">
      <alignment vertical="center"/>
    </xf>
    <xf numFmtId="176" fontId="12" fillId="31" borderId="0" applyNumberFormat="0" applyBorder="0" applyAlignment="0" applyProtection="0">
      <alignment vertical="center"/>
    </xf>
    <xf numFmtId="176" fontId="12" fillId="8" borderId="8" applyNumberFormat="0" applyFont="0" applyAlignment="0" applyProtection="0">
      <alignment vertical="center"/>
    </xf>
    <xf numFmtId="176" fontId="12" fillId="10" borderId="0" applyNumberFormat="0" applyBorder="0" applyAlignment="0" applyProtection="0">
      <alignment vertical="center"/>
    </xf>
    <xf numFmtId="176" fontId="12" fillId="11" borderId="0" applyNumberFormat="0" applyBorder="0" applyAlignment="0" applyProtection="0">
      <alignment vertical="center"/>
    </xf>
    <xf numFmtId="176" fontId="12" fillId="14" borderId="0" applyNumberFormat="0" applyBorder="0" applyAlignment="0" applyProtection="0">
      <alignment vertical="center"/>
    </xf>
    <xf numFmtId="176" fontId="12" fillId="15" borderId="0" applyNumberFormat="0" applyBorder="0" applyAlignment="0" applyProtection="0">
      <alignment vertical="center"/>
    </xf>
    <xf numFmtId="176" fontId="12" fillId="18" borderId="0" applyNumberFormat="0" applyBorder="0" applyAlignment="0" applyProtection="0">
      <alignment vertical="center"/>
    </xf>
    <xf numFmtId="176" fontId="12" fillId="19" borderId="0" applyNumberFormat="0" applyBorder="0" applyAlignment="0" applyProtection="0">
      <alignment vertical="center"/>
    </xf>
    <xf numFmtId="176" fontId="12" fillId="22" borderId="0" applyNumberFormat="0" applyBorder="0" applyAlignment="0" applyProtection="0">
      <alignment vertical="center"/>
    </xf>
    <xf numFmtId="176" fontId="12" fillId="23" borderId="0" applyNumberFormat="0" applyBorder="0" applyAlignment="0" applyProtection="0">
      <alignment vertical="center"/>
    </xf>
    <xf numFmtId="176" fontId="12" fillId="26" borderId="0" applyNumberFormat="0" applyBorder="0" applyAlignment="0" applyProtection="0">
      <alignment vertical="center"/>
    </xf>
    <xf numFmtId="176" fontId="12" fillId="27" borderId="0" applyNumberFormat="0" applyBorder="0" applyAlignment="0" applyProtection="0">
      <alignment vertical="center"/>
    </xf>
    <xf numFmtId="176" fontId="12" fillId="30" borderId="0" applyNumberFormat="0" applyBorder="0" applyAlignment="0" applyProtection="0">
      <alignment vertical="center"/>
    </xf>
    <xf numFmtId="176" fontId="12" fillId="31" borderId="0" applyNumberFormat="0" applyBorder="0" applyAlignment="0" applyProtection="0">
      <alignment vertical="center"/>
    </xf>
    <xf numFmtId="176" fontId="12" fillId="8" borderId="8" applyNumberFormat="0" applyFont="0" applyAlignment="0" applyProtection="0">
      <alignment vertical="center"/>
    </xf>
    <xf numFmtId="176" fontId="12" fillId="10" borderId="0" applyNumberFormat="0" applyBorder="0" applyAlignment="0" applyProtection="0">
      <alignment vertical="center"/>
    </xf>
    <xf numFmtId="176" fontId="12" fillId="11" borderId="0" applyNumberFormat="0" applyBorder="0" applyAlignment="0" applyProtection="0">
      <alignment vertical="center"/>
    </xf>
    <xf numFmtId="176" fontId="12" fillId="14" borderId="0" applyNumberFormat="0" applyBorder="0" applyAlignment="0" applyProtection="0">
      <alignment vertical="center"/>
    </xf>
    <xf numFmtId="176" fontId="12" fillId="15" borderId="0" applyNumberFormat="0" applyBorder="0" applyAlignment="0" applyProtection="0">
      <alignment vertical="center"/>
    </xf>
    <xf numFmtId="176" fontId="12" fillId="18" borderId="0" applyNumberFormat="0" applyBorder="0" applyAlignment="0" applyProtection="0">
      <alignment vertical="center"/>
    </xf>
    <xf numFmtId="176" fontId="12" fillId="19" borderId="0" applyNumberFormat="0" applyBorder="0" applyAlignment="0" applyProtection="0">
      <alignment vertical="center"/>
    </xf>
    <xf numFmtId="176" fontId="12" fillId="22" borderId="0" applyNumberFormat="0" applyBorder="0" applyAlignment="0" applyProtection="0">
      <alignment vertical="center"/>
    </xf>
    <xf numFmtId="176" fontId="12" fillId="23" borderId="0" applyNumberFormat="0" applyBorder="0" applyAlignment="0" applyProtection="0">
      <alignment vertical="center"/>
    </xf>
    <xf numFmtId="176" fontId="12" fillId="26" borderId="0" applyNumberFormat="0" applyBorder="0" applyAlignment="0" applyProtection="0">
      <alignment vertical="center"/>
    </xf>
    <xf numFmtId="176" fontId="12" fillId="27" borderId="0" applyNumberFormat="0" applyBorder="0" applyAlignment="0" applyProtection="0">
      <alignment vertical="center"/>
    </xf>
    <xf numFmtId="176" fontId="12" fillId="30" borderId="0" applyNumberFormat="0" applyBorder="0" applyAlignment="0" applyProtection="0">
      <alignment vertical="center"/>
    </xf>
    <xf numFmtId="176" fontId="12" fillId="31" borderId="0" applyNumberFormat="0" applyBorder="0" applyAlignment="0" applyProtection="0">
      <alignment vertical="center"/>
    </xf>
    <xf numFmtId="176" fontId="36" fillId="0" borderId="0">
      <alignment vertical="center"/>
    </xf>
    <xf numFmtId="176" fontId="37"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7" fillId="0" borderId="0">
      <alignment vertical="center"/>
    </xf>
    <xf numFmtId="176" fontId="37" fillId="0" borderId="0">
      <alignment vertical="center"/>
    </xf>
    <xf numFmtId="176" fontId="36" fillId="0" borderId="0">
      <alignment vertical="center"/>
    </xf>
    <xf numFmtId="176" fontId="36" fillId="0" borderId="0">
      <alignment vertical="center"/>
    </xf>
    <xf numFmtId="176" fontId="36" fillId="0" borderId="0">
      <alignment vertical="center"/>
    </xf>
    <xf numFmtId="176" fontId="37" fillId="0" borderId="0">
      <alignment vertical="center"/>
    </xf>
    <xf numFmtId="176" fontId="11" fillId="10" borderId="0" applyNumberFormat="0" applyBorder="0" applyAlignment="0" applyProtection="0">
      <alignment vertical="center"/>
    </xf>
    <xf numFmtId="176" fontId="11" fillId="11" borderId="0" applyNumberFormat="0" applyBorder="0" applyAlignment="0" applyProtection="0">
      <alignment vertical="center"/>
    </xf>
    <xf numFmtId="176" fontId="11" fillId="14" borderId="0" applyNumberFormat="0" applyBorder="0" applyAlignment="0" applyProtection="0">
      <alignment vertical="center"/>
    </xf>
    <xf numFmtId="176" fontId="11" fillId="15" borderId="0" applyNumberFormat="0" applyBorder="0" applyAlignment="0" applyProtection="0">
      <alignment vertical="center"/>
    </xf>
    <xf numFmtId="176" fontId="11" fillId="18" borderId="0" applyNumberFormat="0" applyBorder="0" applyAlignment="0" applyProtection="0">
      <alignment vertical="center"/>
    </xf>
    <xf numFmtId="176" fontId="11" fillId="19" borderId="0" applyNumberFormat="0" applyBorder="0" applyAlignment="0" applyProtection="0">
      <alignment vertical="center"/>
    </xf>
    <xf numFmtId="176" fontId="11" fillId="22" borderId="0" applyNumberFormat="0" applyBorder="0" applyAlignment="0" applyProtection="0">
      <alignment vertical="center"/>
    </xf>
    <xf numFmtId="176" fontId="11" fillId="23" borderId="0" applyNumberFormat="0" applyBorder="0" applyAlignment="0" applyProtection="0">
      <alignment vertical="center"/>
    </xf>
    <xf numFmtId="176" fontId="11" fillId="26" borderId="0" applyNumberFormat="0" applyBorder="0" applyAlignment="0" applyProtection="0">
      <alignment vertical="center"/>
    </xf>
    <xf numFmtId="176" fontId="11" fillId="27" borderId="0" applyNumberFormat="0" applyBorder="0" applyAlignment="0" applyProtection="0">
      <alignment vertical="center"/>
    </xf>
    <xf numFmtId="176" fontId="11" fillId="30" borderId="0" applyNumberFormat="0" applyBorder="0" applyAlignment="0" applyProtection="0">
      <alignment vertical="center"/>
    </xf>
    <xf numFmtId="176" fontId="11" fillId="31" borderId="0" applyNumberFormat="0" applyBorder="0" applyAlignment="0" applyProtection="0">
      <alignment vertical="center"/>
    </xf>
    <xf numFmtId="176" fontId="11" fillId="8" borderId="8" applyNumberFormat="0" applyFont="0" applyAlignment="0" applyProtection="0">
      <alignment vertical="center"/>
    </xf>
    <xf numFmtId="176" fontId="11" fillId="0" borderId="0">
      <alignment vertical="center"/>
    </xf>
    <xf numFmtId="176" fontId="11" fillId="8" borderId="8" applyNumberFormat="0" applyFont="0" applyAlignment="0" applyProtection="0">
      <alignment vertical="center"/>
    </xf>
    <xf numFmtId="176" fontId="11" fillId="8" borderId="8" applyNumberFormat="0" applyFont="0" applyAlignment="0" applyProtection="0">
      <alignment vertical="center"/>
    </xf>
    <xf numFmtId="176" fontId="11" fillId="10" borderId="0" applyNumberFormat="0" applyBorder="0" applyAlignment="0" applyProtection="0">
      <alignment vertical="center"/>
    </xf>
    <xf numFmtId="176" fontId="11" fillId="11" borderId="0" applyNumberFormat="0" applyBorder="0" applyAlignment="0" applyProtection="0">
      <alignment vertical="center"/>
    </xf>
    <xf numFmtId="176" fontId="11" fillId="14" borderId="0" applyNumberFormat="0" applyBorder="0" applyAlignment="0" applyProtection="0">
      <alignment vertical="center"/>
    </xf>
    <xf numFmtId="176" fontId="11" fillId="15" borderId="0" applyNumberFormat="0" applyBorder="0" applyAlignment="0" applyProtection="0">
      <alignment vertical="center"/>
    </xf>
    <xf numFmtId="176" fontId="11" fillId="18" borderId="0" applyNumberFormat="0" applyBorder="0" applyAlignment="0" applyProtection="0">
      <alignment vertical="center"/>
    </xf>
    <xf numFmtId="176" fontId="11" fillId="19" borderId="0" applyNumberFormat="0" applyBorder="0" applyAlignment="0" applyProtection="0">
      <alignment vertical="center"/>
    </xf>
    <xf numFmtId="176" fontId="11" fillId="22" borderId="0" applyNumberFormat="0" applyBorder="0" applyAlignment="0" applyProtection="0">
      <alignment vertical="center"/>
    </xf>
    <xf numFmtId="176" fontId="11" fillId="23" borderId="0" applyNumberFormat="0" applyBorder="0" applyAlignment="0" applyProtection="0">
      <alignment vertical="center"/>
    </xf>
    <xf numFmtId="176" fontId="11" fillId="26" borderId="0" applyNumberFormat="0" applyBorder="0" applyAlignment="0" applyProtection="0">
      <alignment vertical="center"/>
    </xf>
    <xf numFmtId="176" fontId="11" fillId="27" borderId="0" applyNumberFormat="0" applyBorder="0" applyAlignment="0" applyProtection="0">
      <alignment vertical="center"/>
    </xf>
    <xf numFmtId="176" fontId="11" fillId="30" borderId="0" applyNumberFormat="0" applyBorder="0" applyAlignment="0" applyProtection="0">
      <alignment vertical="center"/>
    </xf>
    <xf numFmtId="176" fontId="11" fillId="31" borderId="0" applyNumberFormat="0" applyBorder="0" applyAlignment="0" applyProtection="0">
      <alignment vertical="center"/>
    </xf>
    <xf numFmtId="176" fontId="11" fillId="8" borderId="8" applyNumberFormat="0" applyFont="0" applyAlignment="0" applyProtection="0">
      <alignment vertical="center"/>
    </xf>
    <xf numFmtId="176" fontId="11" fillId="10" borderId="0" applyNumberFormat="0" applyBorder="0" applyAlignment="0" applyProtection="0">
      <alignment vertical="center"/>
    </xf>
    <xf numFmtId="176" fontId="11" fillId="11" borderId="0" applyNumberFormat="0" applyBorder="0" applyAlignment="0" applyProtection="0">
      <alignment vertical="center"/>
    </xf>
    <xf numFmtId="176" fontId="11" fillId="14" borderId="0" applyNumberFormat="0" applyBorder="0" applyAlignment="0" applyProtection="0">
      <alignment vertical="center"/>
    </xf>
    <xf numFmtId="176" fontId="11" fillId="15" borderId="0" applyNumberFormat="0" applyBorder="0" applyAlignment="0" applyProtection="0">
      <alignment vertical="center"/>
    </xf>
    <xf numFmtId="176" fontId="11" fillId="18" borderId="0" applyNumberFormat="0" applyBorder="0" applyAlignment="0" applyProtection="0">
      <alignment vertical="center"/>
    </xf>
    <xf numFmtId="176" fontId="11" fillId="19" borderId="0" applyNumberFormat="0" applyBorder="0" applyAlignment="0" applyProtection="0">
      <alignment vertical="center"/>
    </xf>
    <xf numFmtId="176" fontId="11" fillId="22" borderId="0" applyNumberFormat="0" applyBorder="0" applyAlignment="0" applyProtection="0">
      <alignment vertical="center"/>
    </xf>
    <xf numFmtId="176" fontId="11" fillId="23" borderId="0" applyNumberFormat="0" applyBorder="0" applyAlignment="0" applyProtection="0">
      <alignment vertical="center"/>
    </xf>
    <xf numFmtId="176" fontId="11" fillId="26" borderId="0" applyNumberFormat="0" applyBorder="0" applyAlignment="0" applyProtection="0">
      <alignment vertical="center"/>
    </xf>
    <xf numFmtId="176" fontId="11" fillId="27" borderId="0" applyNumberFormat="0" applyBorder="0" applyAlignment="0" applyProtection="0">
      <alignment vertical="center"/>
    </xf>
    <xf numFmtId="176" fontId="11" fillId="30" borderId="0" applyNumberFormat="0" applyBorder="0" applyAlignment="0" applyProtection="0">
      <alignment vertical="center"/>
    </xf>
    <xf numFmtId="176" fontId="11" fillId="31" borderId="0" applyNumberFormat="0" applyBorder="0" applyAlignment="0" applyProtection="0">
      <alignment vertical="center"/>
    </xf>
    <xf numFmtId="176" fontId="11" fillId="8" borderId="8" applyNumberFormat="0" applyFont="0" applyAlignment="0" applyProtection="0">
      <alignment vertical="center"/>
    </xf>
    <xf numFmtId="176" fontId="11" fillId="10" borderId="0" applyNumberFormat="0" applyBorder="0" applyAlignment="0" applyProtection="0">
      <alignment vertical="center"/>
    </xf>
    <xf numFmtId="176" fontId="11" fillId="11" borderId="0" applyNumberFormat="0" applyBorder="0" applyAlignment="0" applyProtection="0">
      <alignment vertical="center"/>
    </xf>
    <xf numFmtId="176" fontId="11" fillId="14" borderId="0" applyNumberFormat="0" applyBorder="0" applyAlignment="0" applyProtection="0">
      <alignment vertical="center"/>
    </xf>
    <xf numFmtId="176" fontId="11" fillId="15" borderId="0" applyNumberFormat="0" applyBorder="0" applyAlignment="0" applyProtection="0">
      <alignment vertical="center"/>
    </xf>
    <xf numFmtId="176" fontId="11" fillId="18" borderId="0" applyNumberFormat="0" applyBorder="0" applyAlignment="0" applyProtection="0">
      <alignment vertical="center"/>
    </xf>
    <xf numFmtId="176" fontId="11" fillId="19" borderId="0" applyNumberFormat="0" applyBorder="0" applyAlignment="0" applyProtection="0">
      <alignment vertical="center"/>
    </xf>
    <xf numFmtId="176" fontId="11" fillId="22" borderId="0" applyNumberFormat="0" applyBorder="0" applyAlignment="0" applyProtection="0">
      <alignment vertical="center"/>
    </xf>
    <xf numFmtId="176" fontId="11" fillId="23" borderId="0" applyNumberFormat="0" applyBorder="0" applyAlignment="0" applyProtection="0">
      <alignment vertical="center"/>
    </xf>
    <xf numFmtId="176" fontId="11" fillId="26" borderId="0" applyNumberFormat="0" applyBorder="0" applyAlignment="0" applyProtection="0">
      <alignment vertical="center"/>
    </xf>
    <xf numFmtId="176" fontId="11" fillId="27" borderId="0" applyNumberFormat="0" applyBorder="0" applyAlignment="0" applyProtection="0">
      <alignment vertical="center"/>
    </xf>
    <xf numFmtId="176" fontId="11" fillId="30" borderId="0" applyNumberFormat="0" applyBorder="0" applyAlignment="0" applyProtection="0">
      <alignment vertical="center"/>
    </xf>
    <xf numFmtId="176" fontId="11" fillId="31" borderId="0" applyNumberFormat="0" applyBorder="0" applyAlignment="0" applyProtection="0">
      <alignment vertical="center"/>
    </xf>
    <xf numFmtId="176" fontId="11" fillId="8" borderId="8" applyNumberFormat="0" applyFont="0" applyAlignment="0" applyProtection="0">
      <alignment vertical="center"/>
    </xf>
    <xf numFmtId="176" fontId="11" fillId="10" borderId="0" applyNumberFormat="0" applyBorder="0" applyAlignment="0" applyProtection="0">
      <alignment vertical="center"/>
    </xf>
    <xf numFmtId="176" fontId="11" fillId="11" borderId="0" applyNumberFormat="0" applyBorder="0" applyAlignment="0" applyProtection="0">
      <alignment vertical="center"/>
    </xf>
    <xf numFmtId="176" fontId="11" fillId="14" borderId="0" applyNumberFormat="0" applyBorder="0" applyAlignment="0" applyProtection="0">
      <alignment vertical="center"/>
    </xf>
    <xf numFmtId="176" fontId="11" fillId="15" borderId="0" applyNumberFormat="0" applyBorder="0" applyAlignment="0" applyProtection="0">
      <alignment vertical="center"/>
    </xf>
    <xf numFmtId="176" fontId="11" fillId="18" borderId="0" applyNumberFormat="0" applyBorder="0" applyAlignment="0" applyProtection="0">
      <alignment vertical="center"/>
    </xf>
    <xf numFmtId="176" fontId="11" fillId="19" borderId="0" applyNumberFormat="0" applyBorder="0" applyAlignment="0" applyProtection="0">
      <alignment vertical="center"/>
    </xf>
    <xf numFmtId="176" fontId="11" fillId="22" borderId="0" applyNumberFormat="0" applyBorder="0" applyAlignment="0" applyProtection="0">
      <alignment vertical="center"/>
    </xf>
    <xf numFmtId="176" fontId="11" fillId="23" borderId="0" applyNumberFormat="0" applyBorder="0" applyAlignment="0" applyProtection="0">
      <alignment vertical="center"/>
    </xf>
    <xf numFmtId="176" fontId="11" fillId="26" borderId="0" applyNumberFormat="0" applyBorder="0" applyAlignment="0" applyProtection="0">
      <alignment vertical="center"/>
    </xf>
    <xf numFmtId="176" fontId="11" fillId="27" borderId="0" applyNumberFormat="0" applyBorder="0" applyAlignment="0" applyProtection="0">
      <alignment vertical="center"/>
    </xf>
    <xf numFmtId="176" fontId="11" fillId="30" borderId="0" applyNumberFormat="0" applyBorder="0" applyAlignment="0" applyProtection="0">
      <alignment vertical="center"/>
    </xf>
    <xf numFmtId="176" fontId="11" fillId="31" borderId="0" applyNumberFormat="0" applyBorder="0" applyAlignment="0" applyProtection="0">
      <alignment vertical="center"/>
    </xf>
    <xf numFmtId="176" fontId="11" fillId="10" borderId="0" applyNumberFormat="0" applyBorder="0" applyAlignment="0" applyProtection="0">
      <alignment vertical="center"/>
    </xf>
    <xf numFmtId="176" fontId="11" fillId="11" borderId="0" applyNumberFormat="0" applyBorder="0" applyAlignment="0" applyProtection="0">
      <alignment vertical="center"/>
    </xf>
    <xf numFmtId="176" fontId="11" fillId="14" borderId="0" applyNumberFormat="0" applyBorder="0" applyAlignment="0" applyProtection="0">
      <alignment vertical="center"/>
    </xf>
    <xf numFmtId="176" fontId="11" fillId="15" borderId="0" applyNumberFormat="0" applyBorder="0" applyAlignment="0" applyProtection="0">
      <alignment vertical="center"/>
    </xf>
    <xf numFmtId="176" fontId="11" fillId="18" borderId="0" applyNumberFormat="0" applyBorder="0" applyAlignment="0" applyProtection="0">
      <alignment vertical="center"/>
    </xf>
    <xf numFmtId="176" fontId="11" fillId="19" borderId="0" applyNumberFormat="0" applyBorder="0" applyAlignment="0" applyProtection="0">
      <alignment vertical="center"/>
    </xf>
    <xf numFmtId="176" fontId="11" fillId="22" borderId="0" applyNumberFormat="0" applyBorder="0" applyAlignment="0" applyProtection="0">
      <alignment vertical="center"/>
    </xf>
    <xf numFmtId="176" fontId="11" fillId="23" borderId="0" applyNumberFormat="0" applyBorder="0" applyAlignment="0" applyProtection="0">
      <alignment vertical="center"/>
    </xf>
    <xf numFmtId="176" fontId="11" fillId="26" borderId="0" applyNumberFormat="0" applyBorder="0" applyAlignment="0" applyProtection="0">
      <alignment vertical="center"/>
    </xf>
    <xf numFmtId="176" fontId="11" fillId="27" borderId="0" applyNumberFormat="0" applyBorder="0" applyAlignment="0" applyProtection="0">
      <alignment vertical="center"/>
    </xf>
    <xf numFmtId="176" fontId="11" fillId="30" borderId="0" applyNumberFormat="0" applyBorder="0" applyAlignment="0" applyProtection="0">
      <alignment vertical="center"/>
    </xf>
    <xf numFmtId="176" fontId="11" fillId="31" borderId="0" applyNumberFormat="0" applyBorder="0" applyAlignment="0" applyProtection="0">
      <alignment vertical="center"/>
    </xf>
    <xf numFmtId="176" fontId="11" fillId="8" borderId="8" applyNumberFormat="0" applyFont="0" applyAlignment="0" applyProtection="0">
      <alignment vertical="center"/>
    </xf>
    <xf numFmtId="176" fontId="11" fillId="0" borderId="0">
      <alignment vertical="center"/>
    </xf>
    <xf numFmtId="176" fontId="11" fillId="8" borderId="8" applyNumberFormat="0" applyFont="0" applyAlignment="0" applyProtection="0">
      <alignment vertical="center"/>
    </xf>
    <xf numFmtId="176" fontId="11" fillId="8" borderId="8" applyNumberFormat="0" applyFont="0" applyAlignment="0" applyProtection="0">
      <alignment vertical="center"/>
    </xf>
    <xf numFmtId="176" fontId="11" fillId="10" borderId="0" applyNumberFormat="0" applyBorder="0" applyAlignment="0" applyProtection="0">
      <alignment vertical="center"/>
    </xf>
    <xf numFmtId="176" fontId="11" fillId="11" borderId="0" applyNumberFormat="0" applyBorder="0" applyAlignment="0" applyProtection="0">
      <alignment vertical="center"/>
    </xf>
    <xf numFmtId="176" fontId="11" fillId="14" borderId="0" applyNumberFormat="0" applyBorder="0" applyAlignment="0" applyProtection="0">
      <alignment vertical="center"/>
    </xf>
    <xf numFmtId="176" fontId="11" fillId="15" borderId="0" applyNumberFormat="0" applyBorder="0" applyAlignment="0" applyProtection="0">
      <alignment vertical="center"/>
    </xf>
    <xf numFmtId="176" fontId="11" fillId="18" borderId="0" applyNumberFormat="0" applyBorder="0" applyAlignment="0" applyProtection="0">
      <alignment vertical="center"/>
    </xf>
    <xf numFmtId="176" fontId="11" fillId="19" borderId="0" applyNumberFormat="0" applyBorder="0" applyAlignment="0" applyProtection="0">
      <alignment vertical="center"/>
    </xf>
    <xf numFmtId="176" fontId="11" fillId="22" borderId="0" applyNumberFormat="0" applyBorder="0" applyAlignment="0" applyProtection="0">
      <alignment vertical="center"/>
    </xf>
    <xf numFmtId="176" fontId="11" fillId="23" borderId="0" applyNumberFormat="0" applyBorder="0" applyAlignment="0" applyProtection="0">
      <alignment vertical="center"/>
    </xf>
    <xf numFmtId="176" fontId="11" fillId="26" borderId="0" applyNumberFormat="0" applyBorder="0" applyAlignment="0" applyProtection="0">
      <alignment vertical="center"/>
    </xf>
    <xf numFmtId="176" fontId="11" fillId="27" borderId="0" applyNumberFormat="0" applyBorder="0" applyAlignment="0" applyProtection="0">
      <alignment vertical="center"/>
    </xf>
    <xf numFmtId="176" fontId="11" fillId="30" borderId="0" applyNumberFormat="0" applyBorder="0" applyAlignment="0" applyProtection="0">
      <alignment vertical="center"/>
    </xf>
    <xf numFmtId="176" fontId="11" fillId="31" borderId="0" applyNumberFormat="0" applyBorder="0" applyAlignment="0" applyProtection="0">
      <alignment vertical="center"/>
    </xf>
    <xf numFmtId="176" fontId="11" fillId="8" borderId="8" applyNumberFormat="0" applyFont="0" applyAlignment="0" applyProtection="0">
      <alignment vertical="center"/>
    </xf>
    <xf numFmtId="176" fontId="11" fillId="10" borderId="0" applyNumberFormat="0" applyBorder="0" applyAlignment="0" applyProtection="0">
      <alignment vertical="center"/>
    </xf>
    <xf numFmtId="176" fontId="11" fillId="11" borderId="0" applyNumberFormat="0" applyBorder="0" applyAlignment="0" applyProtection="0">
      <alignment vertical="center"/>
    </xf>
    <xf numFmtId="176" fontId="11" fillId="14" borderId="0" applyNumberFormat="0" applyBorder="0" applyAlignment="0" applyProtection="0">
      <alignment vertical="center"/>
    </xf>
    <xf numFmtId="176" fontId="11" fillId="15" borderId="0" applyNumberFormat="0" applyBorder="0" applyAlignment="0" applyProtection="0">
      <alignment vertical="center"/>
    </xf>
    <xf numFmtId="176" fontId="11" fillId="18" borderId="0" applyNumberFormat="0" applyBorder="0" applyAlignment="0" applyProtection="0">
      <alignment vertical="center"/>
    </xf>
    <xf numFmtId="176" fontId="11" fillId="19" borderId="0" applyNumberFormat="0" applyBorder="0" applyAlignment="0" applyProtection="0">
      <alignment vertical="center"/>
    </xf>
    <xf numFmtId="176" fontId="11" fillId="22" borderId="0" applyNumberFormat="0" applyBorder="0" applyAlignment="0" applyProtection="0">
      <alignment vertical="center"/>
    </xf>
    <xf numFmtId="176" fontId="11" fillId="23" borderId="0" applyNumberFormat="0" applyBorder="0" applyAlignment="0" applyProtection="0">
      <alignment vertical="center"/>
    </xf>
    <xf numFmtId="176" fontId="11" fillId="26" borderId="0" applyNumberFormat="0" applyBorder="0" applyAlignment="0" applyProtection="0">
      <alignment vertical="center"/>
    </xf>
    <xf numFmtId="176" fontId="11" fillId="27" borderId="0" applyNumberFormat="0" applyBorder="0" applyAlignment="0" applyProtection="0">
      <alignment vertical="center"/>
    </xf>
    <xf numFmtId="176" fontId="11" fillId="30" borderId="0" applyNumberFormat="0" applyBorder="0" applyAlignment="0" applyProtection="0">
      <alignment vertical="center"/>
    </xf>
    <xf numFmtId="176" fontId="11" fillId="31" borderId="0" applyNumberFormat="0" applyBorder="0" applyAlignment="0" applyProtection="0">
      <alignment vertical="center"/>
    </xf>
    <xf numFmtId="176" fontId="11" fillId="8" borderId="8" applyNumberFormat="0" applyFont="0" applyAlignment="0" applyProtection="0">
      <alignment vertical="center"/>
    </xf>
    <xf numFmtId="176" fontId="11" fillId="10" borderId="0" applyNumberFormat="0" applyBorder="0" applyAlignment="0" applyProtection="0">
      <alignment vertical="center"/>
    </xf>
    <xf numFmtId="176" fontId="11" fillId="11" borderId="0" applyNumberFormat="0" applyBorder="0" applyAlignment="0" applyProtection="0">
      <alignment vertical="center"/>
    </xf>
    <xf numFmtId="176" fontId="11" fillId="14" borderId="0" applyNumberFormat="0" applyBorder="0" applyAlignment="0" applyProtection="0">
      <alignment vertical="center"/>
    </xf>
    <xf numFmtId="176" fontId="11" fillId="15" borderId="0" applyNumberFormat="0" applyBorder="0" applyAlignment="0" applyProtection="0">
      <alignment vertical="center"/>
    </xf>
    <xf numFmtId="176" fontId="11" fillId="18" borderId="0" applyNumberFormat="0" applyBorder="0" applyAlignment="0" applyProtection="0">
      <alignment vertical="center"/>
    </xf>
    <xf numFmtId="176" fontId="11" fillId="19" borderId="0" applyNumberFormat="0" applyBorder="0" applyAlignment="0" applyProtection="0">
      <alignment vertical="center"/>
    </xf>
    <xf numFmtId="176" fontId="11" fillId="22" borderId="0" applyNumberFormat="0" applyBorder="0" applyAlignment="0" applyProtection="0">
      <alignment vertical="center"/>
    </xf>
    <xf numFmtId="176" fontId="11" fillId="23" borderId="0" applyNumberFormat="0" applyBorder="0" applyAlignment="0" applyProtection="0">
      <alignment vertical="center"/>
    </xf>
    <xf numFmtId="176" fontId="11" fillId="26" borderId="0" applyNumberFormat="0" applyBorder="0" applyAlignment="0" applyProtection="0">
      <alignment vertical="center"/>
    </xf>
    <xf numFmtId="176" fontId="11" fillId="27" borderId="0" applyNumberFormat="0" applyBorder="0" applyAlignment="0" applyProtection="0">
      <alignment vertical="center"/>
    </xf>
    <xf numFmtId="176" fontId="11" fillId="30" borderId="0" applyNumberFormat="0" applyBorder="0" applyAlignment="0" applyProtection="0">
      <alignment vertical="center"/>
    </xf>
    <xf numFmtId="176" fontId="11" fillId="31" borderId="0" applyNumberFormat="0" applyBorder="0" applyAlignment="0" applyProtection="0">
      <alignment vertical="center"/>
    </xf>
    <xf numFmtId="176" fontId="11" fillId="8" borderId="8" applyNumberFormat="0" applyFont="0" applyAlignment="0" applyProtection="0">
      <alignment vertical="center"/>
    </xf>
    <xf numFmtId="176" fontId="11" fillId="10" borderId="0" applyNumberFormat="0" applyBorder="0" applyAlignment="0" applyProtection="0">
      <alignment vertical="center"/>
    </xf>
    <xf numFmtId="176" fontId="11" fillId="11" borderId="0" applyNumberFormat="0" applyBorder="0" applyAlignment="0" applyProtection="0">
      <alignment vertical="center"/>
    </xf>
    <xf numFmtId="176" fontId="11" fillId="14" borderId="0" applyNumberFormat="0" applyBorder="0" applyAlignment="0" applyProtection="0">
      <alignment vertical="center"/>
    </xf>
    <xf numFmtId="176" fontId="11" fillId="15" borderId="0" applyNumberFormat="0" applyBorder="0" applyAlignment="0" applyProtection="0">
      <alignment vertical="center"/>
    </xf>
    <xf numFmtId="176" fontId="11" fillId="18" borderId="0" applyNumberFormat="0" applyBorder="0" applyAlignment="0" applyProtection="0">
      <alignment vertical="center"/>
    </xf>
    <xf numFmtId="176" fontId="11" fillId="19" borderId="0" applyNumberFormat="0" applyBorder="0" applyAlignment="0" applyProtection="0">
      <alignment vertical="center"/>
    </xf>
    <xf numFmtId="176" fontId="11" fillId="22" borderId="0" applyNumberFormat="0" applyBorder="0" applyAlignment="0" applyProtection="0">
      <alignment vertical="center"/>
    </xf>
    <xf numFmtId="176" fontId="11" fillId="23" borderId="0" applyNumberFormat="0" applyBorder="0" applyAlignment="0" applyProtection="0">
      <alignment vertical="center"/>
    </xf>
    <xf numFmtId="176" fontId="11" fillId="26" borderId="0" applyNumberFormat="0" applyBorder="0" applyAlignment="0" applyProtection="0">
      <alignment vertical="center"/>
    </xf>
    <xf numFmtId="176" fontId="11" fillId="27" borderId="0" applyNumberFormat="0" applyBorder="0" applyAlignment="0" applyProtection="0">
      <alignment vertical="center"/>
    </xf>
    <xf numFmtId="176" fontId="11" fillId="30" borderId="0" applyNumberFormat="0" applyBorder="0" applyAlignment="0" applyProtection="0">
      <alignment vertical="center"/>
    </xf>
    <xf numFmtId="176" fontId="11" fillId="31" borderId="0" applyNumberFormat="0" applyBorder="0" applyAlignment="0" applyProtection="0">
      <alignment vertical="center"/>
    </xf>
    <xf numFmtId="176" fontId="40" fillId="0" borderId="0">
      <alignment vertical="center"/>
    </xf>
    <xf numFmtId="9" fontId="40" fillId="0" borderId="0" applyFont="0" applyFill="0" applyBorder="0" applyAlignment="0" applyProtection="0">
      <alignment vertical="center"/>
    </xf>
    <xf numFmtId="176" fontId="10" fillId="0" borderId="0">
      <alignment vertical="center"/>
    </xf>
    <xf numFmtId="176" fontId="10" fillId="18" borderId="0" applyNumberFormat="0" applyBorder="0" applyAlignment="0" applyProtection="0">
      <alignment vertical="center"/>
    </xf>
    <xf numFmtId="176" fontId="10" fillId="11" borderId="0" applyNumberFormat="0" applyBorder="0" applyAlignment="0" applyProtection="0">
      <alignment vertical="center"/>
    </xf>
    <xf numFmtId="176" fontId="10" fillId="10" borderId="0" applyNumberFormat="0" applyBorder="0" applyAlignment="0" applyProtection="0">
      <alignment vertical="center"/>
    </xf>
    <xf numFmtId="176" fontId="10" fillId="8" borderId="8" applyNumberFormat="0" applyFont="0" applyAlignment="0" applyProtection="0">
      <alignment vertical="center"/>
    </xf>
    <xf numFmtId="176" fontId="10" fillId="11" borderId="0" applyNumberFormat="0" applyBorder="0" applyAlignment="0" applyProtection="0">
      <alignment vertical="center"/>
    </xf>
    <xf numFmtId="176" fontId="10" fillId="18" borderId="0" applyNumberFormat="0" applyBorder="0" applyAlignment="0" applyProtection="0">
      <alignment vertical="center"/>
    </xf>
    <xf numFmtId="176" fontId="10" fillId="0" borderId="0">
      <alignment vertical="center"/>
    </xf>
    <xf numFmtId="176" fontId="10" fillId="8" borderId="8" applyNumberFormat="0" applyFont="0" applyAlignment="0" applyProtection="0">
      <alignment vertical="center"/>
    </xf>
    <xf numFmtId="176" fontId="10" fillId="11" borderId="0" applyNumberFormat="0" applyBorder="0" applyAlignment="0" applyProtection="0">
      <alignment vertical="center"/>
    </xf>
    <xf numFmtId="176" fontId="10" fillId="10" borderId="0" applyNumberFormat="0" applyBorder="0" applyAlignment="0" applyProtection="0">
      <alignment vertical="center"/>
    </xf>
    <xf numFmtId="176" fontId="10" fillId="11" borderId="0" applyNumberFormat="0" applyBorder="0" applyAlignment="0" applyProtection="0">
      <alignment vertical="center"/>
    </xf>
    <xf numFmtId="176" fontId="10" fillId="18" borderId="0" applyNumberFormat="0" applyBorder="0" applyAlignment="0" applyProtection="0">
      <alignment vertical="center"/>
    </xf>
    <xf numFmtId="176" fontId="10" fillId="14" borderId="0" applyNumberFormat="0" applyBorder="0" applyAlignment="0" applyProtection="0">
      <alignment vertical="center"/>
    </xf>
    <xf numFmtId="176" fontId="10" fillId="15" borderId="0" applyNumberFormat="0" applyBorder="0" applyAlignment="0" applyProtection="0">
      <alignment vertical="center"/>
    </xf>
    <xf numFmtId="176" fontId="10" fillId="8" borderId="8" applyNumberFormat="0" applyFont="0" applyAlignment="0" applyProtection="0">
      <alignment vertical="center"/>
    </xf>
    <xf numFmtId="176" fontId="10" fillId="8" borderId="8" applyNumberFormat="0" applyFont="0" applyAlignment="0" applyProtection="0">
      <alignment vertical="center"/>
    </xf>
    <xf numFmtId="176" fontId="10" fillId="18" borderId="0" applyNumberFormat="0" applyBorder="0" applyAlignment="0" applyProtection="0">
      <alignment vertical="center"/>
    </xf>
    <xf numFmtId="176" fontId="10" fillId="19" borderId="0" applyNumberFormat="0" applyBorder="0" applyAlignment="0" applyProtection="0">
      <alignment vertical="center"/>
    </xf>
    <xf numFmtId="176" fontId="10" fillId="22" borderId="0" applyNumberFormat="0" applyBorder="0" applyAlignment="0" applyProtection="0">
      <alignment vertical="center"/>
    </xf>
    <xf numFmtId="176" fontId="10" fillId="23" borderId="0" applyNumberFormat="0" applyBorder="0" applyAlignment="0" applyProtection="0">
      <alignment vertical="center"/>
    </xf>
    <xf numFmtId="176" fontId="10" fillId="15" borderId="0" applyNumberFormat="0" applyBorder="0" applyAlignment="0" applyProtection="0">
      <alignment vertical="center"/>
    </xf>
    <xf numFmtId="176" fontId="10" fillId="26" borderId="0" applyNumberFormat="0" applyBorder="0" applyAlignment="0" applyProtection="0">
      <alignment vertical="center"/>
    </xf>
    <xf numFmtId="176" fontId="10" fillId="27" borderId="0" applyNumberFormat="0" applyBorder="0" applyAlignment="0" applyProtection="0">
      <alignment vertical="center"/>
    </xf>
    <xf numFmtId="176" fontId="10" fillId="14" borderId="0" applyNumberFormat="0" applyBorder="0" applyAlignment="0" applyProtection="0">
      <alignment vertical="center"/>
    </xf>
    <xf numFmtId="176" fontId="10" fillId="10" borderId="0" applyNumberFormat="0" applyBorder="0" applyAlignment="0" applyProtection="0">
      <alignment vertical="center"/>
    </xf>
    <xf numFmtId="176" fontId="10" fillId="30" borderId="0" applyNumberFormat="0" applyBorder="0" applyAlignment="0" applyProtection="0">
      <alignment vertical="center"/>
    </xf>
    <xf numFmtId="176" fontId="10" fillId="31" borderId="0" applyNumberFormat="0" applyBorder="0" applyAlignment="0" applyProtection="0">
      <alignment vertical="center"/>
    </xf>
    <xf numFmtId="176" fontId="10" fillId="19" borderId="0" applyNumberFormat="0" applyBorder="0" applyAlignment="0" applyProtection="0">
      <alignment vertical="center"/>
    </xf>
    <xf numFmtId="176" fontId="10" fillId="22" borderId="0" applyNumberFormat="0" applyBorder="0" applyAlignment="0" applyProtection="0">
      <alignment vertical="center"/>
    </xf>
    <xf numFmtId="176" fontId="10" fillId="23" borderId="0" applyNumberFormat="0" applyBorder="0" applyAlignment="0" applyProtection="0">
      <alignment vertical="center"/>
    </xf>
    <xf numFmtId="176" fontId="10" fillId="15" borderId="0" applyNumberFormat="0" applyBorder="0" applyAlignment="0" applyProtection="0">
      <alignment vertical="center"/>
    </xf>
    <xf numFmtId="176" fontId="10" fillId="26" borderId="0" applyNumberFormat="0" applyBorder="0" applyAlignment="0" applyProtection="0">
      <alignment vertical="center"/>
    </xf>
    <xf numFmtId="176" fontId="10" fillId="27" borderId="0" applyNumberFormat="0" applyBorder="0" applyAlignment="0" applyProtection="0">
      <alignment vertical="center"/>
    </xf>
    <xf numFmtId="176" fontId="10" fillId="14" borderId="0" applyNumberFormat="0" applyBorder="0" applyAlignment="0" applyProtection="0">
      <alignment vertical="center"/>
    </xf>
    <xf numFmtId="176" fontId="10" fillId="10" borderId="0" applyNumberFormat="0" applyBorder="0" applyAlignment="0" applyProtection="0">
      <alignment vertical="center"/>
    </xf>
    <xf numFmtId="176" fontId="10" fillId="30" borderId="0" applyNumberFormat="0" applyBorder="0" applyAlignment="0" applyProtection="0">
      <alignment vertical="center"/>
    </xf>
    <xf numFmtId="176" fontId="10" fillId="31" borderId="0" applyNumberFormat="0" applyBorder="0" applyAlignment="0" applyProtection="0">
      <alignment vertical="center"/>
    </xf>
    <xf numFmtId="176" fontId="10" fillId="19" borderId="0" applyNumberFormat="0" applyBorder="0" applyAlignment="0" applyProtection="0">
      <alignment vertical="center"/>
    </xf>
    <xf numFmtId="176" fontId="10" fillId="22" borderId="0" applyNumberFormat="0" applyBorder="0" applyAlignment="0" applyProtection="0">
      <alignment vertical="center"/>
    </xf>
    <xf numFmtId="176" fontId="10" fillId="23" borderId="0" applyNumberFormat="0" applyBorder="0" applyAlignment="0" applyProtection="0">
      <alignment vertical="center"/>
    </xf>
    <xf numFmtId="176" fontId="10" fillId="15" borderId="0" applyNumberFormat="0" applyBorder="0" applyAlignment="0" applyProtection="0">
      <alignment vertical="center"/>
    </xf>
    <xf numFmtId="176" fontId="10" fillId="26" borderId="0" applyNumberFormat="0" applyBorder="0" applyAlignment="0" applyProtection="0">
      <alignment vertical="center"/>
    </xf>
    <xf numFmtId="176" fontId="10" fillId="27" borderId="0" applyNumberFormat="0" applyBorder="0" applyAlignment="0" applyProtection="0">
      <alignment vertical="center"/>
    </xf>
    <xf numFmtId="176" fontId="10" fillId="14" borderId="0" applyNumberFormat="0" applyBorder="0" applyAlignment="0" applyProtection="0">
      <alignment vertical="center"/>
    </xf>
    <xf numFmtId="176" fontId="10" fillId="30" borderId="0" applyNumberFormat="0" applyBorder="0" applyAlignment="0" applyProtection="0">
      <alignment vertical="center"/>
    </xf>
    <xf numFmtId="176" fontId="10" fillId="31" borderId="0" applyNumberFormat="0" applyBorder="0" applyAlignment="0" applyProtection="0">
      <alignment vertical="center"/>
    </xf>
    <xf numFmtId="176" fontId="10" fillId="19" borderId="0" applyNumberFormat="0" applyBorder="0" applyAlignment="0" applyProtection="0">
      <alignment vertical="center"/>
    </xf>
    <xf numFmtId="176" fontId="10" fillId="22" borderId="0" applyNumberFormat="0" applyBorder="0" applyAlignment="0" applyProtection="0">
      <alignment vertical="center"/>
    </xf>
    <xf numFmtId="176" fontId="10" fillId="23" borderId="0" applyNumberFormat="0" applyBorder="0" applyAlignment="0" applyProtection="0">
      <alignment vertical="center"/>
    </xf>
    <xf numFmtId="176" fontId="10" fillId="26" borderId="0" applyNumberFormat="0" applyBorder="0" applyAlignment="0" applyProtection="0">
      <alignment vertical="center"/>
    </xf>
    <xf numFmtId="176" fontId="10" fillId="27" borderId="0" applyNumberFormat="0" applyBorder="0" applyAlignment="0" applyProtection="0">
      <alignment vertical="center"/>
    </xf>
    <xf numFmtId="176" fontId="10" fillId="30" borderId="0" applyNumberFormat="0" applyBorder="0" applyAlignment="0" applyProtection="0">
      <alignment vertical="center"/>
    </xf>
    <xf numFmtId="176" fontId="10" fillId="31" borderId="0" applyNumberFormat="0" applyBorder="0" applyAlignment="0" applyProtection="0">
      <alignment vertical="center"/>
    </xf>
    <xf numFmtId="176" fontId="40" fillId="0" borderId="0">
      <alignment vertical="center"/>
    </xf>
    <xf numFmtId="176" fontId="9" fillId="0" borderId="0">
      <alignment vertical="center"/>
    </xf>
    <xf numFmtId="176" fontId="9" fillId="11" borderId="0" applyNumberFormat="0" applyBorder="0" applyAlignment="0" applyProtection="0">
      <alignment vertical="center"/>
    </xf>
    <xf numFmtId="176" fontId="9" fillId="10" borderId="0" applyNumberFormat="0" applyBorder="0" applyAlignment="0" applyProtection="0">
      <alignment vertical="center"/>
    </xf>
    <xf numFmtId="176" fontId="9" fillId="8" borderId="8" applyNumberFormat="0" applyFont="0" applyAlignment="0" applyProtection="0">
      <alignment vertical="center"/>
    </xf>
    <xf numFmtId="176" fontId="9" fillId="0" borderId="0">
      <alignment vertical="center"/>
    </xf>
    <xf numFmtId="176" fontId="9" fillId="8" borderId="8" applyNumberFormat="0" applyFont="0" applyAlignment="0" applyProtection="0">
      <alignment vertical="center"/>
    </xf>
    <xf numFmtId="176" fontId="9" fillId="10" borderId="0" applyNumberFormat="0" applyBorder="0" applyAlignment="0" applyProtection="0">
      <alignment vertical="center"/>
    </xf>
    <xf numFmtId="176" fontId="9" fillId="11" borderId="0" applyNumberFormat="0" applyBorder="0" applyAlignment="0" applyProtection="0">
      <alignment vertical="center"/>
    </xf>
    <xf numFmtId="176" fontId="9" fillId="18" borderId="0" applyNumberFormat="0" applyBorder="0" applyAlignment="0" applyProtection="0">
      <alignment vertical="center"/>
    </xf>
    <xf numFmtId="176" fontId="9" fillId="14" borderId="0" applyNumberFormat="0" applyBorder="0" applyAlignment="0" applyProtection="0">
      <alignment vertical="center"/>
    </xf>
    <xf numFmtId="176" fontId="9" fillId="15" borderId="0" applyNumberFormat="0" applyBorder="0" applyAlignment="0" applyProtection="0">
      <alignment vertical="center"/>
    </xf>
    <xf numFmtId="176" fontId="9" fillId="18" borderId="0" applyNumberFormat="0" applyBorder="0" applyAlignment="0" applyProtection="0">
      <alignment vertical="center"/>
    </xf>
    <xf numFmtId="176" fontId="9" fillId="19" borderId="0" applyNumberFormat="0" applyBorder="0" applyAlignment="0" applyProtection="0">
      <alignment vertical="center"/>
    </xf>
    <xf numFmtId="176" fontId="9" fillId="22" borderId="0" applyNumberFormat="0" applyBorder="0" applyAlignment="0" applyProtection="0">
      <alignment vertical="center"/>
    </xf>
    <xf numFmtId="176" fontId="9" fillId="23" borderId="0" applyNumberFormat="0" applyBorder="0" applyAlignment="0" applyProtection="0">
      <alignment vertical="center"/>
    </xf>
    <xf numFmtId="176" fontId="9" fillId="15" borderId="0" applyNumberFormat="0" applyBorder="0" applyAlignment="0" applyProtection="0">
      <alignment vertical="center"/>
    </xf>
    <xf numFmtId="176" fontId="9" fillId="26" borderId="0" applyNumberFormat="0" applyBorder="0" applyAlignment="0" applyProtection="0">
      <alignment vertical="center"/>
    </xf>
    <xf numFmtId="176" fontId="9" fillId="27" borderId="0" applyNumberFormat="0" applyBorder="0" applyAlignment="0" applyProtection="0">
      <alignment vertical="center"/>
    </xf>
    <xf numFmtId="176" fontId="9" fillId="14" borderId="0" applyNumberFormat="0" applyBorder="0" applyAlignment="0" applyProtection="0">
      <alignment vertical="center"/>
    </xf>
    <xf numFmtId="176" fontId="9" fillId="30" borderId="0" applyNumberFormat="0" applyBorder="0" applyAlignment="0" applyProtection="0">
      <alignment vertical="center"/>
    </xf>
    <xf numFmtId="176" fontId="9" fillId="31" borderId="0" applyNumberFormat="0" applyBorder="0" applyAlignment="0" applyProtection="0">
      <alignment vertical="center"/>
    </xf>
    <xf numFmtId="176" fontId="9" fillId="19" borderId="0" applyNumberFormat="0" applyBorder="0" applyAlignment="0" applyProtection="0">
      <alignment vertical="center"/>
    </xf>
    <xf numFmtId="176" fontId="9" fillId="22" borderId="0" applyNumberFormat="0" applyBorder="0" applyAlignment="0" applyProtection="0">
      <alignment vertical="center"/>
    </xf>
    <xf numFmtId="176" fontId="9" fillId="23" borderId="0" applyNumberFormat="0" applyBorder="0" applyAlignment="0" applyProtection="0">
      <alignment vertical="center"/>
    </xf>
    <xf numFmtId="176" fontId="9" fillId="26" borderId="0" applyNumberFormat="0" applyBorder="0" applyAlignment="0" applyProtection="0">
      <alignment vertical="center"/>
    </xf>
    <xf numFmtId="176" fontId="9" fillId="27" borderId="0" applyNumberFormat="0" applyBorder="0" applyAlignment="0" applyProtection="0">
      <alignment vertical="center"/>
    </xf>
    <xf numFmtId="176" fontId="9" fillId="30" borderId="0" applyNumberFormat="0" applyBorder="0" applyAlignment="0" applyProtection="0">
      <alignment vertical="center"/>
    </xf>
    <xf numFmtId="176" fontId="9" fillId="31" borderId="0" applyNumberFormat="0" applyBorder="0" applyAlignment="0" applyProtection="0">
      <alignment vertical="center"/>
    </xf>
    <xf numFmtId="176" fontId="40" fillId="0" borderId="0">
      <alignment vertical="center"/>
    </xf>
    <xf numFmtId="176" fontId="19" fillId="0" borderId="0">
      <alignment vertical="center"/>
    </xf>
    <xf numFmtId="176" fontId="19" fillId="0" borderId="0">
      <alignment vertical="center"/>
    </xf>
    <xf numFmtId="176" fontId="19" fillId="0" borderId="0">
      <alignment vertical="center"/>
    </xf>
    <xf numFmtId="176" fontId="19" fillId="0" borderId="0">
      <alignment vertical="center"/>
    </xf>
    <xf numFmtId="176" fontId="19" fillId="0" borderId="0">
      <alignment vertical="center"/>
    </xf>
    <xf numFmtId="176" fontId="41" fillId="0" borderId="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0" borderId="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1"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10"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0" borderId="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0" borderId="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0" borderId="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0" borderId="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0" borderId="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0" borderId="0">
      <alignment vertical="center"/>
    </xf>
    <xf numFmtId="176" fontId="8" fillId="18" borderId="0" applyNumberFormat="0" applyBorder="0" applyAlignment="0" applyProtection="0">
      <alignment vertical="center"/>
    </xf>
    <xf numFmtId="176" fontId="8" fillId="11" borderId="0" applyNumberFormat="0" applyBorder="0" applyAlignment="0" applyProtection="0">
      <alignment vertical="center"/>
    </xf>
    <xf numFmtId="176" fontId="8" fillId="10" borderId="0" applyNumberFormat="0" applyBorder="0" applyAlignment="0" applyProtection="0">
      <alignment vertical="center"/>
    </xf>
    <xf numFmtId="176" fontId="8" fillId="8" borderId="8" applyNumberFormat="0" applyFont="0" applyAlignment="0" applyProtection="0">
      <alignment vertical="center"/>
    </xf>
    <xf numFmtId="176" fontId="8" fillId="11" borderId="0" applyNumberFormat="0" applyBorder="0" applyAlignment="0" applyProtection="0">
      <alignment vertical="center"/>
    </xf>
    <xf numFmtId="176" fontId="8" fillId="18" borderId="0" applyNumberFormat="0" applyBorder="0" applyAlignment="0" applyProtection="0">
      <alignment vertical="center"/>
    </xf>
    <xf numFmtId="176" fontId="8" fillId="0" borderId="0">
      <alignment vertical="center"/>
    </xf>
    <xf numFmtId="176" fontId="8" fillId="8" borderId="8" applyNumberFormat="0" applyFont="0" applyAlignment="0" applyProtection="0">
      <alignment vertical="center"/>
    </xf>
    <xf numFmtId="176" fontId="8" fillId="11" borderId="0" applyNumberFormat="0" applyBorder="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8"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15"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14" borderId="0" applyNumberFormat="0" applyBorder="0" applyAlignment="0" applyProtection="0">
      <alignment vertical="center"/>
    </xf>
    <xf numFmtId="176" fontId="8" fillId="10"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15"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14" borderId="0" applyNumberFormat="0" applyBorder="0" applyAlignment="0" applyProtection="0">
      <alignment vertical="center"/>
    </xf>
    <xf numFmtId="176" fontId="8" fillId="10"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15"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14"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0" borderId="0">
      <alignment vertical="center"/>
    </xf>
    <xf numFmtId="176" fontId="8" fillId="11" borderId="0" applyNumberFormat="0" applyBorder="0" applyAlignment="0" applyProtection="0">
      <alignment vertical="center"/>
    </xf>
    <xf numFmtId="176" fontId="8" fillId="10" borderId="0" applyNumberFormat="0" applyBorder="0" applyAlignment="0" applyProtection="0">
      <alignment vertical="center"/>
    </xf>
    <xf numFmtId="176" fontId="8" fillId="8" borderId="8" applyNumberFormat="0" applyFont="0" applyAlignment="0" applyProtection="0">
      <alignment vertical="center"/>
    </xf>
    <xf numFmtId="176" fontId="8" fillId="0" borderId="0">
      <alignment vertical="center"/>
    </xf>
    <xf numFmtId="176" fontId="8" fillId="8" borderId="8" applyNumberFormat="0" applyFont="0" applyAlignment="0" applyProtection="0">
      <alignment vertical="center"/>
    </xf>
    <xf numFmtId="176" fontId="8" fillId="10" borderId="0" applyNumberFormat="0" applyBorder="0" applyAlignment="0" applyProtection="0">
      <alignment vertical="center"/>
    </xf>
    <xf numFmtId="176" fontId="8" fillId="11" borderId="0" applyNumberFormat="0" applyBorder="0" applyAlignment="0" applyProtection="0">
      <alignment vertical="center"/>
    </xf>
    <xf numFmtId="176" fontId="8" fillId="18" borderId="0" applyNumberFormat="0" applyBorder="0" applyAlignment="0" applyProtection="0">
      <alignment vertical="center"/>
    </xf>
    <xf numFmtId="176" fontId="8" fillId="14" borderId="0" applyNumberFormat="0" applyBorder="0" applyAlignment="0" applyProtection="0">
      <alignment vertical="center"/>
    </xf>
    <xf numFmtId="176" fontId="8" fillId="15" borderId="0" applyNumberFormat="0" applyBorder="0" applyAlignment="0" applyProtection="0">
      <alignment vertical="center"/>
    </xf>
    <xf numFmtId="176" fontId="8" fillId="18"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15"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14"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8" fillId="19" borderId="0" applyNumberFormat="0" applyBorder="0" applyAlignment="0" applyProtection="0">
      <alignment vertical="center"/>
    </xf>
    <xf numFmtId="176" fontId="8" fillId="22" borderId="0" applyNumberFormat="0" applyBorder="0" applyAlignment="0" applyProtection="0">
      <alignment vertical="center"/>
    </xf>
    <xf numFmtId="176" fontId="8" fillId="23" borderId="0" applyNumberFormat="0" applyBorder="0" applyAlignment="0" applyProtection="0">
      <alignment vertical="center"/>
    </xf>
    <xf numFmtId="176" fontId="8" fillId="26" borderId="0" applyNumberFormat="0" applyBorder="0" applyAlignment="0" applyProtection="0">
      <alignment vertical="center"/>
    </xf>
    <xf numFmtId="176" fontId="8" fillId="27" borderId="0" applyNumberFormat="0" applyBorder="0" applyAlignment="0" applyProtection="0">
      <alignment vertical="center"/>
    </xf>
    <xf numFmtId="176" fontId="8" fillId="30" borderId="0" applyNumberFormat="0" applyBorder="0" applyAlignment="0" applyProtection="0">
      <alignment vertical="center"/>
    </xf>
    <xf numFmtId="176" fontId="8" fillId="31" borderId="0" applyNumberFormat="0" applyBorder="0" applyAlignment="0" applyProtection="0">
      <alignment vertical="center"/>
    </xf>
    <xf numFmtId="176" fontId="7" fillId="0" borderId="0">
      <alignment vertical="center"/>
    </xf>
    <xf numFmtId="9" fontId="7" fillId="0" borderId="0" applyFont="0" applyFill="0" applyBorder="0" applyAlignment="0" applyProtection="0">
      <alignment vertical="center"/>
    </xf>
    <xf numFmtId="176" fontId="42" fillId="0" borderId="1" applyNumberFormat="0" applyFill="0" applyAlignment="0" applyProtection="0">
      <alignment vertical="center"/>
    </xf>
    <xf numFmtId="176" fontId="43" fillId="0" borderId="2" applyNumberFormat="0" applyFill="0" applyAlignment="0" applyProtection="0">
      <alignment vertical="center"/>
    </xf>
    <xf numFmtId="176" fontId="44" fillId="0" borderId="3" applyNumberFormat="0" applyFill="0" applyAlignment="0" applyProtection="0">
      <alignment vertical="center"/>
    </xf>
    <xf numFmtId="176" fontId="44" fillId="0" borderId="0" applyNumberFormat="0" applyFill="0" applyBorder="0" applyAlignment="0" applyProtection="0">
      <alignment vertical="center"/>
    </xf>
    <xf numFmtId="176" fontId="45" fillId="2" borderId="0" applyNumberFormat="0" applyBorder="0" applyAlignment="0" applyProtection="0">
      <alignment vertical="center"/>
    </xf>
    <xf numFmtId="176" fontId="46" fillId="3" borderId="0" applyNumberFormat="0" applyBorder="0" applyAlignment="0" applyProtection="0">
      <alignment vertical="center"/>
    </xf>
    <xf numFmtId="176" fontId="47" fillId="4" borderId="0" applyNumberFormat="0" applyBorder="0" applyAlignment="0" applyProtection="0">
      <alignment vertical="center"/>
    </xf>
    <xf numFmtId="176" fontId="48" fillId="5" borderId="4" applyNumberFormat="0" applyAlignment="0" applyProtection="0">
      <alignment vertical="center"/>
    </xf>
    <xf numFmtId="176" fontId="49" fillId="6" borderId="5" applyNumberFormat="0" applyAlignment="0" applyProtection="0">
      <alignment vertical="center"/>
    </xf>
    <xf numFmtId="176" fontId="50" fillId="6" borderId="4" applyNumberFormat="0" applyAlignment="0" applyProtection="0">
      <alignment vertical="center"/>
    </xf>
    <xf numFmtId="176" fontId="51" fillId="0" borderId="6" applyNumberFormat="0" applyFill="0" applyAlignment="0" applyProtection="0">
      <alignment vertical="center"/>
    </xf>
    <xf numFmtId="176" fontId="52" fillId="7" borderId="7" applyNumberFormat="0" applyAlignment="0" applyProtection="0">
      <alignment vertical="center"/>
    </xf>
    <xf numFmtId="176" fontId="53" fillId="0" borderId="0" applyNumberFormat="0" applyFill="0" applyBorder="0" applyAlignment="0" applyProtection="0">
      <alignment vertical="center"/>
    </xf>
    <xf numFmtId="176" fontId="7" fillId="8" borderId="8" applyNumberFormat="0" applyFont="0" applyAlignment="0" applyProtection="0">
      <alignment vertical="center"/>
    </xf>
    <xf numFmtId="176" fontId="54" fillId="0" borderId="0" applyNumberFormat="0" applyFill="0" applyBorder="0" applyAlignment="0" applyProtection="0">
      <alignment vertical="center"/>
    </xf>
    <xf numFmtId="176" fontId="55" fillId="0" borderId="9" applyNumberFormat="0" applyFill="0" applyAlignment="0" applyProtection="0">
      <alignment vertical="center"/>
    </xf>
    <xf numFmtId="176" fontId="56" fillId="9" borderId="0" applyNumberFormat="0" applyBorder="0" applyAlignment="0" applyProtection="0">
      <alignment vertical="center"/>
    </xf>
    <xf numFmtId="176" fontId="7" fillId="10" borderId="0" applyNumberFormat="0" applyBorder="0" applyAlignment="0" applyProtection="0">
      <alignment vertical="center"/>
    </xf>
    <xf numFmtId="176" fontId="7" fillId="11" borderId="0" applyNumberFormat="0" applyBorder="0" applyAlignment="0" applyProtection="0">
      <alignment vertical="center"/>
    </xf>
    <xf numFmtId="176" fontId="56" fillId="12" borderId="0" applyNumberFormat="0" applyBorder="0" applyAlignment="0" applyProtection="0">
      <alignment vertical="center"/>
    </xf>
    <xf numFmtId="176" fontId="56" fillId="13" borderId="0" applyNumberFormat="0" applyBorder="0" applyAlignment="0" applyProtection="0">
      <alignment vertical="center"/>
    </xf>
    <xf numFmtId="176" fontId="7" fillId="14" borderId="0" applyNumberFormat="0" applyBorder="0" applyAlignment="0" applyProtection="0">
      <alignment vertical="center"/>
    </xf>
    <xf numFmtId="176" fontId="7" fillId="15" borderId="0" applyNumberFormat="0" applyBorder="0" applyAlignment="0" applyProtection="0">
      <alignment vertical="center"/>
    </xf>
    <xf numFmtId="176" fontId="56" fillId="16" borderId="0" applyNumberFormat="0" applyBorder="0" applyAlignment="0" applyProtection="0">
      <alignment vertical="center"/>
    </xf>
    <xf numFmtId="176" fontId="56" fillId="17" borderId="0" applyNumberFormat="0" applyBorder="0" applyAlignment="0" applyProtection="0">
      <alignment vertical="center"/>
    </xf>
    <xf numFmtId="176" fontId="7" fillId="18" borderId="0" applyNumberFormat="0" applyBorder="0" applyAlignment="0" applyProtection="0">
      <alignment vertical="center"/>
    </xf>
    <xf numFmtId="176" fontId="7" fillId="19" borderId="0" applyNumberFormat="0" applyBorder="0" applyAlignment="0" applyProtection="0">
      <alignment vertical="center"/>
    </xf>
    <xf numFmtId="176" fontId="56" fillId="20" borderId="0" applyNumberFormat="0" applyBorder="0" applyAlignment="0" applyProtection="0">
      <alignment vertical="center"/>
    </xf>
    <xf numFmtId="176" fontId="56" fillId="21" borderId="0" applyNumberFormat="0" applyBorder="0" applyAlignment="0" applyProtection="0">
      <alignment vertical="center"/>
    </xf>
    <xf numFmtId="176" fontId="7" fillId="22" borderId="0" applyNumberFormat="0" applyBorder="0" applyAlignment="0" applyProtection="0">
      <alignment vertical="center"/>
    </xf>
    <xf numFmtId="176" fontId="7" fillId="23" borderId="0" applyNumberFormat="0" applyBorder="0" applyAlignment="0" applyProtection="0">
      <alignment vertical="center"/>
    </xf>
    <xf numFmtId="176" fontId="56" fillId="24" borderId="0" applyNumberFormat="0" applyBorder="0" applyAlignment="0" applyProtection="0">
      <alignment vertical="center"/>
    </xf>
    <xf numFmtId="176" fontId="56" fillId="25" borderId="0" applyNumberFormat="0" applyBorder="0" applyAlignment="0" applyProtection="0">
      <alignment vertical="center"/>
    </xf>
    <xf numFmtId="176" fontId="7" fillId="26" borderId="0" applyNumberFormat="0" applyBorder="0" applyAlignment="0" applyProtection="0">
      <alignment vertical="center"/>
    </xf>
    <xf numFmtId="176" fontId="7" fillId="27" borderId="0" applyNumberFormat="0" applyBorder="0" applyAlignment="0" applyProtection="0">
      <alignment vertical="center"/>
    </xf>
    <xf numFmtId="176" fontId="56" fillId="28" borderId="0" applyNumberFormat="0" applyBorder="0" applyAlignment="0" applyProtection="0">
      <alignment vertical="center"/>
    </xf>
    <xf numFmtId="176" fontId="56" fillId="29" borderId="0" applyNumberFormat="0" applyBorder="0" applyAlignment="0" applyProtection="0">
      <alignment vertical="center"/>
    </xf>
    <xf numFmtId="176" fontId="7" fillId="30" borderId="0" applyNumberFormat="0" applyBorder="0" applyAlignment="0" applyProtection="0">
      <alignment vertical="center"/>
    </xf>
    <xf numFmtId="176" fontId="7" fillId="31" borderId="0" applyNumberFormat="0" applyBorder="0" applyAlignment="0" applyProtection="0">
      <alignment vertical="center"/>
    </xf>
    <xf numFmtId="176" fontId="56" fillId="32" borderId="0" applyNumberFormat="0" applyBorder="0" applyAlignment="0" applyProtection="0">
      <alignment vertical="center"/>
    </xf>
    <xf numFmtId="9" fontId="62" fillId="0" borderId="0" applyFont="0" applyFill="0" applyBorder="0" applyAlignment="0" applyProtection="0">
      <alignment vertical="center"/>
    </xf>
    <xf numFmtId="176" fontId="6" fillId="0" borderId="0">
      <alignment vertical="center"/>
    </xf>
    <xf numFmtId="176" fontId="5" fillId="0" borderId="0">
      <alignment vertical="center"/>
    </xf>
    <xf numFmtId="176" fontId="4" fillId="0" borderId="0">
      <alignment vertical="center"/>
    </xf>
    <xf numFmtId="9" fontId="4" fillId="0" borderId="0" applyFont="0" applyFill="0" applyBorder="0" applyAlignment="0" applyProtection="0">
      <alignment vertical="center"/>
    </xf>
    <xf numFmtId="176" fontId="15" fillId="0" borderId="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4"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0"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4"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4"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4"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18"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4"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2"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4"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26"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4"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30"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4"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1"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4"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5"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4"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19"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4"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3"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4"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27"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4"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8" fillId="31" borderId="0" applyNumberFormat="0" applyBorder="0" applyAlignment="0" applyProtection="0">
      <alignment vertical="center"/>
    </xf>
    <xf numFmtId="176" fontId="56" fillId="12" borderId="0" applyNumberFormat="0" applyBorder="0" applyAlignment="0" applyProtection="0">
      <alignment vertical="center"/>
    </xf>
    <xf numFmtId="176" fontId="56" fillId="16" borderId="0" applyNumberFormat="0" applyBorder="0" applyAlignment="0" applyProtection="0">
      <alignment vertical="center"/>
    </xf>
    <xf numFmtId="176" fontId="56" fillId="20" borderId="0" applyNumberFormat="0" applyBorder="0" applyAlignment="0" applyProtection="0">
      <alignment vertical="center"/>
    </xf>
    <xf numFmtId="176" fontId="56" fillId="24" borderId="0" applyNumberFormat="0" applyBorder="0" applyAlignment="0" applyProtection="0">
      <alignment vertical="center"/>
    </xf>
    <xf numFmtId="176" fontId="56" fillId="28" borderId="0" applyNumberFormat="0" applyBorder="0" applyAlignment="0" applyProtection="0">
      <alignment vertical="center"/>
    </xf>
    <xf numFmtId="176" fontId="56" fillId="32" borderId="0" applyNumberFormat="0" applyBorder="0" applyAlignment="0" applyProtection="0">
      <alignment vertical="center"/>
    </xf>
    <xf numFmtId="9" fontId="4" fillId="0" borderId="0" applyFont="0" applyFill="0" applyBorder="0" applyAlignment="0" applyProtection="0">
      <alignment vertical="center"/>
    </xf>
    <xf numFmtId="9" fontId="4" fillId="0" borderId="0" applyFont="0" applyFill="0" applyBorder="0" applyAlignment="0" applyProtection="0">
      <alignment vertical="center"/>
    </xf>
    <xf numFmtId="176" fontId="42" fillId="0" borderId="1" applyNumberFormat="0" applyFill="0" applyAlignment="0" applyProtection="0">
      <alignment vertical="center"/>
    </xf>
    <xf numFmtId="176" fontId="43" fillId="0" borderId="2" applyNumberFormat="0" applyFill="0" applyAlignment="0" applyProtection="0">
      <alignment vertical="center"/>
    </xf>
    <xf numFmtId="176" fontId="44" fillId="0" borderId="3" applyNumberFormat="0" applyFill="0" applyAlignment="0" applyProtection="0">
      <alignment vertical="center"/>
    </xf>
    <xf numFmtId="176" fontId="44" fillId="0" borderId="0" applyNumberFormat="0" applyFill="0" applyBorder="0" applyAlignment="0" applyProtection="0">
      <alignment vertical="center"/>
    </xf>
    <xf numFmtId="176" fontId="46" fillId="3" borderId="0" applyNumberFormat="0" applyBorder="0" applyAlignment="0" applyProtection="0">
      <alignment vertical="center"/>
    </xf>
    <xf numFmtId="176" fontId="38" fillId="3" borderId="0" applyNumberFormat="0" applyBorder="0" applyAlignment="0" applyProtection="0">
      <alignment vertical="center"/>
    </xf>
    <xf numFmtId="176" fontId="8" fillId="0" borderId="0">
      <alignment vertical="center"/>
    </xf>
    <xf numFmtId="176" fontId="8" fillId="0" borderId="0">
      <alignment vertical="center"/>
    </xf>
    <xf numFmtId="176" fontId="4" fillId="0" borderId="0">
      <alignment vertical="center"/>
    </xf>
    <xf numFmtId="176" fontId="8" fillId="0" borderId="0">
      <alignment vertical="center"/>
    </xf>
    <xf numFmtId="176" fontId="8" fillId="0" borderId="0">
      <alignment vertical="center"/>
    </xf>
    <xf numFmtId="176" fontId="8" fillId="0" borderId="0">
      <alignment vertical="center"/>
    </xf>
    <xf numFmtId="176" fontId="8" fillId="0" borderId="0">
      <alignment vertical="center"/>
    </xf>
    <xf numFmtId="176" fontId="8" fillId="0" borderId="0">
      <alignment vertical="center"/>
    </xf>
    <xf numFmtId="176" fontId="8" fillId="0" borderId="0">
      <alignment vertical="center"/>
    </xf>
    <xf numFmtId="176" fontId="15" fillId="0" borderId="0">
      <alignment vertical="center"/>
    </xf>
    <xf numFmtId="176" fontId="4" fillId="0" borderId="0">
      <alignment vertical="center"/>
    </xf>
    <xf numFmtId="176" fontId="15" fillId="0" borderId="0">
      <alignment vertical="center"/>
    </xf>
    <xf numFmtId="176" fontId="15" fillId="0" borderId="0">
      <alignment vertical="center"/>
    </xf>
    <xf numFmtId="176" fontId="15"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15" fillId="0" borderId="0">
      <alignment vertical="center"/>
    </xf>
    <xf numFmtId="176" fontId="37"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7" fillId="0" borderId="0">
      <alignment vertical="center"/>
    </xf>
    <xf numFmtId="176" fontId="37" fillId="0" borderId="0">
      <alignment vertical="center"/>
    </xf>
    <xf numFmtId="176" fontId="37" fillId="0" borderId="0">
      <alignment vertical="center"/>
    </xf>
    <xf numFmtId="176" fontId="37" fillId="0" borderId="0">
      <alignment vertical="center"/>
    </xf>
    <xf numFmtId="176" fontId="37" fillId="0" borderId="0">
      <alignment vertical="center"/>
    </xf>
    <xf numFmtId="176" fontId="4" fillId="0" borderId="0">
      <alignment vertical="center"/>
    </xf>
    <xf numFmtId="176" fontId="15"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15" fillId="0" borderId="0">
      <alignment vertical="center"/>
    </xf>
    <xf numFmtId="176" fontId="37" fillId="0" borderId="0">
      <alignment vertical="center"/>
    </xf>
    <xf numFmtId="176" fontId="37" fillId="0" borderId="0">
      <alignment vertical="center"/>
    </xf>
    <xf numFmtId="176" fontId="37" fillId="0" borderId="0">
      <alignment vertical="center"/>
    </xf>
    <xf numFmtId="176" fontId="37" fillId="0" borderId="0">
      <alignment vertical="center"/>
    </xf>
    <xf numFmtId="176" fontId="37" fillId="0" borderId="0">
      <alignment vertical="center"/>
    </xf>
    <xf numFmtId="176" fontId="15" fillId="0" borderId="0">
      <alignment vertical="center"/>
    </xf>
    <xf numFmtId="176" fontId="1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36" fillId="0" borderId="0">
      <alignment vertical="center"/>
    </xf>
    <xf numFmtId="176" fontId="16" fillId="0" borderId="0">
      <alignment vertical="center"/>
    </xf>
    <xf numFmtId="176" fontId="36" fillId="0" borderId="0">
      <alignment vertical="center"/>
    </xf>
    <xf numFmtId="176" fontId="8" fillId="0" borderId="0">
      <alignment vertical="center"/>
    </xf>
    <xf numFmtId="176" fontId="8" fillId="0" borderId="0">
      <alignment vertical="center"/>
    </xf>
    <xf numFmtId="176" fontId="8" fillId="0" borderId="0">
      <alignment vertical="center"/>
    </xf>
    <xf numFmtId="176" fontId="8" fillId="0" borderId="0">
      <alignment vertical="center"/>
    </xf>
    <xf numFmtId="176" fontId="8" fillId="0" borderId="0">
      <alignment vertical="center"/>
    </xf>
    <xf numFmtId="176" fontId="8" fillId="0" borderId="0">
      <alignment vertical="center"/>
    </xf>
    <xf numFmtId="176" fontId="8" fillId="0" borderId="0">
      <alignment vertical="center"/>
    </xf>
    <xf numFmtId="176" fontId="8" fillId="0" borderId="0">
      <alignment vertical="center"/>
    </xf>
    <xf numFmtId="176" fontId="8" fillId="0" borderId="0">
      <alignment vertical="center"/>
    </xf>
    <xf numFmtId="176" fontId="8" fillId="0" borderId="0">
      <alignment vertical="center"/>
    </xf>
    <xf numFmtId="176" fontId="8" fillId="0" borderId="0">
      <alignment vertical="center"/>
    </xf>
    <xf numFmtId="176" fontId="8" fillId="0" borderId="0">
      <alignment vertical="center"/>
    </xf>
    <xf numFmtId="176" fontId="4" fillId="0" borderId="0">
      <alignment vertical="center"/>
    </xf>
    <xf numFmtId="176" fontId="36" fillId="0" borderId="0">
      <alignment vertical="center"/>
    </xf>
    <xf numFmtId="176" fontId="45" fillId="2" borderId="0" applyNumberFormat="0" applyBorder="0" applyAlignment="0" applyProtection="0">
      <alignment vertical="center"/>
    </xf>
    <xf numFmtId="176" fontId="39" fillId="2" borderId="0" applyNumberFormat="0" applyBorder="0" applyAlignment="0" applyProtection="0">
      <alignment vertical="center"/>
    </xf>
    <xf numFmtId="176" fontId="55" fillId="0" borderId="9" applyNumberFormat="0" applyFill="0" applyAlignment="0" applyProtection="0">
      <alignment vertical="center"/>
    </xf>
    <xf numFmtId="176" fontId="50" fillId="6" borderId="4" applyNumberFormat="0" applyAlignment="0" applyProtection="0">
      <alignment vertical="center"/>
    </xf>
    <xf numFmtId="176" fontId="52" fillId="7" borderId="7" applyNumberFormat="0" applyAlignment="0" applyProtection="0">
      <alignment vertical="center"/>
    </xf>
    <xf numFmtId="176" fontId="54" fillId="0" borderId="0" applyNumberFormat="0" applyFill="0" applyBorder="0" applyAlignment="0" applyProtection="0">
      <alignment vertical="center"/>
    </xf>
    <xf numFmtId="176" fontId="53" fillId="0" borderId="0" applyNumberFormat="0" applyFill="0" applyBorder="0" applyAlignment="0" applyProtection="0">
      <alignment vertical="center"/>
    </xf>
    <xf numFmtId="176" fontId="51" fillId="0" borderId="6" applyNumberFormat="0" applyFill="0" applyAlignment="0" applyProtection="0">
      <alignment vertical="center"/>
    </xf>
    <xf numFmtId="176" fontId="56" fillId="9" borderId="0" applyNumberFormat="0" applyBorder="0" applyAlignment="0" applyProtection="0">
      <alignment vertical="center"/>
    </xf>
    <xf numFmtId="176" fontId="56" fillId="13" borderId="0" applyNumberFormat="0" applyBorder="0" applyAlignment="0" applyProtection="0">
      <alignment vertical="center"/>
    </xf>
    <xf numFmtId="176" fontId="56" fillId="17" borderId="0" applyNumberFormat="0" applyBorder="0" applyAlignment="0" applyProtection="0">
      <alignment vertical="center"/>
    </xf>
    <xf numFmtId="176" fontId="56" fillId="21" borderId="0" applyNumberFormat="0" applyBorder="0" applyAlignment="0" applyProtection="0">
      <alignment vertical="center"/>
    </xf>
    <xf numFmtId="176" fontId="56" fillId="25" borderId="0" applyNumberFormat="0" applyBorder="0" applyAlignment="0" applyProtection="0">
      <alignment vertical="center"/>
    </xf>
    <xf numFmtId="176" fontId="56" fillId="29" borderId="0" applyNumberFormat="0" applyBorder="0" applyAlignment="0" applyProtection="0">
      <alignment vertical="center"/>
    </xf>
    <xf numFmtId="176" fontId="47" fillId="4" borderId="0" applyNumberFormat="0" applyBorder="0" applyAlignment="0" applyProtection="0">
      <alignment vertical="center"/>
    </xf>
    <xf numFmtId="176" fontId="49" fillId="6" borderId="5" applyNumberFormat="0" applyAlignment="0" applyProtection="0">
      <alignment vertical="center"/>
    </xf>
    <xf numFmtId="176" fontId="48" fillId="5" borderId="4" applyNumberForma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4"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8" fillId="8" borderId="8" applyNumberFormat="0" applyFont="0" applyAlignment="0" applyProtection="0">
      <alignment vertical="center"/>
    </xf>
    <xf numFmtId="176" fontId="3" fillId="0" borderId="0">
      <alignment vertical="center"/>
    </xf>
    <xf numFmtId="176" fontId="66" fillId="0" borderId="0" applyNumberFormat="0" applyFill="0" applyBorder="0" applyAlignment="0" applyProtection="0">
      <alignment vertical="center"/>
    </xf>
    <xf numFmtId="176" fontId="3" fillId="0" borderId="0">
      <alignment vertical="center"/>
    </xf>
    <xf numFmtId="176" fontId="3" fillId="8" borderId="8" applyNumberFormat="0" applyFont="0" applyAlignment="0" applyProtection="0">
      <alignment vertical="center"/>
    </xf>
    <xf numFmtId="176" fontId="56" fillId="9" borderId="0" applyNumberFormat="0" applyBorder="0" applyAlignment="0" applyProtection="0">
      <alignment vertical="center"/>
    </xf>
    <xf numFmtId="176" fontId="3" fillId="10" borderId="0" applyNumberFormat="0" applyBorder="0" applyAlignment="0" applyProtection="0">
      <alignment vertical="center"/>
    </xf>
    <xf numFmtId="176" fontId="3" fillId="11" borderId="0" applyNumberFormat="0" applyBorder="0" applyAlignment="0" applyProtection="0">
      <alignment vertical="center"/>
    </xf>
    <xf numFmtId="176" fontId="56" fillId="12" borderId="0" applyNumberFormat="0" applyBorder="0" applyAlignment="0" applyProtection="0">
      <alignment vertical="center"/>
    </xf>
    <xf numFmtId="176" fontId="56" fillId="13" borderId="0" applyNumberFormat="0" applyBorder="0" applyAlignment="0" applyProtection="0">
      <alignment vertical="center"/>
    </xf>
    <xf numFmtId="176" fontId="3" fillId="14" borderId="0" applyNumberFormat="0" applyBorder="0" applyAlignment="0" applyProtection="0">
      <alignment vertical="center"/>
    </xf>
    <xf numFmtId="176" fontId="3" fillId="15" borderId="0" applyNumberFormat="0" applyBorder="0" applyAlignment="0" applyProtection="0">
      <alignment vertical="center"/>
    </xf>
    <xf numFmtId="176" fontId="56" fillId="16" borderId="0" applyNumberFormat="0" applyBorder="0" applyAlignment="0" applyProtection="0">
      <alignment vertical="center"/>
    </xf>
    <xf numFmtId="176" fontId="56" fillId="17" borderId="0" applyNumberFormat="0" applyBorder="0" applyAlignment="0" applyProtection="0">
      <alignment vertical="center"/>
    </xf>
    <xf numFmtId="176" fontId="3" fillId="18" borderId="0" applyNumberFormat="0" applyBorder="0" applyAlignment="0" applyProtection="0">
      <alignment vertical="center"/>
    </xf>
    <xf numFmtId="176" fontId="3" fillId="19" borderId="0" applyNumberFormat="0" applyBorder="0" applyAlignment="0" applyProtection="0">
      <alignment vertical="center"/>
    </xf>
    <xf numFmtId="176" fontId="56" fillId="20" borderId="0" applyNumberFormat="0" applyBorder="0" applyAlignment="0" applyProtection="0">
      <alignment vertical="center"/>
    </xf>
    <xf numFmtId="176" fontId="56" fillId="21" borderId="0" applyNumberFormat="0" applyBorder="0" applyAlignment="0" applyProtection="0">
      <alignment vertical="center"/>
    </xf>
    <xf numFmtId="176" fontId="3" fillId="22" borderId="0" applyNumberFormat="0" applyBorder="0" applyAlignment="0" applyProtection="0">
      <alignment vertical="center"/>
    </xf>
    <xf numFmtId="176" fontId="3" fillId="23" borderId="0" applyNumberFormat="0" applyBorder="0" applyAlignment="0" applyProtection="0">
      <alignment vertical="center"/>
    </xf>
    <xf numFmtId="176" fontId="56" fillId="24" borderId="0" applyNumberFormat="0" applyBorder="0" applyAlignment="0" applyProtection="0">
      <alignment vertical="center"/>
    </xf>
    <xf numFmtId="176" fontId="56" fillId="25" borderId="0" applyNumberFormat="0" applyBorder="0" applyAlignment="0" applyProtection="0">
      <alignment vertical="center"/>
    </xf>
    <xf numFmtId="176" fontId="3" fillId="26" borderId="0" applyNumberFormat="0" applyBorder="0" applyAlignment="0" applyProtection="0">
      <alignment vertical="center"/>
    </xf>
    <xf numFmtId="176" fontId="3" fillId="27" borderId="0" applyNumberFormat="0" applyBorder="0" applyAlignment="0" applyProtection="0">
      <alignment vertical="center"/>
    </xf>
    <xf numFmtId="176" fontId="56" fillId="28" borderId="0" applyNumberFormat="0" applyBorder="0" applyAlignment="0" applyProtection="0">
      <alignment vertical="center"/>
    </xf>
    <xf numFmtId="176" fontId="56" fillId="29" borderId="0" applyNumberFormat="0" applyBorder="0" applyAlignment="0" applyProtection="0">
      <alignment vertical="center"/>
    </xf>
    <xf numFmtId="176" fontId="3" fillId="30" borderId="0" applyNumberFormat="0" applyBorder="0" applyAlignment="0" applyProtection="0">
      <alignment vertical="center"/>
    </xf>
    <xf numFmtId="176" fontId="3" fillId="31" borderId="0" applyNumberFormat="0" applyBorder="0" applyAlignment="0" applyProtection="0">
      <alignment vertical="center"/>
    </xf>
    <xf numFmtId="176" fontId="56" fillId="32" borderId="0" applyNumberFormat="0" applyBorder="0" applyAlignment="0" applyProtection="0">
      <alignment vertical="center"/>
    </xf>
    <xf numFmtId="176" fontId="2" fillId="0" borderId="0">
      <alignment vertical="center"/>
    </xf>
    <xf numFmtId="9" fontId="2" fillId="0" borderId="0" applyFont="0" applyFill="0" applyBorder="0" applyAlignment="0" applyProtection="0">
      <alignment vertical="center"/>
    </xf>
    <xf numFmtId="176" fontId="1" fillId="0" borderId="0">
      <alignment vertical="center"/>
    </xf>
    <xf numFmtId="9" fontId="1" fillId="0" borderId="0" applyFont="0" applyFill="0" applyBorder="0" applyAlignment="0" applyProtection="0">
      <alignment vertical="center"/>
    </xf>
    <xf numFmtId="176" fontId="1" fillId="0" borderId="0">
      <alignment vertical="center"/>
    </xf>
    <xf numFmtId="176" fontId="1" fillId="0" borderId="0">
      <alignment vertical="center"/>
    </xf>
  </cellStyleXfs>
  <cellXfs count="188">
    <xf numFmtId="176" fontId="0" fillId="0" borderId="0" xfId="0">
      <alignment vertical="center"/>
    </xf>
    <xf numFmtId="176" fontId="59" fillId="0" borderId="10" xfId="0" applyFont="1" applyBorder="1">
      <alignment vertical="center"/>
    </xf>
    <xf numFmtId="176" fontId="63" fillId="0" borderId="0" xfId="0" applyFont="1">
      <alignment vertical="center"/>
    </xf>
    <xf numFmtId="176" fontId="63" fillId="0" borderId="10" xfId="0" applyFont="1" applyBorder="1">
      <alignment vertical="center"/>
    </xf>
    <xf numFmtId="176" fontId="0" fillId="0" borderId="10" xfId="0" applyBorder="1">
      <alignment vertical="center"/>
    </xf>
    <xf numFmtId="176" fontId="15" fillId="0" borderId="10" xfId="0" applyFont="1" applyBorder="1">
      <alignment vertical="center"/>
    </xf>
    <xf numFmtId="176" fontId="63" fillId="0" borderId="10" xfId="4" applyFont="1" applyBorder="1" applyAlignment="1">
      <alignment horizontal="center" vertical="center" wrapText="1"/>
    </xf>
    <xf numFmtId="14" fontId="63" fillId="0" borderId="10" xfId="0" applyNumberFormat="1" applyFont="1" applyBorder="1">
      <alignment vertical="center"/>
    </xf>
    <xf numFmtId="10" fontId="63" fillId="0" borderId="10" xfId="0" applyNumberFormat="1" applyFont="1" applyBorder="1">
      <alignment vertical="center"/>
    </xf>
    <xf numFmtId="178" fontId="64" fillId="0" borderId="10" xfId="4" applyNumberFormat="1" applyFont="1" applyBorder="1" applyAlignment="1">
      <alignment horizontal="center" vertical="center" wrapText="1"/>
    </xf>
    <xf numFmtId="178" fontId="63" fillId="0" borderId="10" xfId="4" applyNumberFormat="1" applyFont="1" applyBorder="1" applyAlignment="1">
      <alignment horizontal="center" vertical="center"/>
    </xf>
    <xf numFmtId="178" fontId="63" fillId="0" borderId="10" xfId="0" applyNumberFormat="1" applyFont="1" applyBorder="1">
      <alignment vertical="center"/>
    </xf>
    <xf numFmtId="178" fontId="63" fillId="0" borderId="0" xfId="0" applyNumberFormat="1" applyFont="1">
      <alignment vertical="center"/>
    </xf>
    <xf numFmtId="177" fontId="64" fillId="0" borderId="10" xfId="4" applyNumberFormat="1" applyFont="1" applyBorder="1" applyAlignment="1">
      <alignment horizontal="center" vertical="center" wrapText="1"/>
    </xf>
    <xf numFmtId="177" fontId="63" fillId="0" borderId="10" xfId="0" applyNumberFormat="1" applyFont="1" applyBorder="1">
      <alignment vertical="center"/>
    </xf>
    <xf numFmtId="177" fontId="63" fillId="0" borderId="0" xfId="0" applyNumberFormat="1" applyFont="1">
      <alignment vertical="center"/>
    </xf>
    <xf numFmtId="14" fontId="0" fillId="0" borderId="0" xfId="0" applyNumberFormat="1">
      <alignment vertical="center"/>
    </xf>
    <xf numFmtId="10" fontId="0" fillId="0" borderId="0" xfId="1098" applyNumberFormat="1" applyFont="1">
      <alignment vertical="center"/>
    </xf>
    <xf numFmtId="176" fontId="15" fillId="0" borderId="0" xfId="0" applyFont="1">
      <alignment vertical="center"/>
    </xf>
    <xf numFmtId="14" fontId="15" fillId="0" borderId="0" xfId="0" applyNumberFormat="1" applyFont="1">
      <alignment vertical="center"/>
    </xf>
    <xf numFmtId="179" fontId="15" fillId="0" borderId="0" xfId="0" applyNumberFormat="1" applyFont="1">
      <alignment vertical="center"/>
    </xf>
    <xf numFmtId="180" fontId="15" fillId="0" borderId="0" xfId="0" applyNumberFormat="1" applyFont="1">
      <alignment vertical="center"/>
    </xf>
    <xf numFmtId="176" fontId="15" fillId="0" borderId="11" xfId="0" applyFont="1" applyBorder="1">
      <alignment vertical="center"/>
    </xf>
    <xf numFmtId="14" fontId="15" fillId="34" borderId="0" xfId="0" applyNumberFormat="1" applyFont="1" applyFill="1">
      <alignment vertical="center"/>
    </xf>
    <xf numFmtId="179" fontId="0" fillId="0" borderId="0" xfId="0" applyNumberFormat="1">
      <alignment vertical="center"/>
    </xf>
    <xf numFmtId="178" fontId="0" fillId="0" borderId="0" xfId="0" applyNumberFormat="1">
      <alignment vertical="center"/>
    </xf>
    <xf numFmtId="180" fontId="0" fillId="0" borderId="0" xfId="0" applyNumberFormat="1">
      <alignment vertical="center"/>
    </xf>
    <xf numFmtId="178" fontId="15" fillId="0" borderId="0" xfId="0" applyNumberFormat="1" applyFont="1">
      <alignment vertical="center"/>
    </xf>
    <xf numFmtId="10" fontId="0" fillId="0" borderId="10" xfId="1098" applyNumberFormat="1" applyFont="1" applyBorder="1">
      <alignment vertical="center"/>
    </xf>
    <xf numFmtId="14" fontId="15" fillId="35" borderId="0" xfId="0" applyNumberFormat="1" applyFont="1" applyFill="1">
      <alignment vertical="center"/>
    </xf>
    <xf numFmtId="14" fontId="0" fillId="34" borderId="0" xfId="0" applyNumberFormat="1" applyFill="1">
      <alignment vertical="center"/>
    </xf>
    <xf numFmtId="179" fontId="0" fillId="0" borderId="0" xfId="1098" applyNumberFormat="1" applyFont="1">
      <alignment vertical="center"/>
    </xf>
    <xf numFmtId="181" fontId="0" fillId="0" borderId="0" xfId="0" applyNumberFormat="1">
      <alignment vertical="center"/>
    </xf>
    <xf numFmtId="183" fontId="0" fillId="0" borderId="0" xfId="0" applyNumberFormat="1" applyAlignment="1">
      <alignment horizontal="center" vertical="center" wrapText="1"/>
    </xf>
    <xf numFmtId="182" fontId="0" fillId="0" borderId="0" xfId="0" applyNumberFormat="1">
      <alignment vertical="center"/>
    </xf>
    <xf numFmtId="183" fontId="0" fillId="0" borderId="0" xfId="0" applyNumberFormat="1">
      <alignment vertical="center"/>
    </xf>
    <xf numFmtId="10" fontId="63" fillId="0" borderId="10" xfId="1098" applyNumberFormat="1" applyFont="1" applyBorder="1" applyAlignment="1">
      <alignment horizontal="center" vertical="center"/>
    </xf>
    <xf numFmtId="10" fontId="63" fillId="0" borderId="0" xfId="1098" applyNumberFormat="1" applyFont="1">
      <alignment vertical="center"/>
    </xf>
    <xf numFmtId="176" fontId="0" fillId="33" borderId="10" xfId="0" applyFill="1" applyBorder="1" applyAlignment="1">
      <alignment horizontal="center"/>
    </xf>
    <xf numFmtId="179" fontId="0" fillId="33" borderId="10" xfId="0" applyNumberFormat="1" applyFill="1" applyBorder="1" applyAlignment="1"/>
    <xf numFmtId="176" fontId="0" fillId="33" borderId="10" xfId="1098" applyNumberFormat="1" applyFont="1" applyFill="1" applyBorder="1" applyAlignment="1"/>
    <xf numFmtId="14" fontId="63" fillId="0" borderId="10" xfId="4" applyNumberFormat="1" applyFont="1" applyBorder="1" applyAlignment="1">
      <alignment horizontal="center" vertical="center"/>
    </xf>
    <xf numFmtId="14" fontId="63" fillId="0" borderId="0" xfId="0" applyNumberFormat="1" applyFont="1">
      <alignment vertical="center"/>
    </xf>
    <xf numFmtId="176" fontId="0" fillId="0" borderId="0" xfId="1098" applyNumberFormat="1" applyFont="1">
      <alignment vertical="center"/>
    </xf>
    <xf numFmtId="176" fontId="58" fillId="0" borderId="10" xfId="4" applyFont="1" applyBorder="1" applyAlignment="1">
      <alignment horizontal="center" vertical="center" wrapText="1"/>
    </xf>
    <xf numFmtId="176" fontId="59" fillId="0" borderId="0" xfId="0" applyFont="1">
      <alignment vertical="center"/>
    </xf>
    <xf numFmtId="176" fontId="15" fillId="0" borderId="0" xfId="0" applyFont="1" applyAlignment="1"/>
    <xf numFmtId="176" fontId="0" fillId="0" borderId="0" xfId="0" applyAlignment="1">
      <alignment horizontal="center"/>
    </xf>
    <xf numFmtId="176" fontId="0" fillId="0" borderId="0" xfId="0" applyAlignment="1"/>
    <xf numFmtId="181" fontId="63" fillId="0" borderId="10" xfId="0" applyNumberFormat="1" applyFont="1" applyBorder="1">
      <alignment vertical="center"/>
    </xf>
    <xf numFmtId="181" fontId="63" fillId="0" borderId="0" xfId="0" applyNumberFormat="1" applyFont="1">
      <alignment vertical="center"/>
    </xf>
    <xf numFmtId="14" fontId="0" fillId="0" borderId="10" xfId="0" applyNumberFormat="1" applyBorder="1" applyAlignment="1">
      <alignment horizontal="center" vertical="center" wrapText="1"/>
    </xf>
    <xf numFmtId="178" fontId="0" fillId="0" borderId="10" xfId="0" applyNumberFormat="1" applyBorder="1" applyAlignment="1">
      <alignment horizontal="center" vertical="center" wrapText="1"/>
    </xf>
    <xf numFmtId="182" fontId="0" fillId="0" borderId="10" xfId="0" applyNumberFormat="1" applyBorder="1" applyAlignment="1">
      <alignment horizontal="center" vertical="center" wrapText="1"/>
    </xf>
    <xf numFmtId="176" fontId="0" fillId="0" borderId="10" xfId="0" applyBorder="1" applyAlignment="1">
      <alignment horizontal="center" vertical="center" wrapText="1"/>
    </xf>
    <xf numFmtId="183" fontId="0" fillId="0" borderId="10" xfId="0" applyNumberFormat="1" applyBorder="1" applyAlignment="1">
      <alignment horizontal="center" vertical="center" wrapText="1"/>
    </xf>
    <xf numFmtId="14" fontId="0" fillId="34" borderId="10" xfId="0" applyNumberFormat="1" applyFill="1" applyBorder="1" applyAlignment="1"/>
    <xf numFmtId="178" fontId="0" fillId="34" borderId="10" xfId="0" applyNumberFormat="1" applyFill="1" applyBorder="1">
      <alignment vertical="center"/>
    </xf>
    <xf numFmtId="182" fontId="0" fillId="0" borderId="10" xfId="0" applyNumberFormat="1" applyBorder="1">
      <alignment vertical="center"/>
    </xf>
    <xf numFmtId="183" fontId="0" fillId="0" borderId="10" xfId="0" applyNumberFormat="1" applyBorder="1">
      <alignment vertical="center"/>
    </xf>
    <xf numFmtId="182" fontId="0" fillId="34" borderId="10" xfId="0" applyNumberFormat="1" applyFill="1" applyBorder="1">
      <alignment vertical="center"/>
    </xf>
    <xf numFmtId="10" fontId="0" fillId="34" borderId="10" xfId="1098" applyNumberFormat="1" applyFont="1" applyFill="1" applyBorder="1">
      <alignment vertical="center"/>
    </xf>
    <xf numFmtId="9" fontId="0" fillId="34" borderId="10" xfId="1098" applyFont="1" applyFill="1" applyBorder="1">
      <alignment vertical="center"/>
    </xf>
    <xf numFmtId="176" fontId="0" fillId="33" borderId="10" xfId="0" applyFill="1" applyBorder="1" applyAlignment="1">
      <alignment horizontal="left"/>
    </xf>
    <xf numFmtId="0" fontId="15" fillId="0" borderId="10" xfId="0" applyNumberFormat="1" applyFont="1" applyBorder="1">
      <alignment vertical="center"/>
    </xf>
    <xf numFmtId="0" fontId="0" fillId="0" borderId="10" xfId="0" applyNumberFormat="1" applyBorder="1">
      <alignment vertical="center"/>
    </xf>
    <xf numFmtId="0" fontId="15" fillId="0" borderId="0" xfId="0" applyNumberFormat="1" applyFont="1">
      <alignment vertical="center"/>
    </xf>
    <xf numFmtId="0" fontId="0" fillId="0" borderId="0" xfId="0" applyNumberFormat="1">
      <alignment vertical="center"/>
    </xf>
    <xf numFmtId="0" fontId="57" fillId="0" borderId="10" xfId="4" applyNumberFormat="1" applyFont="1" applyBorder="1" applyAlignment="1">
      <alignment horizontal="center" vertical="center" wrapText="1"/>
    </xf>
    <xf numFmtId="0" fontId="57" fillId="0" borderId="10" xfId="4" applyNumberFormat="1" applyFont="1" applyBorder="1" applyAlignment="1">
      <alignment horizontal="center" vertical="center"/>
    </xf>
    <xf numFmtId="0" fontId="58" fillId="0" borderId="10" xfId="4" applyNumberFormat="1" applyFont="1" applyBorder="1" applyAlignment="1">
      <alignment horizontal="center" vertical="center" wrapText="1"/>
    </xf>
    <xf numFmtId="0" fontId="57" fillId="0" borderId="10" xfId="1098" applyNumberFormat="1" applyFont="1" applyBorder="1" applyAlignment="1">
      <alignment horizontal="center" vertical="center"/>
    </xf>
    <xf numFmtId="0" fontId="59" fillId="0" borderId="10" xfId="0" applyNumberFormat="1" applyFont="1" applyBorder="1">
      <alignment vertical="center"/>
    </xf>
    <xf numFmtId="0" fontId="59" fillId="0" borderId="0" xfId="0" applyNumberFormat="1" applyFont="1">
      <alignment vertical="center"/>
    </xf>
    <xf numFmtId="0" fontId="37" fillId="0" borderId="10" xfId="0" applyNumberFormat="1" applyFont="1" applyBorder="1">
      <alignment vertical="center"/>
    </xf>
    <xf numFmtId="0" fontId="37" fillId="0" borderId="0" xfId="0" applyNumberFormat="1" applyFont="1">
      <alignment vertical="center"/>
    </xf>
    <xf numFmtId="0" fontId="59" fillId="0" borderId="0" xfId="1098" applyNumberFormat="1" applyFont="1">
      <alignment vertical="center"/>
    </xf>
    <xf numFmtId="0" fontId="15" fillId="0" borderId="0" xfId="0" applyNumberFormat="1" applyFont="1" applyAlignment="1"/>
    <xf numFmtId="0" fontId="0" fillId="0" borderId="0" xfId="0" applyNumberFormat="1" applyAlignment="1"/>
    <xf numFmtId="10" fontId="60" fillId="0" borderId="10" xfId="1098" applyNumberFormat="1" applyFont="1" applyBorder="1">
      <alignment vertical="center"/>
    </xf>
    <xf numFmtId="10" fontId="61" fillId="0" borderId="10" xfId="1098" applyNumberFormat="1" applyFont="1" applyBorder="1">
      <alignment vertical="center"/>
    </xf>
    <xf numFmtId="10" fontId="59" fillId="0" borderId="10" xfId="1098" applyNumberFormat="1" applyFont="1" applyBorder="1">
      <alignment vertical="center"/>
    </xf>
    <xf numFmtId="10" fontId="59" fillId="0" borderId="0" xfId="1098" applyNumberFormat="1" applyFont="1">
      <alignment vertical="center"/>
    </xf>
    <xf numFmtId="0" fontId="63" fillId="0" borderId="10" xfId="0" applyNumberFormat="1" applyFont="1" applyBorder="1">
      <alignment vertical="center"/>
    </xf>
    <xf numFmtId="0" fontId="63" fillId="0" borderId="0" xfId="0" applyNumberFormat="1" applyFont="1">
      <alignment vertical="center"/>
    </xf>
    <xf numFmtId="0" fontId="0" fillId="0" borderId="10" xfId="0" applyNumberFormat="1" applyBorder="1" applyAlignment="1">
      <alignment horizontal="center" vertical="center" wrapText="1"/>
    </xf>
    <xf numFmtId="182" fontId="58" fillId="0" borderId="10" xfId="4" applyNumberFormat="1" applyFont="1" applyBorder="1" applyAlignment="1">
      <alignment horizontal="center" vertical="center" wrapText="1"/>
    </xf>
    <xf numFmtId="182" fontId="37" fillId="0" borderId="10" xfId="0" applyNumberFormat="1" applyFont="1" applyBorder="1">
      <alignment vertical="center"/>
    </xf>
    <xf numFmtId="182" fontId="37" fillId="0" borderId="0" xfId="0" applyNumberFormat="1" applyFont="1">
      <alignment vertical="center"/>
    </xf>
    <xf numFmtId="182" fontId="60" fillId="0" borderId="10" xfId="0" applyNumberFormat="1" applyFont="1" applyBorder="1">
      <alignment vertical="center"/>
    </xf>
    <xf numFmtId="182" fontId="61" fillId="0" borderId="10" xfId="0" applyNumberFormat="1" applyFont="1" applyBorder="1">
      <alignment vertical="center"/>
    </xf>
    <xf numFmtId="10" fontId="58" fillId="0" borderId="10" xfId="1098" applyNumberFormat="1" applyFont="1" applyBorder="1" applyAlignment="1">
      <alignment horizontal="center" vertical="center" wrapText="1"/>
    </xf>
    <xf numFmtId="182" fontId="59" fillId="0" borderId="10" xfId="0" applyNumberFormat="1" applyFont="1" applyBorder="1">
      <alignment vertical="center"/>
    </xf>
    <xf numFmtId="182" fontId="59" fillId="0" borderId="0" xfId="0" applyNumberFormat="1" applyFont="1">
      <alignment vertical="center"/>
    </xf>
    <xf numFmtId="179" fontId="0" fillId="0" borderId="10" xfId="0" applyNumberFormat="1" applyBorder="1">
      <alignment vertical="center"/>
    </xf>
    <xf numFmtId="0" fontId="0" fillId="0" borderId="0" xfId="0" applyNumberFormat="1" applyAlignment="1">
      <alignment horizontal="center"/>
    </xf>
    <xf numFmtId="0" fontId="0" fillId="0" borderId="0" xfId="1098" applyNumberFormat="1" applyFont="1">
      <alignment vertical="center"/>
    </xf>
    <xf numFmtId="49" fontId="15" fillId="33" borderId="10" xfId="0" applyNumberFormat="1" applyFont="1" applyFill="1" applyBorder="1" applyAlignment="1"/>
    <xf numFmtId="182" fontId="61" fillId="0" borderId="0" xfId="0" applyNumberFormat="1" applyFont="1">
      <alignment vertical="center"/>
    </xf>
    <xf numFmtId="176" fontId="15" fillId="0" borderId="0" xfId="1098" applyNumberFormat="1" applyFont="1" applyAlignment="1"/>
    <xf numFmtId="14" fontId="0" fillId="0" borderId="0" xfId="0" applyNumberFormat="1" applyAlignment="1"/>
    <xf numFmtId="178" fontId="0" fillId="0" borderId="0" xfId="1098" applyNumberFormat="1" applyFont="1">
      <alignment vertical="center"/>
    </xf>
    <xf numFmtId="0" fontId="15" fillId="0" borderId="0" xfId="0" applyNumberFormat="1" applyFont="1" applyAlignment="1">
      <alignment horizontal="center"/>
    </xf>
    <xf numFmtId="10" fontId="0" fillId="0" borderId="0" xfId="0" applyNumberFormat="1">
      <alignment vertical="center"/>
    </xf>
    <xf numFmtId="9" fontId="0" fillId="0" borderId="0" xfId="1098" applyFont="1">
      <alignment vertical="center"/>
    </xf>
    <xf numFmtId="10" fontId="61" fillId="0" borderId="0" xfId="1098" applyNumberFormat="1" applyFont="1">
      <alignment vertical="center"/>
    </xf>
    <xf numFmtId="0" fontId="15" fillId="0" borderId="10" xfId="0" quotePrefix="1" applyNumberFormat="1" applyFont="1" applyBorder="1">
      <alignment vertical="center"/>
    </xf>
    <xf numFmtId="176" fontId="15" fillId="33" borderId="10" xfId="0" applyFont="1" applyFill="1" applyBorder="1" applyAlignment="1">
      <alignment horizontal="center"/>
    </xf>
    <xf numFmtId="176" fontId="15" fillId="33" borderId="10" xfId="0" applyFont="1" applyFill="1" applyBorder="1" applyAlignment="1">
      <alignment horizontal="left"/>
    </xf>
    <xf numFmtId="10" fontId="60" fillId="0" borderId="0" xfId="1098" applyNumberFormat="1" applyFont="1">
      <alignment vertical="center"/>
    </xf>
    <xf numFmtId="182" fontId="60" fillId="0" borderId="0" xfId="0" applyNumberFormat="1" applyFont="1">
      <alignment vertical="center"/>
    </xf>
    <xf numFmtId="10" fontId="68" fillId="0" borderId="10" xfId="1098" applyNumberFormat="1" applyFont="1" applyBorder="1">
      <alignment vertical="center"/>
    </xf>
    <xf numFmtId="10" fontId="15" fillId="0" borderId="0" xfId="1098" applyNumberFormat="1" applyFont="1">
      <alignment vertical="center"/>
    </xf>
    <xf numFmtId="10" fontId="0" fillId="33" borderId="10" xfId="1098" applyNumberFormat="1" applyFont="1" applyFill="1" applyBorder="1" applyAlignment="1"/>
    <xf numFmtId="2" fontId="0" fillId="0" borderId="0" xfId="0" applyNumberFormat="1" applyAlignment="1"/>
    <xf numFmtId="2" fontId="0" fillId="0" borderId="0" xfId="0" applyNumberFormat="1">
      <alignment vertical="center"/>
    </xf>
    <xf numFmtId="182" fontId="0" fillId="0" borderId="0" xfId="1098" applyNumberFormat="1" applyFont="1">
      <alignment vertical="center"/>
    </xf>
    <xf numFmtId="184" fontId="0" fillId="0" borderId="0" xfId="0" applyNumberFormat="1" applyAlignment="1">
      <alignment horizontal="center" vertical="center"/>
    </xf>
    <xf numFmtId="184" fontId="15" fillId="0" borderId="0" xfId="0" applyNumberFormat="1" applyFont="1" applyAlignment="1">
      <alignment horizontal="center" vertical="center"/>
    </xf>
    <xf numFmtId="10" fontId="0" fillId="0" borderId="12" xfId="1098" applyNumberFormat="1" applyFont="1" applyBorder="1">
      <alignment vertical="center"/>
    </xf>
    <xf numFmtId="176" fontId="15" fillId="33" borderId="10" xfId="1098" applyNumberFormat="1" applyFont="1" applyFill="1" applyBorder="1" applyAlignment="1"/>
    <xf numFmtId="10" fontId="15" fillId="0" borderId="10" xfId="1098" applyNumberFormat="1" applyFont="1" applyBorder="1">
      <alignment vertical="center"/>
    </xf>
    <xf numFmtId="0" fontId="0" fillId="0" borderId="0" xfId="0" applyNumberFormat="1" applyAlignment="1">
      <alignment horizontal="center" vertical="center"/>
    </xf>
    <xf numFmtId="0" fontId="0" fillId="0" borderId="0" xfId="0" applyNumberFormat="1" applyFont="1">
      <alignment vertical="center"/>
    </xf>
    <xf numFmtId="0" fontId="59" fillId="0" borderId="0" xfId="0" applyNumberFormat="1" applyFont="1" applyBorder="1">
      <alignment vertical="center"/>
    </xf>
    <xf numFmtId="49" fontId="15" fillId="33" borderId="0" xfId="0" applyNumberFormat="1" applyFont="1" applyFill="1" applyBorder="1" applyAlignment="1"/>
    <xf numFmtId="182" fontId="37" fillId="0" borderId="0" xfId="0" applyNumberFormat="1" applyFont="1" applyBorder="1">
      <alignment vertical="center"/>
    </xf>
    <xf numFmtId="10" fontId="60" fillId="0" borderId="0" xfId="1098" applyNumberFormat="1" applyFont="1" applyBorder="1">
      <alignment vertical="center"/>
    </xf>
    <xf numFmtId="10" fontId="61" fillId="0" borderId="0" xfId="1098" applyNumberFormat="1" applyFont="1" applyBorder="1">
      <alignment vertical="center"/>
    </xf>
    <xf numFmtId="10" fontId="59" fillId="0" borderId="0" xfId="1098" applyNumberFormat="1" applyFont="1" applyBorder="1">
      <alignment vertical="center"/>
    </xf>
    <xf numFmtId="182" fontId="60" fillId="0" borderId="0" xfId="0" applyNumberFormat="1" applyFont="1" applyBorder="1">
      <alignment vertical="center"/>
    </xf>
    <xf numFmtId="182" fontId="61" fillId="0" borderId="0" xfId="0" applyNumberFormat="1" applyFont="1" applyBorder="1">
      <alignment vertical="center"/>
    </xf>
    <xf numFmtId="0" fontId="37" fillId="0" borderId="0" xfId="0" applyNumberFormat="1" applyFont="1" applyBorder="1">
      <alignment vertical="center"/>
    </xf>
    <xf numFmtId="176" fontId="59" fillId="0" borderId="0" xfId="0" applyFont="1" applyBorder="1">
      <alignment vertical="center"/>
    </xf>
    <xf numFmtId="182" fontId="59" fillId="0" borderId="0" xfId="0" applyNumberFormat="1" applyFont="1" applyBorder="1">
      <alignment vertical="center"/>
    </xf>
    <xf numFmtId="0" fontId="63" fillId="0" borderId="10" xfId="4" applyNumberFormat="1" applyFont="1" applyBorder="1" applyAlignment="1">
      <alignment horizontal="center" vertical="center"/>
    </xf>
    <xf numFmtId="181" fontId="15" fillId="0" borderId="0" xfId="0" applyNumberFormat="1" applyFont="1">
      <alignment vertical="center"/>
    </xf>
    <xf numFmtId="181" fontId="0" fillId="0" borderId="0" xfId="1098" applyNumberFormat="1" applyFont="1">
      <alignment vertical="center"/>
    </xf>
    <xf numFmtId="176" fontId="15" fillId="0" borderId="0" xfId="0" applyFont="1" applyAlignment="1">
      <alignment horizontal="right" vertical="center"/>
    </xf>
    <xf numFmtId="178" fontId="0" fillId="0" borderId="0" xfId="1098" applyNumberFormat="1" applyFont="1" applyAlignment="1">
      <alignment horizontal="right" vertical="center"/>
    </xf>
    <xf numFmtId="10" fontId="0" fillId="0" borderId="0" xfId="1098" applyNumberFormat="1" applyFont="1" applyAlignment="1">
      <alignment horizontal="right" vertical="center"/>
    </xf>
    <xf numFmtId="182" fontId="0" fillId="0" borderId="0" xfId="2187" applyNumberFormat="1" applyFont="1" applyAlignment="1">
      <alignment horizontal="right" vertical="center"/>
    </xf>
    <xf numFmtId="10" fontId="0" fillId="0" borderId="0" xfId="2187" applyNumberFormat="1" applyFont="1" applyAlignment="1">
      <alignment horizontal="right" vertical="center"/>
    </xf>
    <xf numFmtId="178" fontId="0" fillId="0" borderId="0" xfId="2187" applyNumberFormat="1" applyFont="1" applyAlignment="1">
      <alignment horizontal="right" vertical="center"/>
    </xf>
    <xf numFmtId="176" fontId="0" fillId="0" borderId="0" xfId="0" applyAlignment="1">
      <alignment horizontal="right" vertical="center"/>
    </xf>
    <xf numFmtId="176" fontId="15" fillId="0" borderId="0" xfId="0" applyFont="1" applyAlignment="1">
      <alignment horizontal="center" vertical="center"/>
    </xf>
    <xf numFmtId="176" fontId="63" fillId="0" borderId="0" xfId="0" applyFont="1" applyBorder="1">
      <alignment vertical="center"/>
    </xf>
    <xf numFmtId="0" fontId="63" fillId="0" borderId="0" xfId="0" applyNumberFormat="1" applyFont="1" applyBorder="1">
      <alignment vertical="center"/>
    </xf>
    <xf numFmtId="0" fontId="15" fillId="0" borderId="0" xfId="0" quotePrefix="1" applyNumberFormat="1" applyFont="1" applyBorder="1">
      <alignment vertical="center"/>
    </xf>
    <xf numFmtId="177" fontId="63" fillId="0" borderId="0" xfId="0" applyNumberFormat="1" applyFont="1" applyBorder="1">
      <alignment vertical="center"/>
    </xf>
    <xf numFmtId="178" fontId="63" fillId="0" borderId="0" xfId="0" applyNumberFormat="1" applyFont="1" applyBorder="1">
      <alignment vertical="center"/>
    </xf>
    <xf numFmtId="14" fontId="63" fillId="0" borderId="0" xfId="0" applyNumberFormat="1" applyFont="1" applyBorder="1">
      <alignment vertical="center"/>
    </xf>
    <xf numFmtId="185" fontId="0" fillId="0" borderId="0" xfId="0" applyNumberFormat="1">
      <alignment vertical="center"/>
    </xf>
    <xf numFmtId="186" fontId="0" fillId="0" borderId="0" xfId="0" applyNumberFormat="1">
      <alignment vertical="center"/>
    </xf>
    <xf numFmtId="182" fontId="68" fillId="0" borderId="0" xfId="0" applyNumberFormat="1" applyFont="1">
      <alignment vertical="center"/>
    </xf>
    <xf numFmtId="180" fontId="0" fillId="0" borderId="10" xfId="0" applyNumberFormat="1" applyBorder="1" applyAlignment="1">
      <alignment horizontal="center" vertical="center" wrapText="1"/>
    </xf>
    <xf numFmtId="180" fontId="0" fillId="34" borderId="10" xfId="0" applyNumberFormat="1" applyFill="1" applyBorder="1" applyAlignment="1"/>
    <xf numFmtId="180" fontId="0" fillId="0" borderId="0" xfId="1098" applyNumberFormat="1" applyFont="1">
      <alignment vertical="center"/>
    </xf>
    <xf numFmtId="187" fontId="0" fillId="0" borderId="0" xfId="0" applyNumberFormat="1" applyAlignment="1"/>
    <xf numFmtId="187" fontId="0" fillId="0" borderId="0" xfId="0" applyNumberFormat="1">
      <alignment vertical="center"/>
    </xf>
    <xf numFmtId="182" fontId="68" fillId="0" borderId="10" xfId="0" applyNumberFormat="1" applyFont="1" applyBorder="1">
      <alignment vertical="center"/>
    </xf>
    <xf numFmtId="184" fontId="15" fillId="0" borderId="10" xfId="0" quotePrefix="1" applyNumberFormat="1" applyFont="1" applyBorder="1" applyAlignment="1">
      <alignment horizontal="left" vertical="center"/>
    </xf>
    <xf numFmtId="0" fontId="15" fillId="0" borderId="0" xfId="0" quotePrefix="1" applyNumberFormat="1" applyFont="1" applyAlignment="1">
      <alignment horizontal="center"/>
    </xf>
    <xf numFmtId="10" fontId="0" fillId="0" borderId="0" xfId="0" applyNumberFormat="1" applyFont="1">
      <alignment vertical="center"/>
    </xf>
    <xf numFmtId="0" fontId="0" fillId="0" borderId="0" xfId="0" applyNumberFormat="1" applyAlignment="1">
      <alignment horizontal="left"/>
    </xf>
    <xf numFmtId="176" fontId="15" fillId="0" borderId="0" xfId="0" quotePrefix="1" applyFont="1" applyAlignment="1">
      <alignment horizontal="center" vertical="center"/>
    </xf>
    <xf numFmtId="10" fontId="69" fillId="0" borderId="0" xfId="1098" applyNumberFormat="1" applyFont="1">
      <alignment vertical="center"/>
    </xf>
    <xf numFmtId="10" fontId="68" fillId="0" borderId="0" xfId="1098" applyNumberFormat="1" applyFont="1">
      <alignment vertical="center"/>
    </xf>
    <xf numFmtId="0" fontId="15" fillId="0" borderId="0" xfId="0" applyNumberFormat="1" applyFont="1" applyAlignment="1">
      <alignment vertical="center" wrapText="1"/>
    </xf>
    <xf numFmtId="10" fontId="70" fillId="0" borderId="0" xfId="1098" applyNumberFormat="1" applyFont="1">
      <alignment vertical="center"/>
    </xf>
    <xf numFmtId="177" fontId="0" fillId="0" borderId="0" xfId="1098" applyNumberFormat="1" applyFont="1" applyAlignment="1">
      <alignment horizontal="right" vertical="center"/>
    </xf>
    <xf numFmtId="49" fontId="0" fillId="0" borderId="0" xfId="0" applyNumberFormat="1">
      <alignment vertical="center"/>
    </xf>
    <xf numFmtId="10" fontId="68" fillId="0" borderId="0" xfId="1098" applyNumberFormat="1" applyFont="1" applyBorder="1">
      <alignment vertical="center"/>
    </xf>
    <xf numFmtId="10" fontId="69" fillId="0" borderId="10" xfId="1098" applyNumberFormat="1" applyFont="1" applyBorder="1">
      <alignment vertical="center"/>
    </xf>
    <xf numFmtId="182" fontId="68" fillId="0" borderId="0" xfId="0" applyNumberFormat="1" applyFont="1" applyBorder="1">
      <alignment vertical="center"/>
    </xf>
    <xf numFmtId="10" fontId="69" fillId="0" borderId="0" xfId="1098" applyNumberFormat="1" applyFont="1" applyBorder="1">
      <alignment vertical="center"/>
    </xf>
    <xf numFmtId="10" fontId="70" fillId="0" borderId="0" xfId="1098" applyNumberFormat="1" applyFont="1" applyBorder="1">
      <alignment vertical="center"/>
    </xf>
    <xf numFmtId="10" fontId="71" fillId="0" borderId="0" xfId="1098" applyNumberFormat="1" applyFont="1">
      <alignment vertical="center"/>
    </xf>
    <xf numFmtId="10" fontId="71" fillId="0" borderId="10" xfId="1098" applyNumberFormat="1" applyFont="1" applyBorder="1">
      <alignment vertical="center"/>
    </xf>
    <xf numFmtId="182" fontId="15" fillId="0" borderId="0" xfId="0" applyNumberFormat="1" applyFont="1">
      <alignment vertical="center"/>
    </xf>
    <xf numFmtId="49" fontId="0" fillId="34" borderId="0" xfId="0" applyNumberFormat="1" applyFill="1">
      <alignment vertical="center"/>
    </xf>
    <xf numFmtId="176" fontId="0" fillId="34" borderId="0" xfId="0" applyFill="1">
      <alignment vertical="center"/>
    </xf>
    <xf numFmtId="176" fontId="15" fillId="34" borderId="0" xfId="0" applyFont="1" applyFill="1">
      <alignment vertical="center"/>
    </xf>
    <xf numFmtId="177" fontId="0" fillId="34" borderId="0" xfId="1098" applyNumberFormat="1" applyFont="1" applyFill="1" applyAlignment="1">
      <alignment horizontal="right" vertical="center"/>
    </xf>
    <xf numFmtId="10" fontId="0" fillId="34" borderId="0" xfId="1098" applyNumberFormat="1" applyFont="1" applyFill="1" applyAlignment="1">
      <alignment horizontal="right" vertical="center"/>
    </xf>
    <xf numFmtId="180" fontId="0" fillId="34" borderId="0" xfId="0" applyNumberFormat="1" applyFill="1">
      <alignment vertical="center"/>
    </xf>
    <xf numFmtId="10" fontId="0" fillId="34" borderId="0" xfId="1098" applyNumberFormat="1" applyFont="1" applyFill="1">
      <alignment vertical="center"/>
    </xf>
    <xf numFmtId="49" fontId="0" fillId="0" borderId="0" xfId="0" applyNumberFormat="1" applyFont="1">
      <alignment vertical="center"/>
    </xf>
  </cellXfs>
  <cellStyles count="2190">
    <cellStyle name="20% - 强调文字颜色 1" xfId="23" builtinId="30" customBuiltin="1"/>
    <cellStyle name="20% - 强调文字颜色 1 10" xfId="413"/>
    <cellStyle name="20% - 强调文字颜色 1 10 2" xfId="907"/>
    <cellStyle name="20% - 强调文字颜色 1 10 2 2" xfId="1105"/>
    <cellStyle name="20% - 强调文字颜色 1 10 3" xfId="1104"/>
    <cellStyle name="20% - 强调文字颜色 1 11" xfId="492"/>
    <cellStyle name="20% - 强调文字颜色 1 11 2" xfId="984"/>
    <cellStyle name="20% - 强调文字颜色 1 11 2 2" xfId="1107"/>
    <cellStyle name="20% - 强调文字颜色 1 11 3" xfId="1106"/>
    <cellStyle name="20% - 强调文字颜色 1 12" xfId="485"/>
    <cellStyle name="20% - 强调文字颜色 1 12 2" xfId="977"/>
    <cellStyle name="20% - 强调文字颜色 1 12 2 2" xfId="1109"/>
    <cellStyle name="20% - 强调文字颜色 1 12 3" xfId="1108"/>
    <cellStyle name="20% - 强调文字颜色 1 13" xfId="507"/>
    <cellStyle name="20% - 强调文字颜色 1 13 2" xfId="999"/>
    <cellStyle name="20% - 强调文字颜色 1 13 2 2" xfId="1111"/>
    <cellStyle name="20% - 强调文字颜色 1 13 3" xfId="1110"/>
    <cellStyle name="20% - 强调文字颜色 1 14" xfId="517"/>
    <cellStyle name="20% - 强调文字颜色 1 14 2" xfId="1009"/>
    <cellStyle name="20% - 强调文字颜色 1 14 2 2" xfId="1113"/>
    <cellStyle name="20% - 强调文字颜色 1 14 3" xfId="1112"/>
    <cellStyle name="20% - 强调文字颜色 1 15" xfId="543"/>
    <cellStyle name="20% - 强调文字颜色 1 15 2" xfId="1034"/>
    <cellStyle name="20% - 强调文字颜色 1 15 2 2" xfId="1115"/>
    <cellStyle name="20% - 强调文字颜色 1 15 3" xfId="1114"/>
    <cellStyle name="20% - 强调文字颜色 1 16" xfId="539"/>
    <cellStyle name="20% - 强调文字颜色 1 16 2" xfId="1030"/>
    <cellStyle name="20% - 强调文字颜色 1 16 2 2" xfId="1117"/>
    <cellStyle name="20% - 强调文字颜色 1 16 3" xfId="1116"/>
    <cellStyle name="20% - 强调文字颜色 1 17" xfId="572"/>
    <cellStyle name="20% - 强调文字颜色 1 17 2" xfId="1118"/>
    <cellStyle name="20% - 强调文字颜色 1 18" xfId="1075"/>
    <cellStyle name="20% - 强调文字颜色 1 18 2" xfId="1119"/>
    <cellStyle name="20% - 强调文字颜色 1 2" xfId="63"/>
    <cellStyle name="20% - 强调文字颜色 1 2 2" xfId="144"/>
    <cellStyle name="20% - 强调文字颜色 1 2 2 2" xfId="657"/>
    <cellStyle name="20% - 强调文字颜色 1 2 2 2 2" xfId="1122"/>
    <cellStyle name="20% - 强调文字颜色 1 2 2 3" xfId="1121"/>
    <cellStyle name="20% - 强调文字颜色 1 2 3" xfId="209"/>
    <cellStyle name="20% - 强调文字颜色 1 2 3 2" xfId="722"/>
    <cellStyle name="20% - 强调文字颜色 1 2 3 2 2" xfId="1124"/>
    <cellStyle name="20% - 强调文字颜色 1 2 3 3" xfId="1123"/>
    <cellStyle name="20% - 强调文字颜色 1 2 4" xfId="282"/>
    <cellStyle name="20% - 强调文字颜色 1 2 4 2" xfId="789"/>
    <cellStyle name="20% - 强调文字颜色 1 2 4 2 2" xfId="1126"/>
    <cellStyle name="20% - 强调文字颜色 1 2 4 3" xfId="1125"/>
    <cellStyle name="20% - 强调文字颜色 1 2 5" xfId="362"/>
    <cellStyle name="20% - 强调文字颜色 1 2 5 2" xfId="856"/>
    <cellStyle name="20% - 强调文字颜色 1 2 5 2 2" xfId="1128"/>
    <cellStyle name="20% - 强调文字颜色 1 2 5 3" xfId="1127"/>
    <cellStyle name="20% - 强调文字颜色 1 2 6" xfId="429"/>
    <cellStyle name="20% - 强调文字颜色 1 2 6 2" xfId="923"/>
    <cellStyle name="20% - 强调文字颜色 1 2 6 2 2" xfId="1130"/>
    <cellStyle name="20% - 强调文字颜色 1 2 6 3" xfId="1129"/>
    <cellStyle name="20% - 强调文字颜色 1 2 7" xfId="588"/>
    <cellStyle name="20% - 强调文字颜色 1 2 7 2" xfId="1131"/>
    <cellStyle name="20% - 强调文字颜色 1 2 8" xfId="1120"/>
    <cellStyle name="20% - 强调文字颜色 1 3" xfId="76"/>
    <cellStyle name="20% - 强调文字颜色 1 3 2" xfId="157"/>
    <cellStyle name="20% - 强调文字颜色 1 3 2 2" xfId="670"/>
    <cellStyle name="20% - 强调文字颜色 1 3 2 2 2" xfId="1134"/>
    <cellStyle name="20% - 强调文字颜色 1 3 2 3" xfId="1133"/>
    <cellStyle name="20% - 强调文字颜色 1 3 3" xfId="222"/>
    <cellStyle name="20% - 强调文字颜色 1 3 3 2" xfId="735"/>
    <cellStyle name="20% - 强调文字颜色 1 3 3 2 2" xfId="1136"/>
    <cellStyle name="20% - 强调文字颜色 1 3 3 3" xfId="1135"/>
    <cellStyle name="20% - 强调文字颜色 1 3 4" xfId="295"/>
    <cellStyle name="20% - 强调文字颜色 1 3 4 2" xfId="802"/>
    <cellStyle name="20% - 强调文字颜色 1 3 4 2 2" xfId="1138"/>
    <cellStyle name="20% - 强调文字颜色 1 3 4 3" xfId="1137"/>
    <cellStyle name="20% - 强调文字颜色 1 3 5" xfId="375"/>
    <cellStyle name="20% - 强调文字颜色 1 3 5 2" xfId="869"/>
    <cellStyle name="20% - 强调文字颜色 1 3 5 2 2" xfId="1140"/>
    <cellStyle name="20% - 强调文字颜色 1 3 5 3" xfId="1139"/>
    <cellStyle name="20% - 强调文字颜色 1 3 6" xfId="442"/>
    <cellStyle name="20% - 强调文字颜色 1 3 6 2" xfId="936"/>
    <cellStyle name="20% - 强调文字颜色 1 3 6 2 2" xfId="1142"/>
    <cellStyle name="20% - 强调文字颜色 1 3 6 3" xfId="1141"/>
    <cellStyle name="20% - 强调文字颜色 1 3 7" xfId="601"/>
    <cellStyle name="20% - 强调文字颜色 1 3 7 2" xfId="1143"/>
    <cellStyle name="20% - 强调文字颜色 1 3 8" xfId="1132"/>
    <cellStyle name="20% - 强调文字颜色 1 4" xfId="89"/>
    <cellStyle name="20% - 强调文字颜色 1 4 2" xfId="170"/>
    <cellStyle name="20% - 强调文字颜色 1 4 2 2" xfId="683"/>
    <cellStyle name="20% - 强调文字颜色 1 4 2 2 2" xfId="1146"/>
    <cellStyle name="20% - 强调文字颜色 1 4 2 3" xfId="1145"/>
    <cellStyle name="20% - 强调文字颜色 1 4 3" xfId="235"/>
    <cellStyle name="20% - 强调文字颜色 1 4 3 2" xfId="748"/>
    <cellStyle name="20% - 强调文字颜色 1 4 3 2 2" xfId="1148"/>
    <cellStyle name="20% - 强调文字颜色 1 4 3 3" xfId="1147"/>
    <cellStyle name="20% - 强调文字颜色 1 4 4" xfId="308"/>
    <cellStyle name="20% - 强调文字颜色 1 4 4 2" xfId="815"/>
    <cellStyle name="20% - 强调文字颜色 1 4 4 2 2" xfId="1150"/>
    <cellStyle name="20% - 强调文字颜色 1 4 4 3" xfId="1149"/>
    <cellStyle name="20% - 强调文字颜色 1 4 5" xfId="388"/>
    <cellStyle name="20% - 强调文字颜色 1 4 5 2" xfId="882"/>
    <cellStyle name="20% - 强调文字颜色 1 4 5 2 2" xfId="1152"/>
    <cellStyle name="20% - 强调文字颜色 1 4 5 3" xfId="1151"/>
    <cellStyle name="20% - 强调文字颜色 1 4 6" xfId="455"/>
    <cellStyle name="20% - 强调文字颜色 1 4 6 2" xfId="949"/>
    <cellStyle name="20% - 强调文字颜色 1 4 6 2 2" xfId="1154"/>
    <cellStyle name="20% - 强调文字颜色 1 4 6 3" xfId="1153"/>
    <cellStyle name="20% - 强调文字颜色 1 4 7" xfId="614"/>
    <cellStyle name="20% - 强调文字颜色 1 4 7 2" xfId="1155"/>
    <cellStyle name="20% - 强调文字颜色 1 4 8" xfId="1144"/>
    <cellStyle name="20% - 强调文字颜色 1 5" xfId="102"/>
    <cellStyle name="20% - 强调文字颜色 1 5 2" xfId="183"/>
    <cellStyle name="20% - 强调文字颜色 1 5 2 2" xfId="696"/>
    <cellStyle name="20% - 强调文字颜色 1 5 2 2 2" xfId="1158"/>
    <cellStyle name="20% - 强调文字颜色 1 5 2 3" xfId="1157"/>
    <cellStyle name="20% - 强调文字颜色 1 5 3" xfId="248"/>
    <cellStyle name="20% - 强调文字颜色 1 5 3 2" xfId="761"/>
    <cellStyle name="20% - 强调文字颜色 1 5 3 2 2" xfId="1160"/>
    <cellStyle name="20% - 强调文字颜色 1 5 3 3" xfId="1159"/>
    <cellStyle name="20% - 强调文字颜色 1 5 4" xfId="321"/>
    <cellStyle name="20% - 强调文字颜色 1 5 4 2" xfId="828"/>
    <cellStyle name="20% - 强调文字颜色 1 5 4 2 2" xfId="1162"/>
    <cellStyle name="20% - 强调文字颜色 1 5 4 3" xfId="1161"/>
    <cellStyle name="20% - 强调文字颜色 1 5 5" xfId="401"/>
    <cellStyle name="20% - 强调文字颜色 1 5 5 2" xfId="895"/>
    <cellStyle name="20% - 强调文字颜色 1 5 5 2 2" xfId="1164"/>
    <cellStyle name="20% - 强调文字颜色 1 5 5 3" xfId="1163"/>
    <cellStyle name="20% - 强调文字颜色 1 5 6" xfId="468"/>
    <cellStyle name="20% - 强调文字颜色 1 5 6 2" xfId="962"/>
    <cellStyle name="20% - 强调文字颜色 1 5 6 2 2" xfId="1166"/>
    <cellStyle name="20% - 强调文字颜色 1 5 6 3" xfId="1165"/>
    <cellStyle name="20% - 强调文字颜色 1 5 7" xfId="627"/>
    <cellStyle name="20% - 强调文字颜色 1 5 7 2" xfId="1167"/>
    <cellStyle name="20% - 强调文字颜色 1 5 8" xfId="1156"/>
    <cellStyle name="20% - 强调文字颜色 1 6" xfId="122"/>
    <cellStyle name="20% - 强调文字颜色 1 6 2" xfId="639"/>
    <cellStyle name="20% - 强调文字颜色 1 6 2 2" xfId="1169"/>
    <cellStyle name="20% - 强调文字颜色 1 6 3" xfId="1168"/>
    <cellStyle name="20% - 强调文字颜色 1 7" xfId="130"/>
    <cellStyle name="20% - 强调文字颜色 1 7 2" xfId="646"/>
    <cellStyle name="20% - 强调文字颜色 1 7 2 2" xfId="1171"/>
    <cellStyle name="20% - 强调文字颜色 1 7 3" xfId="1170"/>
    <cellStyle name="20% - 强调文字颜色 1 8" xfId="266"/>
    <cellStyle name="20% - 强调文字颜色 1 8 2" xfId="773"/>
    <cellStyle name="20% - 强调文字颜色 1 8 2 2" xfId="1173"/>
    <cellStyle name="20% - 强调文字颜色 1 8 3" xfId="1172"/>
    <cellStyle name="20% - 强调文字颜色 1 9" xfId="346"/>
    <cellStyle name="20% - 强调文字颜色 1 9 2" xfId="840"/>
    <cellStyle name="20% - 强调文字颜色 1 9 2 2" xfId="1175"/>
    <cellStyle name="20% - 强调文字颜色 1 9 3" xfId="1174"/>
    <cellStyle name="20% - 强调文字颜色 2" xfId="27" builtinId="34" customBuiltin="1"/>
    <cellStyle name="20% - 强调文字颜色 2 10" xfId="415"/>
    <cellStyle name="20% - 强调文字颜色 2 10 2" xfId="909"/>
    <cellStyle name="20% - 强调文字颜色 2 10 2 2" xfId="1177"/>
    <cellStyle name="20% - 强调文字颜色 2 10 3" xfId="1176"/>
    <cellStyle name="20% - 强调文字颜色 2 11" xfId="495"/>
    <cellStyle name="20% - 强调文字颜色 2 11 2" xfId="987"/>
    <cellStyle name="20% - 强调文字颜色 2 11 2 2" xfId="1179"/>
    <cellStyle name="20% - 强调文字颜色 2 11 3" xfId="1178"/>
    <cellStyle name="20% - 强调文字颜色 2 12" xfId="506"/>
    <cellStyle name="20% - 强调文字颜色 2 12 2" xfId="998"/>
    <cellStyle name="20% - 强调文字颜色 2 12 2 2" xfId="1181"/>
    <cellStyle name="20% - 强调文字颜色 2 12 3" xfId="1180"/>
    <cellStyle name="20% - 强调文字颜色 2 13" xfId="516"/>
    <cellStyle name="20% - 强调文字颜色 2 13 2" xfId="1008"/>
    <cellStyle name="20% - 强调文字颜色 2 13 2 2" xfId="1183"/>
    <cellStyle name="20% - 强调文字颜色 2 13 3" xfId="1182"/>
    <cellStyle name="20% - 强调文字颜色 2 14" xfId="526"/>
    <cellStyle name="20% - 强调文字颜色 2 14 2" xfId="1018"/>
    <cellStyle name="20% - 强调文字颜色 2 14 2 2" xfId="1185"/>
    <cellStyle name="20% - 强调文字颜色 2 14 3" xfId="1184"/>
    <cellStyle name="20% - 强调文字颜色 2 15" xfId="546"/>
    <cellStyle name="20% - 强调文字颜色 2 15 2" xfId="1037"/>
    <cellStyle name="20% - 强调文字颜色 2 15 2 2" xfId="1187"/>
    <cellStyle name="20% - 强调文字颜色 2 15 3" xfId="1186"/>
    <cellStyle name="20% - 强调文字颜色 2 16" xfId="555"/>
    <cellStyle name="20% - 强调文字颜色 2 16 2" xfId="1046"/>
    <cellStyle name="20% - 强调文字颜色 2 16 2 2" xfId="1189"/>
    <cellStyle name="20% - 强调文字颜色 2 16 3" xfId="1188"/>
    <cellStyle name="20% - 强调文字颜色 2 17" xfId="574"/>
    <cellStyle name="20% - 强调文字颜色 2 17 2" xfId="1190"/>
    <cellStyle name="20% - 强调文字颜色 2 18" xfId="1079"/>
    <cellStyle name="20% - 强调文字颜色 2 18 2" xfId="1191"/>
    <cellStyle name="20% - 强调文字颜色 2 2" xfId="65"/>
    <cellStyle name="20% - 强调文字颜色 2 2 2" xfId="146"/>
    <cellStyle name="20% - 强调文字颜色 2 2 2 2" xfId="659"/>
    <cellStyle name="20% - 强调文字颜色 2 2 2 2 2" xfId="1194"/>
    <cellStyle name="20% - 强调文字颜色 2 2 2 3" xfId="1193"/>
    <cellStyle name="20% - 强调文字颜色 2 2 3" xfId="211"/>
    <cellStyle name="20% - 强调文字颜色 2 2 3 2" xfId="724"/>
    <cellStyle name="20% - 强调文字颜色 2 2 3 2 2" xfId="1196"/>
    <cellStyle name="20% - 强调文字颜色 2 2 3 3" xfId="1195"/>
    <cellStyle name="20% - 强调文字颜色 2 2 4" xfId="284"/>
    <cellStyle name="20% - 强调文字颜色 2 2 4 2" xfId="791"/>
    <cellStyle name="20% - 强调文字颜色 2 2 4 2 2" xfId="1198"/>
    <cellStyle name="20% - 强调文字颜色 2 2 4 3" xfId="1197"/>
    <cellStyle name="20% - 强调文字颜色 2 2 5" xfId="364"/>
    <cellStyle name="20% - 强调文字颜色 2 2 5 2" xfId="858"/>
    <cellStyle name="20% - 强调文字颜色 2 2 5 2 2" xfId="1200"/>
    <cellStyle name="20% - 强调文字颜色 2 2 5 3" xfId="1199"/>
    <cellStyle name="20% - 强调文字颜色 2 2 6" xfId="431"/>
    <cellStyle name="20% - 强调文字颜色 2 2 6 2" xfId="925"/>
    <cellStyle name="20% - 强调文字颜色 2 2 6 2 2" xfId="1202"/>
    <cellStyle name="20% - 强调文字颜色 2 2 6 3" xfId="1201"/>
    <cellStyle name="20% - 强调文字颜色 2 2 7" xfId="590"/>
    <cellStyle name="20% - 强调文字颜色 2 2 7 2" xfId="1203"/>
    <cellStyle name="20% - 强调文字颜色 2 2 8" xfId="1192"/>
    <cellStyle name="20% - 强调文字颜色 2 3" xfId="78"/>
    <cellStyle name="20% - 强调文字颜色 2 3 2" xfId="159"/>
    <cellStyle name="20% - 强调文字颜色 2 3 2 2" xfId="672"/>
    <cellStyle name="20% - 强调文字颜色 2 3 2 2 2" xfId="1206"/>
    <cellStyle name="20% - 强调文字颜色 2 3 2 3" xfId="1205"/>
    <cellStyle name="20% - 强调文字颜色 2 3 3" xfId="224"/>
    <cellStyle name="20% - 强调文字颜色 2 3 3 2" xfId="737"/>
    <cellStyle name="20% - 强调文字颜色 2 3 3 2 2" xfId="1208"/>
    <cellStyle name="20% - 强调文字颜色 2 3 3 3" xfId="1207"/>
    <cellStyle name="20% - 强调文字颜色 2 3 4" xfId="297"/>
    <cellStyle name="20% - 强调文字颜色 2 3 4 2" xfId="804"/>
    <cellStyle name="20% - 强调文字颜色 2 3 4 2 2" xfId="1210"/>
    <cellStyle name="20% - 强调文字颜色 2 3 4 3" xfId="1209"/>
    <cellStyle name="20% - 强调文字颜色 2 3 5" xfId="377"/>
    <cellStyle name="20% - 强调文字颜色 2 3 5 2" xfId="871"/>
    <cellStyle name="20% - 强调文字颜色 2 3 5 2 2" xfId="1212"/>
    <cellStyle name="20% - 强调文字颜色 2 3 5 3" xfId="1211"/>
    <cellStyle name="20% - 强调文字颜色 2 3 6" xfId="444"/>
    <cellStyle name="20% - 强调文字颜色 2 3 6 2" xfId="938"/>
    <cellStyle name="20% - 强调文字颜色 2 3 6 2 2" xfId="1214"/>
    <cellStyle name="20% - 强调文字颜色 2 3 6 3" xfId="1213"/>
    <cellStyle name="20% - 强调文字颜色 2 3 7" xfId="603"/>
    <cellStyle name="20% - 强调文字颜色 2 3 7 2" xfId="1215"/>
    <cellStyle name="20% - 强调文字颜色 2 3 8" xfId="1204"/>
    <cellStyle name="20% - 强调文字颜色 2 4" xfId="91"/>
    <cellStyle name="20% - 强调文字颜色 2 4 2" xfId="172"/>
    <cellStyle name="20% - 强调文字颜色 2 4 2 2" xfId="685"/>
    <cellStyle name="20% - 强调文字颜色 2 4 2 2 2" xfId="1218"/>
    <cellStyle name="20% - 强调文字颜色 2 4 2 3" xfId="1217"/>
    <cellStyle name="20% - 强调文字颜色 2 4 3" xfId="237"/>
    <cellStyle name="20% - 强调文字颜色 2 4 3 2" xfId="750"/>
    <cellStyle name="20% - 强调文字颜色 2 4 3 2 2" xfId="1220"/>
    <cellStyle name="20% - 强调文字颜色 2 4 3 3" xfId="1219"/>
    <cellStyle name="20% - 强调文字颜色 2 4 4" xfId="310"/>
    <cellStyle name="20% - 强调文字颜色 2 4 4 2" xfId="817"/>
    <cellStyle name="20% - 强调文字颜色 2 4 4 2 2" xfId="1222"/>
    <cellStyle name="20% - 强调文字颜色 2 4 4 3" xfId="1221"/>
    <cellStyle name="20% - 强调文字颜色 2 4 5" xfId="390"/>
    <cellStyle name="20% - 强调文字颜色 2 4 5 2" xfId="884"/>
    <cellStyle name="20% - 强调文字颜色 2 4 5 2 2" xfId="1224"/>
    <cellStyle name="20% - 强调文字颜色 2 4 5 3" xfId="1223"/>
    <cellStyle name="20% - 强调文字颜色 2 4 6" xfId="457"/>
    <cellStyle name="20% - 强调文字颜色 2 4 6 2" xfId="951"/>
    <cellStyle name="20% - 强调文字颜色 2 4 6 2 2" xfId="1226"/>
    <cellStyle name="20% - 强调文字颜色 2 4 6 3" xfId="1225"/>
    <cellStyle name="20% - 强调文字颜色 2 4 7" xfId="616"/>
    <cellStyle name="20% - 强调文字颜色 2 4 7 2" xfId="1227"/>
    <cellStyle name="20% - 强调文字颜色 2 4 8" xfId="1216"/>
    <cellStyle name="20% - 强调文字颜色 2 5" xfId="104"/>
    <cellStyle name="20% - 强调文字颜色 2 5 2" xfId="185"/>
    <cellStyle name="20% - 强调文字颜色 2 5 2 2" xfId="698"/>
    <cellStyle name="20% - 强调文字颜色 2 5 2 2 2" xfId="1230"/>
    <cellStyle name="20% - 强调文字颜色 2 5 2 3" xfId="1229"/>
    <cellStyle name="20% - 强调文字颜色 2 5 3" xfId="250"/>
    <cellStyle name="20% - 强调文字颜色 2 5 3 2" xfId="763"/>
    <cellStyle name="20% - 强调文字颜色 2 5 3 2 2" xfId="1232"/>
    <cellStyle name="20% - 强调文字颜色 2 5 3 3" xfId="1231"/>
    <cellStyle name="20% - 强调文字颜色 2 5 4" xfId="323"/>
    <cellStyle name="20% - 强调文字颜色 2 5 4 2" xfId="830"/>
    <cellStyle name="20% - 强调文字颜色 2 5 4 2 2" xfId="1234"/>
    <cellStyle name="20% - 强调文字颜色 2 5 4 3" xfId="1233"/>
    <cellStyle name="20% - 强调文字颜色 2 5 5" xfId="403"/>
    <cellStyle name="20% - 强调文字颜色 2 5 5 2" xfId="897"/>
    <cellStyle name="20% - 强调文字颜色 2 5 5 2 2" xfId="1236"/>
    <cellStyle name="20% - 强调文字颜色 2 5 5 3" xfId="1235"/>
    <cellStyle name="20% - 强调文字颜色 2 5 6" xfId="470"/>
    <cellStyle name="20% - 强调文字颜色 2 5 6 2" xfId="964"/>
    <cellStyle name="20% - 强调文字颜色 2 5 6 2 2" xfId="1238"/>
    <cellStyle name="20% - 强调文字颜色 2 5 6 3" xfId="1237"/>
    <cellStyle name="20% - 强调文字颜色 2 5 7" xfId="629"/>
    <cellStyle name="20% - 强调文字颜色 2 5 7 2" xfId="1239"/>
    <cellStyle name="20% - 强调文字颜色 2 5 8" xfId="1228"/>
    <cellStyle name="20% - 强调文字颜色 2 6" xfId="125"/>
    <cellStyle name="20% - 强调文字颜色 2 6 2" xfId="641"/>
    <cellStyle name="20% - 强调文字颜色 2 6 2 2" xfId="1241"/>
    <cellStyle name="20% - 强调文字颜色 2 6 3" xfId="1240"/>
    <cellStyle name="20% - 强调文字颜色 2 7" xfId="195"/>
    <cellStyle name="20% - 强调文字颜色 2 7 2" xfId="708"/>
    <cellStyle name="20% - 强调文字颜色 2 7 2 2" xfId="1243"/>
    <cellStyle name="20% - 强调文字颜色 2 7 3" xfId="1242"/>
    <cellStyle name="20% - 强调文字颜色 2 8" xfId="268"/>
    <cellStyle name="20% - 强调文字颜色 2 8 2" xfId="775"/>
    <cellStyle name="20% - 强调文字颜色 2 8 2 2" xfId="1245"/>
    <cellStyle name="20% - 强调文字颜色 2 8 3" xfId="1244"/>
    <cellStyle name="20% - 强调文字颜色 2 9" xfId="348"/>
    <cellStyle name="20% - 强调文字颜色 2 9 2" xfId="842"/>
    <cellStyle name="20% - 强调文字颜色 2 9 2 2" xfId="1247"/>
    <cellStyle name="20% - 强调文字颜色 2 9 3" xfId="1246"/>
    <cellStyle name="20% - 强调文字颜色 3" xfId="31" builtinId="38" customBuiltin="1"/>
    <cellStyle name="20% - 强调文字颜色 3 10" xfId="417"/>
    <cellStyle name="20% - 强调文字颜色 3 10 2" xfId="911"/>
    <cellStyle name="20% - 强调文字颜色 3 10 2 2" xfId="1249"/>
    <cellStyle name="20% - 强调文字颜色 3 10 3" xfId="1248"/>
    <cellStyle name="20% - 强调文字颜色 3 11" xfId="499"/>
    <cellStyle name="20% - 强调文字颜色 3 11 2" xfId="991"/>
    <cellStyle name="20% - 强调文字颜色 3 11 2 2" xfId="1251"/>
    <cellStyle name="20% - 强调文字颜色 3 11 3" xfId="1250"/>
    <cellStyle name="20% - 强调文字颜色 3 12" xfId="494"/>
    <cellStyle name="20% - 强调文字颜色 3 12 2" xfId="986"/>
    <cellStyle name="20% - 强调文字颜色 3 12 2 2" xfId="1253"/>
    <cellStyle name="20% - 强调文字颜色 3 12 3" xfId="1252"/>
    <cellStyle name="20% - 强调文字颜色 3 13" xfId="483"/>
    <cellStyle name="20% - 强调文字颜色 3 13 2" xfId="975"/>
    <cellStyle name="20% - 强调文字颜色 3 13 2 2" xfId="1255"/>
    <cellStyle name="20% - 强调文字颜色 3 13 3" xfId="1254"/>
    <cellStyle name="20% - 强调文字颜色 3 14" xfId="488"/>
    <cellStyle name="20% - 强调文字颜色 3 14 2" xfId="980"/>
    <cellStyle name="20% - 强调文字颜色 3 14 2 2" xfId="1257"/>
    <cellStyle name="20% - 强调文字颜色 3 14 3" xfId="1256"/>
    <cellStyle name="20% - 强调文字颜色 3 15" xfId="548"/>
    <cellStyle name="20% - 强调文字颜色 3 15 2" xfId="1039"/>
    <cellStyle name="20% - 强调文字颜色 3 15 2 2" xfId="1259"/>
    <cellStyle name="20% - 强调文字颜色 3 15 3" xfId="1258"/>
    <cellStyle name="20% - 强调文字颜色 3 16" xfId="545"/>
    <cellStyle name="20% - 强调文字颜色 3 16 2" xfId="1036"/>
    <cellStyle name="20% - 强调文字颜色 3 16 2 2" xfId="1261"/>
    <cellStyle name="20% - 强调文字颜色 3 16 3" xfId="1260"/>
    <cellStyle name="20% - 强调文字颜色 3 17" xfId="576"/>
    <cellStyle name="20% - 强调文字颜色 3 17 2" xfId="1262"/>
    <cellStyle name="20% - 强调文字颜色 3 18" xfId="1083"/>
    <cellStyle name="20% - 强调文字颜色 3 18 2" xfId="1263"/>
    <cellStyle name="20% - 强调文字颜色 3 2" xfId="67"/>
    <cellStyle name="20% - 强调文字颜色 3 2 2" xfId="148"/>
    <cellStyle name="20% - 强调文字颜色 3 2 2 2" xfId="661"/>
    <cellStyle name="20% - 强调文字颜色 3 2 2 2 2" xfId="1266"/>
    <cellStyle name="20% - 强调文字颜色 3 2 2 3" xfId="1265"/>
    <cellStyle name="20% - 强调文字颜色 3 2 3" xfId="213"/>
    <cellStyle name="20% - 强调文字颜色 3 2 3 2" xfId="726"/>
    <cellStyle name="20% - 强调文字颜色 3 2 3 2 2" xfId="1268"/>
    <cellStyle name="20% - 强调文字颜色 3 2 3 3" xfId="1267"/>
    <cellStyle name="20% - 强调文字颜色 3 2 4" xfId="286"/>
    <cellStyle name="20% - 强调文字颜色 3 2 4 2" xfId="793"/>
    <cellStyle name="20% - 强调文字颜色 3 2 4 2 2" xfId="1270"/>
    <cellStyle name="20% - 强调文字颜色 3 2 4 3" xfId="1269"/>
    <cellStyle name="20% - 强调文字颜色 3 2 5" xfId="366"/>
    <cellStyle name="20% - 强调文字颜色 3 2 5 2" xfId="860"/>
    <cellStyle name="20% - 强调文字颜色 3 2 5 2 2" xfId="1272"/>
    <cellStyle name="20% - 强调文字颜色 3 2 5 3" xfId="1271"/>
    <cellStyle name="20% - 强调文字颜色 3 2 6" xfId="433"/>
    <cellStyle name="20% - 强调文字颜色 3 2 6 2" xfId="927"/>
    <cellStyle name="20% - 强调文字颜色 3 2 6 2 2" xfId="1274"/>
    <cellStyle name="20% - 强调文字颜色 3 2 6 3" xfId="1273"/>
    <cellStyle name="20% - 强调文字颜色 3 2 7" xfId="592"/>
    <cellStyle name="20% - 强调文字颜色 3 2 7 2" xfId="1275"/>
    <cellStyle name="20% - 强调文字颜色 3 2 8" xfId="1264"/>
    <cellStyle name="20% - 强调文字颜色 3 3" xfId="80"/>
    <cellStyle name="20% - 强调文字颜色 3 3 2" xfId="161"/>
    <cellStyle name="20% - 强调文字颜色 3 3 2 2" xfId="674"/>
    <cellStyle name="20% - 强调文字颜色 3 3 2 2 2" xfId="1278"/>
    <cellStyle name="20% - 强调文字颜色 3 3 2 3" xfId="1277"/>
    <cellStyle name="20% - 强调文字颜色 3 3 3" xfId="226"/>
    <cellStyle name="20% - 强调文字颜色 3 3 3 2" xfId="739"/>
    <cellStyle name="20% - 强调文字颜色 3 3 3 2 2" xfId="1280"/>
    <cellStyle name="20% - 强调文字颜色 3 3 3 3" xfId="1279"/>
    <cellStyle name="20% - 强调文字颜色 3 3 4" xfId="299"/>
    <cellStyle name="20% - 强调文字颜色 3 3 4 2" xfId="806"/>
    <cellStyle name="20% - 强调文字颜色 3 3 4 2 2" xfId="1282"/>
    <cellStyle name="20% - 强调文字颜色 3 3 4 3" xfId="1281"/>
    <cellStyle name="20% - 强调文字颜色 3 3 5" xfId="379"/>
    <cellStyle name="20% - 强调文字颜色 3 3 5 2" xfId="873"/>
    <cellStyle name="20% - 强调文字颜色 3 3 5 2 2" xfId="1284"/>
    <cellStyle name="20% - 强调文字颜色 3 3 5 3" xfId="1283"/>
    <cellStyle name="20% - 强调文字颜色 3 3 6" xfId="446"/>
    <cellStyle name="20% - 强调文字颜色 3 3 6 2" xfId="940"/>
    <cellStyle name="20% - 强调文字颜色 3 3 6 2 2" xfId="1286"/>
    <cellStyle name="20% - 强调文字颜色 3 3 6 3" xfId="1285"/>
    <cellStyle name="20% - 强调文字颜色 3 3 7" xfId="605"/>
    <cellStyle name="20% - 强调文字颜色 3 3 7 2" xfId="1287"/>
    <cellStyle name="20% - 强调文字颜色 3 3 8" xfId="1276"/>
    <cellStyle name="20% - 强调文字颜色 3 4" xfId="93"/>
    <cellStyle name="20% - 强调文字颜色 3 4 2" xfId="174"/>
    <cellStyle name="20% - 强调文字颜色 3 4 2 2" xfId="687"/>
    <cellStyle name="20% - 强调文字颜色 3 4 2 2 2" xfId="1290"/>
    <cellStyle name="20% - 强调文字颜色 3 4 2 3" xfId="1289"/>
    <cellStyle name="20% - 强调文字颜色 3 4 3" xfId="239"/>
    <cellStyle name="20% - 强调文字颜色 3 4 3 2" xfId="752"/>
    <cellStyle name="20% - 强调文字颜色 3 4 3 2 2" xfId="1292"/>
    <cellStyle name="20% - 强调文字颜色 3 4 3 3" xfId="1291"/>
    <cellStyle name="20% - 强调文字颜色 3 4 4" xfId="312"/>
    <cellStyle name="20% - 强调文字颜色 3 4 4 2" xfId="819"/>
    <cellStyle name="20% - 强调文字颜色 3 4 4 2 2" xfId="1294"/>
    <cellStyle name="20% - 强调文字颜色 3 4 4 3" xfId="1293"/>
    <cellStyle name="20% - 强调文字颜色 3 4 5" xfId="392"/>
    <cellStyle name="20% - 强调文字颜色 3 4 5 2" xfId="886"/>
    <cellStyle name="20% - 强调文字颜色 3 4 5 2 2" xfId="1296"/>
    <cellStyle name="20% - 强调文字颜色 3 4 5 3" xfId="1295"/>
    <cellStyle name="20% - 强调文字颜色 3 4 6" xfId="459"/>
    <cellStyle name="20% - 强调文字颜色 3 4 6 2" xfId="953"/>
    <cellStyle name="20% - 强调文字颜色 3 4 6 2 2" xfId="1298"/>
    <cellStyle name="20% - 强调文字颜色 3 4 6 3" xfId="1297"/>
    <cellStyle name="20% - 强调文字颜色 3 4 7" xfId="618"/>
    <cellStyle name="20% - 强调文字颜色 3 4 7 2" xfId="1299"/>
    <cellStyle name="20% - 强调文字颜色 3 4 8" xfId="1288"/>
    <cellStyle name="20% - 强调文字颜色 3 5" xfId="106"/>
    <cellStyle name="20% - 强调文字颜色 3 5 2" xfId="187"/>
    <cellStyle name="20% - 强调文字颜色 3 5 2 2" xfId="700"/>
    <cellStyle name="20% - 强调文字颜色 3 5 2 2 2" xfId="1302"/>
    <cellStyle name="20% - 强调文字颜色 3 5 2 3" xfId="1301"/>
    <cellStyle name="20% - 强调文字颜色 3 5 3" xfId="252"/>
    <cellStyle name="20% - 强调文字颜色 3 5 3 2" xfId="765"/>
    <cellStyle name="20% - 强调文字颜色 3 5 3 2 2" xfId="1304"/>
    <cellStyle name="20% - 强调文字颜色 3 5 3 3" xfId="1303"/>
    <cellStyle name="20% - 强调文字颜色 3 5 4" xfId="325"/>
    <cellStyle name="20% - 强调文字颜色 3 5 4 2" xfId="832"/>
    <cellStyle name="20% - 强调文字颜色 3 5 4 2 2" xfId="1306"/>
    <cellStyle name="20% - 强调文字颜色 3 5 4 3" xfId="1305"/>
    <cellStyle name="20% - 强调文字颜色 3 5 5" xfId="405"/>
    <cellStyle name="20% - 强调文字颜色 3 5 5 2" xfId="899"/>
    <cellStyle name="20% - 强调文字颜色 3 5 5 2 2" xfId="1308"/>
    <cellStyle name="20% - 强调文字颜色 3 5 5 3" xfId="1307"/>
    <cellStyle name="20% - 强调文字颜色 3 5 6" xfId="472"/>
    <cellStyle name="20% - 强调文字颜色 3 5 6 2" xfId="966"/>
    <cellStyle name="20% - 强调文字颜色 3 5 6 2 2" xfId="1310"/>
    <cellStyle name="20% - 强调文字颜色 3 5 6 3" xfId="1309"/>
    <cellStyle name="20% - 强调文字颜色 3 5 7" xfId="631"/>
    <cellStyle name="20% - 强调文字颜色 3 5 7 2" xfId="1311"/>
    <cellStyle name="20% - 强调文字颜色 3 5 8" xfId="1300"/>
    <cellStyle name="20% - 强调文字颜色 3 6" xfId="128"/>
    <cellStyle name="20% - 强调文字颜色 3 6 2" xfId="644"/>
    <cellStyle name="20% - 强调文字颜色 3 6 2 2" xfId="1313"/>
    <cellStyle name="20% - 强调文字颜色 3 6 3" xfId="1312"/>
    <cellStyle name="20% - 强调文字颜色 3 7" xfId="197"/>
    <cellStyle name="20% - 强调文字颜色 3 7 2" xfId="710"/>
    <cellStyle name="20% - 强调文字颜色 3 7 2 2" xfId="1315"/>
    <cellStyle name="20% - 强调文字颜色 3 7 3" xfId="1314"/>
    <cellStyle name="20% - 强调文字颜色 3 8" xfId="270"/>
    <cellStyle name="20% - 强调文字颜色 3 8 2" xfId="777"/>
    <cellStyle name="20% - 强调文字颜色 3 8 2 2" xfId="1317"/>
    <cellStyle name="20% - 强调文字颜色 3 8 3" xfId="1316"/>
    <cellStyle name="20% - 强调文字颜色 3 9" xfId="350"/>
    <cellStyle name="20% - 强调文字颜色 3 9 2" xfId="844"/>
    <cellStyle name="20% - 强调文字颜色 3 9 2 2" xfId="1319"/>
    <cellStyle name="20% - 强调文字颜色 3 9 3" xfId="1318"/>
    <cellStyle name="20% - 强调文字颜色 4" xfId="35" builtinId="42" customBuiltin="1"/>
    <cellStyle name="20% - 强调文字颜色 4 10" xfId="419"/>
    <cellStyle name="20% - 强调文字颜色 4 10 2" xfId="913"/>
    <cellStyle name="20% - 强调文字颜色 4 10 2 2" xfId="1321"/>
    <cellStyle name="20% - 强调文字颜色 4 10 3" xfId="1320"/>
    <cellStyle name="20% - 强调文字颜色 4 11" xfId="501"/>
    <cellStyle name="20% - 强调文字颜色 4 11 2" xfId="993"/>
    <cellStyle name="20% - 强调文字颜色 4 11 2 2" xfId="1323"/>
    <cellStyle name="20% - 强调文字颜色 4 11 3" xfId="1322"/>
    <cellStyle name="20% - 强调文字颜色 4 12" xfId="511"/>
    <cellStyle name="20% - 强调文字颜色 4 12 2" xfId="1003"/>
    <cellStyle name="20% - 强调文字颜色 4 12 2 2" xfId="1325"/>
    <cellStyle name="20% - 强调文字颜色 4 12 3" xfId="1324"/>
    <cellStyle name="20% - 强调文字颜色 4 13" xfId="521"/>
    <cellStyle name="20% - 强调文字颜色 4 13 2" xfId="1013"/>
    <cellStyle name="20% - 强调文字颜色 4 13 2 2" xfId="1327"/>
    <cellStyle name="20% - 强调文字颜色 4 13 3" xfId="1326"/>
    <cellStyle name="20% - 强调文字颜色 4 14" xfId="530"/>
    <cellStyle name="20% - 强调文字颜色 4 14 2" xfId="1022"/>
    <cellStyle name="20% - 强调文字颜色 4 14 2 2" xfId="1329"/>
    <cellStyle name="20% - 强调文字颜色 4 14 3" xfId="1328"/>
    <cellStyle name="20% - 强调文字颜色 4 15" xfId="550"/>
    <cellStyle name="20% - 强调文字颜色 4 15 2" xfId="1041"/>
    <cellStyle name="20% - 强调文字颜色 4 15 2 2" xfId="1331"/>
    <cellStyle name="20% - 强调文字颜色 4 15 3" xfId="1330"/>
    <cellStyle name="20% - 强调文字颜色 4 16" xfId="559"/>
    <cellStyle name="20% - 强调文字颜色 4 16 2" xfId="1050"/>
    <cellStyle name="20% - 强调文字颜色 4 16 2 2" xfId="1333"/>
    <cellStyle name="20% - 强调文字颜色 4 16 3" xfId="1332"/>
    <cellStyle name="20% - 强调文字颜色 4 17" xfId="578"/>
    <cellStyle name="20% - 强调文字颜色 4 17 2" xfId="1334"/>
    <cellStyle name="20% - 强调文字颜色 4 18" xfId="1087"/>
    <cellStyle name="20% - 强调文字颜色 4 18 2" xfId="1335"/>
    <cellStyle name="20% - 强调文字颜色 4 2" xfId="69"/>
    <cellStyle name="20% - 强调文字颜色 4 2 2" xfId="150"/>
    <cellStyle name="20% - 强调文字颜色 4 2 2 2" xfId="663"/>
    <cellStyle name="20% - 强调文字颜色 4 2 2 2 2" xfId="1338"/>
    <cellStyle name="20% - 强调文字颜色 4 2 2 3" xfId="1337"/>
    <cellStyle name="20% - 强调文字颜色 4 2 3" xfId="215"/>
    <cellStyle name="20% - 强调文字颜色 4 2 3 2" xfId="728"/>
    <cellStyle name="20% - 强调文字颜色 4 2 3 2 2" xfId="1340"/>
    <cellStyle name="20% - 强调文字颜色 4 2 3 3" xfId="1339"/>
    <cellStyle name="20% - 强调文字颜色 4 2 4" xfId="288"/>
    <cellStyle name="20% - 强调文字颜色 4 2 4 2" xfId="795"/>
    <cellStyle name="20% - 强调文字颜色 4 2 4 2 2" xfId="1342"/>
    <cellStyle name="20% - 强调文字颜色 4 2 4 3" xfId="1341"/>
    <cellStyle name="20% - 强调文字颜色 4 2 5" xfId="368"/>
    <cellStyle name="20% - 强调文字颜色 4 2 5 2" xfId="862"/>
    <cellStyle name="20% - 强调文字颜色 4 2 5 2 2" xfId="1344"/>
    <cellStyle name="20% - 强调文字颜色 4 2 5 3" xfId="1343"/>
    <cellStyle name="20% - 强调文字颜色 4 2 6" xfId="435"/>
    <cellStyle name="20% - 强调文字颜色 4 2 6 2" xfId="929"/>
    <cellStyle name="20% - 强调文字颜色 4 2 6 2 2" xfId="1346"/>
    <cellStyle name="20% - 强调文字颜色 4 2 6 3" xfId="1345"/>
    <cellStyle name="20% - 强调文字颜色 4 2 7" xfId="594"/>
    <cellStyle name="20% - 强调文字颜色 4 2 7 2" xfId="1347"/>
    <cellStyle name="20% - 强调文字颜色 4 2 8" xfId="1336"/>
    <cellStyle name="20% - 强调文字颜色 4 3" xfId="82"/>
    <cellStyle name="20% - 强调文字颜色 4 3 2" xfId="163"/>
    <cellStyle name="20% - 强调文字颜色 4 3 2 2" xfId="676"/>
    <cellStyle name="20% - 强调文字颜色 4 3 2 2 2" xfId="1350"/>
    <cellStyle name="20% - 强调文字颜色 4 3 2 3" xfId="1349"/>
    <cellStyle name="20% - 强调文字颜色 4 3 3" xfId="228"/>
    <cellStyle name="20% - 强调文字颜色 4 3 3 2" xfId="741"/>
    <cellStyle name="20% - 强调文字颜色 4 3 3 2 2" xfId="1352"/>
    <cellStyle name="20% - 强调文字颜色 4 3 3 3" xfId="1351"/>
    <cellStyle name="20% - 强调文字颜色 4 3 4" xfId="301"/>
    <cellStyle name="20% - 强调文字颜色 4 3 4 2" xfId="808"/>
    <cellStyle name="20% - 强调文字颜色 4 3 4 2 2" xfId="1354"/>
    <cellStyle name="20% - 强调文字颜色 4 3 4 3" xfId="1353"/>
    <cellStyle name="20% - 强调文字颜色 4 3 5" xfId="381"/>
    <cellStyle name="20% - 强调文字颜色 4 3 5 2" xfId="875"/>
    <cellStyle name="20% - 强调文字颜色 4 3 5 2 2" xfId="1356"/>
    <cellStyle name="20% - 强调文字颜色 4 3 5 3" xfId="1355"/>
    <cellStyle name="20% - 强调文字颜色 4 3 6" xfId="448"/>
    <cellStyle name="20% - 强调文字颜色 4 3 6 2" xfId="942"/>
    <cellStyle name="20% - 强调文字颜色 4 3 6 2 2" xfId="1358"/>
    <cellStyle name="20% - 强调文字颜色 4 3 6 3" xfId="1357"/>
    <cellStyle name="20% - 强调文字颜色 4 3 7" xfId="607"/>
    <cellStyle name="20% - 强调文字颜色 4 3 7 2" xfId="1359"/>
    <cellStyle name="20% - 强调文字颜色 4 3 8" xfId="1348"/>
    <cellStyle name="20% - 强调文字颜色 4 4" xfId="95"/>
    <cellStyle name="20% - 强调文字颜色 4 4 2" xfId="176"/>
    <cellStyle name="20% - 强调文字颜色 4 4 2 2" xfId="689"/>
    <cellStyle name="20% - 强调文字颜色 4 4 2 2 2" xfId="1362"/>
    <cellStyle name="20% - 强调文字颜色 4 4 2 3" xfId="1361"/>
    <cellStyle name="20% - 强调文字颜色 4 4 3" xfId="241"/>
    <cellStyle name="20% - 强调文字颜色 4 4 3 2" xfId="754"/>
    <cellStyle name="20% - 强调文字颜色 4 4 3 2 2" xfId="1364"/>
    <cellStyle name="20% - 强调文字颜色 4 4 3 3" xfId="1363"/>
    <cellStyle name="20% - 强调文字颜色 4 4 4" xfId="314"/>
    <cellStyle name="20% - 强调文字颜色 4 4 4 2" xfId="821"/>
    <cellStyle name="20% - 强调文字颜色 4 4 4 2 2" xfId="1366"/>
    <cellStyle name="20% - 强调文字颜色 4 4 4 3" xfId="1365"/>
    <cellStyle name="20% - 强调文字颜色 4 4 5" xfId="394"/>
    <cellStyle name="20% - 强调文字颜色 4 4 5 2" xfId="888"/>
    <cellStyle name="20% - 强调文字颜色 4 4 5 2 2" xfId="1368"/>
    <cellStyle name="20% - 强调文字颜色 4 4 5 3" xfId="1367"/>
    <cellStyle name="20% - 强调文字颜色 4 4 6" xfId="461"/>
    <cellStyle name="20% - 强调文字颜色 4 4 6 2" xfId="955"/>
    <cellStyle name="20% - 强调文字颜色 4 4 6 2 2" xfId="1370"/>
    <cellStyle name="20% - 强调文字颜色 4 4 6 3" xfId="1369"/>
    <cellStyle name="20% - 强调文字颜色 4 4 7" xfId="620"/>
    <cellStyle name="20% - 强调文字颜色 4 4 7 2" xfId="1371"/>
    <cellStyle name="20% - 强调文字颜色 4 4 8" xfId="1360"/>
    <cellStyle name="20% - 强调文字颜色 4 5" xfId="108"/>
    <cellStyle name="20% - 强调文字颜色 4 5 2" xfId="189"/>
    <cellStyle name="20% - 强调文字颜色 4 5 2 2" xfId="702"/>
    <cellStyle name="20% - 强调文字颜色 4 5 2 2 2" xfId="1374"/>
    <cellStyle name="20% - 强调文字颜色 4 5 2 3" xfId="1373"/>
    <cellStyle name="20% - 强调文字颜色 4 5 3" xfId="254"/>
    <cellStyle name="20% - 强调文字颜色 4 5 3 2" xfId="767"/>
    <cellStyle name="20% - 强调文字颜色 4 5 3 2 2" xfId="1376"/>
    <cellStyle name="20% - 强调文字颜色 4 5 3 3" xfId="1375"/>
    <cellStyle name="20% - 强调文字颜色 4 5 4" xfId="327"/>
    <cellStyle name="20% - 强调文字颜色 4 5 4 2" xfId="834"/>
    <cellStyle name="20% - 强调文字颜色 4 5 4 2 2" xfId="1378"/>
    <cellStyle name="20% - 强调文字颜色 4 5 4 3" xfId="1377"/>
    <cellStyle name="20% - 强调文字颜色 4 5 5" xfId="407"/>
    <cellStyle name="20% - 强调文字颜色 4 5 5 2" xfId="901"/>
    <cellStyle name="20% - 强调文字颜色 4 5 5 2 2" xfId="1380"/>
    <cellStyle name="20% - 强调文字颜色 4 5 5 3" xfId="1379"/>
    <cellStyle name="20% - 强调文字颜色 4 5 6" xfId="474"/>
    <cellStyle name="20% - 强调文字颜色 4 5 6 2" xfId="968"/>
    <cellStyle name="20% - 强调文字颜色 4 5 6 2 2" xfId="1382"/>
    <cellStyle name="20% - 强调文字颜色 4 5 6 3" xfId="1381"/>
    <cellStyle name="20% - 强调文字颜色 4 5 7" xfId="633"/>
    <cellStyle name="20% - 强调文字颜色 4 5 7 2" xfId="1383"/>
    <cellStyle name="20% - 强调文字颜色 4 5 8" xfId="1372"/>
    <cellStyle name="20% - 强调文字颜色 4 6" xfId="132"/>
    <cellStyle name="20% - 强调文字颜色 4 6 2" xfId="647"/>
    <cellStyle name="20% - 强调文字颜色 4 6 2 2" xfId="1385"/>
    <cellStyle name="20% - 强调文字颜色 4 6 3" xfId="1384"/>
    <cellStyle name="20% - 强调文字颜色 4 7" xfId="199"/>
    <cellStyle name="20% - 强调文字颜色 4 7 2" xfId="712"/>
    <cellStyle name="20% - 强调文字颜色 4 7 2 2" xfId="1387"/>
    <cellStyle name="20% - 强调文字颜色 4 7 3" xfId="1386"/>
    <cellStyle name="20% - 强调文字颜色 4 8" xfId="272"/>
    <cellStyle name="20% - 强调文字颜色 4 8 2" xfId="779"/>
    <cellStyle name="20% - 强调文字颜色 4 8 2 2" xfId="1389"/>
    <cellStyle name="20% - 强调文字颜色 4 8 3" xfId="1388"/>
    <cellStyle name="20% - 强调文字颜色 4 9" xfId="352"/>
    <cellStyle name="20% - 强调文字颜色 4 9 2" xfId="846"/>
    <cellStyle name="20% - 强调文字颜色 4 9 2 2" xfId="1391"/>
    <cellStyle name="20% - 强调文字颜色 4 9 3" xfId="1390"/>
    <cellStyle name="20% - 强调文字颜色 5" xfId="39" builtinId="46" customBuiltin="1"/>
    <cellStyle name="20% - 强调文字颜色 5 10" xfId="421"/>
    <cellStyle name="20% - 强调文字颜色 5 10 2" xfId="915"/>
    <cellStyle name="20% - 强调文字颜色 5 10 2 2" xfId="1393"/>
    <cellStyle name="20% - 强调文字颜色 5 10 3" xfId="1392"/>
    <cellStyle name="20% - 强调文字颜色 5 11" xfId="504"/>
    <cellStyle name="20% - 强调文字颜色 5 11 2" xfId="996"/>
    <cellStyle name="20% - 强调文字颜色 5 11 2 2" xfId="1395"/>
    <cellStyle name="20% - 强调文字颜色 5 11 3" xfId="1394"/>
    <cellStyle name="20% - 强调文字颜色 5 12" xfId="514"/>
    <cellStyle name="20% - 强调文字颜色 5 12 2" xfId="1006"/>
    <cellStyle name="20% - 强调文字颜色 5 12 2 2" xfId="1397"/>
    <cellStyle name="20% - 强调文字颜色 5 12 3" xfId="1396"/>
    <cellStyle name="20% - 强调文字颜色 5 13" xfId="524"/>
    <cellStyle name="20% - 强调文字颜色 5 13 2" xfId="1016"/>
    <cellStyle name="20% - 强调文字颜色 5 13 2 2" xfId="1399"/>
    <cellStyle name="20% - 强调文字颜色 5 13 3" xfId="1398"/>
    <cellStyle name="20% - 强调文字颜色 5 14" xfId="532"/>
    <cellStyle name="20% - 强调文字颜色 5 14 2" xfId="1024"/>
    <cellStyle name="20% - 强调文字颜色 5 14 2 2" xfId="1401"/>
    <cellStyle name="20% - 强调文字颜色 5 14 3" xfId="1400"/>
    <cellStyle name="20% - 强调文字颜色 5 15" xfId="553"/>
    <cellStyle name="20% - 强调文字颜色 5 15 2" xfId="1044"/>
    <cellStyle name="20% - 强调文字颜色 5 15 2 2" xfId="1403"/>
    <cellStyle name="20% - 强调文字颜色 5 15 3" xfId="1402"/>
    <cellStyle name="20% - 强调文字颜色 5 16" xfId="561"/>
    <cellStyle name="20% - 强调文字颜色 5 16 2" xfId="1052"/>
    <cellStyle name="20% - 强调文字颜色 5 16 2 2" xfId="1405"/>
    <cellStyle name="20% - 强调文字颜色 5 16 3" xfId="1404"/>
    <cellStyle name="20% - 强调文字颜色 5 17" xfId="580"/>
    <cellStyle name="20% - 强调文字颜色 5 17 2" xfId="1406"/>
    <cellStyle name="20% - 强调文字颜色 5 18" xfId="1091"/>
    <cellStyle name="20% - 强调文字颜色 5 18 2" xfId="1407"/>
    <cellStyle name="20% - 强调文字颜色 5 2" xfId="71"/>
    <cellStyle name="20% - 强调文字颜色 5 2 2" xfId="152"/>
    <cellStyle name="20% - 强调文字颜色 5 2 2 2" xfId="665"/>
    <cellStyle name="20% - 强调文字颜色 5 2 2 2 2" xfId="1410"/>
    <cellStyle name="20% - 强调文字颜色 5 2 2 3" xfId="1409"/>
    <cellStyle name="20% - 强调文字颜色 5 2 3" xfId="217"/>
    <cellStyle name="20% - 强调文字颜色 5 2 3 2" xfId="730"/>
    <cellStyle name="20% - 强调文字颜色 5 2 3 2 2" xfId="1412"/>
    <cellStyle name="20% - 强调文字颜色 5 2 3 3" xfId="1411"/>
    <cellStyle name="20% - 强调文字颜色 5 2 4" xfId="290"/>
    <cellStyle name="20% - 强调文字颜色 5 2 4 2" xfId="797"/>
    <cellStyle name="20% - 强调文字颜色 5 2 4 2 2" xfId="1414"/>
    <cellStyle name="20% - 强调文字颜色 5 2 4 3" xfId="1413"/>
    <cellStyle name="20% - 强调文字颜色 5 2 5" xfId="370"/>
    <cellStyle name="20% - 强调文字颜色 5 2 5 2" xfId="864"/>
    <cellStyle name="20% - 强调文字颜色 5 2 5 2 2" xfId="1416"/>
    <cellStyle name="20% - 强调文字颜色 5 2 5 3" xfId="1415"/>
    <cellStyle name="20% - 强调文字颜色 5 2 6" xfId="437"/>
    <cellStyle name="20% - 强调文字颜色 5 2 6 2" xfId="931"/>
    <cellStyle name="20% - 强调文字颜色 5 2 6 2 2" xfId="1418"/>
    <cellStyle name="20% - 强调文字颜色 5 2 6 3" xfId="1417"/>
    <cellStyle name="20% - 强调文字颜色 5 2 7" xfId="596"/>
    <cellStyle name="20% - 强调文字颜色 5 2 7 2" xfId="1419"/>
    <cellStyle name="20% - 强调文字颜色 5 2 8" xfId="1408"/>
    <cellStyle name="20% - 强调文字颜色 5 3" xfId="84"/>
    <cellStyle name="20% - 强调文字颜色 5 3 2" xfId="165"/>
    <cellStyle name="20% - 强调文字颜色 5 3 2 2" xfId="678"/>
    <cellStyle name="20% - 强调文字颜色 5 3 2 2 2" xfId="1422"/>
    <cellStyle name="20% - 强调文字颜色 5 3 2 3" xfId="1421"/>
    <cellStyle name="20% - 强调文字颜色 5 3 3" xfId="230"/>
    <cellStyle name="20% - 强调文字颜色 5 3 3 2" xfId="743"/>
    <cellStyle name="20% - 强调文字颜色 5 3 3 2 2" xfId="1424"/>
    <cellStyle name="20% - 强调文字颜色 5 3 3 3" xfId="1423"/>
    <cellStyle name="20% - 强调文字颜色 5 3 4" xfId="303"/>
    <cellStyle name="20% - 强调文字颜色 5 3 4 2" xfId="810"/>
    <cellStyle name="20% - 强调文字颜色 5 3 4 2 2" xfId="1426"/>
    <cellStyle name="20% - 强调文字颜色 5 3 4 3" xfId="1425"/>
    <cellStyle name="20% - 强调文字颜色 5 3 5" xfId="383"/>
    <cellStyle name="20% - 强调文字颜色 5 3 5 2" xfId="877"/>
    <cellStyle name="20% - 强调文字颜色 5 3 5 2 2" xfId="1428"/>
    <cellStyle name="20% - 强调文字颜色 5 3 5 3" xfId="1427"/>
    <cellStyle name="20% - 强调文字颜色 5 3 6" xfId="450"/>
    <cellStyle name="20% - 强调文字颜色 5 3 6 2" xfId="944"/>
    <cellStyle name="20% - 强调文字颜色 5 3 6 2 2" xfId="1430"/>
    <cellStyle name="20% - 强调文字颜色 5 3 6 3" xfId="1429"/>
    <cellStyle name="20% - 强调文字颜色 5 3 7" xfId="609"/>
    <cellStyle name="20% - 强调文字颜色 5 3 7 2" xfId="1431"/>
    <cellStyle name="20% - 强调文字颜色 5 3 8" xfId="1420"/>
    <cellStyle name="20% - 强调文字颜色 5 4" xfId="97"/>
    <cellStyle name="20% - 强调文字颜色 5 4 2" xfId="178"/>
    <cellStyle name="20% - 强调文字颜色 5 4 2 2" xfId="691"/>
    <cellStyle name="20% - 强调文字颜色 5 4 2 2 2" xfId="1434"/>
    <cellStyle name="20% - 强调文字颜色 5 4 2 3" xfId="1433"/>
    <cellStyle name="20% - 强调文字颜色 5 4 3" xfId="243"/>
    <cellStyle name="20% - 强调文字颜色 5 4 3 2" xfId="756"/>
    <cellStyle name="20% - 强调文字颜色 5 4 3 2 2" xfId="1436"/>
    <cellStyle name="20% - 强调文字颜色 5 4 3 3" xfId="1435"/>
    <cellStyle name="20% - 强调文字颜色 5 4 4" xfId="316"/>
    <cellStyle name="20% - 强调文字颜色 5 4 4 2" xfId="823"/>
    <cellStyle name="20% - 强调文字颜色 5 4 4 2 2" xfId="1438"/>
    <cellStyle name="20% - 强调文字颜色 5 4 4 3" xfId="1437"/>
    <cellStyle name="20% - 强调文字颜色 5 4 5" xfId="396"/>
    <cellStyle name="20% - 强调文字颜色 5 4 5 2" xfId="890"/>
    <cellStyle name="20% - 强调文字颜色 5 4 5 2 2" xfId="1440"/>
    <cellStyle name="20% - 强调文字颜色 5 4 5 3" xfId="1439"/>
    <cellStyle name="20% - 强调文字颜色 5 4 6" xfId="463"/>
    <cellStyle name="20% - 强调文字颜色 5 4 6 2" xfId="957"/>
    <cellStyle name="20% - 强调文字颜色 5 4 6 2 2" xfId="1442"/>
    <cellStyle name="20% - 强调文字颜色 5 4 6 3" xfId="1441"/>
    <cellStyle name="20% - 强调文字颜色 5 4 7" xfId="622"/>
    <cellStyle name="20% - 强调文字颜色 5 4 7 2" xfId="1443"/>
    <cellStyle name="20% - 强调文字颜色 5 4 8" xfId="1432"/>
    <cellStyle name="20% - 强调文字颜色 5 5" xfId="110"/>
    <cellStyle name="20% - 强调文字颜色 5 5 2" xfId="191"/>
    <cellStyle name="20% - 强调文字颜色 5 5 2 2" xfId="704"/>
    <cellStyle name="20% - 强调文字颜色 5 5 2 2 2" xfId="1446"/>
    <cellStyle name="20% - 强调文字颜色 5 5 2 3" xfId="1445"/>
    <cellStyle name="20% - 强调文字颜色 5 5 3" xfId="256"/>
    <cellStyle name="20% - 强调文字颜色 5 5 3 2" xfId="769"/>
    <cellStyle name="20% - 强调文字颜色 5 5 3 2 2" xfId="1448"/>
    <cellStyle name="20% - 强调文字颜色 5 5 3 3" xfId="1447"/>
    <cellStyle name="20% - 强调文字颜色 5 5 4" xfId="329"/>
    <cellStyle name="20% - 强调文字颜色 5 5 4 2" xfId="836"/>
    <cellStyle name="20% - 强调文字颜色 5 5 4 2 2" xfId="1450"/>
    <cellStyle name="20% - 强调文字颜色 5 5 4 3" xfId="1449"/>
    <cellStyle name="20% - 强调文字颜色 5 5 5" xfId="409"/>
    <cellStyle name="20% - 强调文字颜色 5 5 5 2" xfId="903"/>
    <cellStyle name="20% - 强调文字颜色 5 5 5 2 2" xfId="1452"/>
    <cellStyle name="20% - 强调文字颜色 5 5 5 3" xfId="1451"/>
    <cellStyle name="20% - 强调文字颜色 5 5 6" xfId="476"/>
    <cellStyle name="20% - 强调文字颜色 5 5 6 2" xfId="970"/>
    <cellStyle name="20% - 强调文字颜色 5 5 6 2 2" xfId="1454"/>
    <cellStyle name="20% - 强调文字颜色 5 5 6 3" xfId="1453"/>
    <cellStyle name="20% - 强调文字颜色 5 5 7" xfId="635"/>
    <cellStyle name="20% - 强调文字颜色 5 5 7 2" xfId="1455"/>
    <cellStyle name="20% - 强调文字颜色 5 5 8" xfId="1444"/>
    <cellStyle name="20% - 强调文字颜色 5 6" xfId="135"/>
    <cellStyle name="20% - 强调文字颜色 5 6 2" xfId="649"/>
    <cellStyle name="20% - 强调文字颜色 5 6 2 2" xfId="1457"/>
    <cellStyle name="20% - 强调文字颜色 5 6 3" xfId="1456"/>
    <cellStyle name="20% - 强调文字颜色 5 7" xfId="201"/>
    <cellStyle name="20% - 强调文字颜色 5 7 2" xfId="714"/>
    <cellStyle name="20% - 强调文字颜色 5 7 2 2" xfId="1459"/>
    <cellStyle name="20% - 强调文字颜色 5 7 3" xfId="1458"/>
    <cellStyle name="20% - 强调文字颜色 5 8" xfId="274"/>
    <cellStyle name="20% - 强调文字颜色 5 8 2" xfId="781"/>
    <cellStyle name="20% - 强调文字颜色 5 8 2 2" xfId="1461"/>
    <cellStyle name="20% - 强调文字颜色 5 8 3" xfId="1460"/>
    <cellStyle name="20% - 强调文字颜色 5 9" xfId="354"/>
    <cellStyle name="20% - 强调文字颜色 5 9 2" xfId="848"/>
    <cellStyle name="20% - 强调文字颜色 5 9 2 2" xfId="1463"/>
    <cellStyle name="20% - 强调文字颜色 5 9 3" xfId="1462"/>
    <cellStyle name="20% - 强调文字颜色 6" xfId="43" builtinId="50" customBuiltin="1"/>
    <cellStyle name="20% - 强调文字颜色 6 10" xfId="423"/>
    <cellStyle name="20% - 强调文字颜色 6 10 2" xfId="917"/>
    <cellStyle name="20% - 强调文字颜色 6 10 2 2" xfId="1465"/>
    <cellStyle name="20% - 强调文字颜色 6 10 3" xfId="1464"/>
    <cellStyle name="20% - 强调文字颜色 6 11" xfId="508"/>
    <cellStyle name="20% - 强调文字颜色 6 11 2" xfId="1000"/>
    <cellStyle name="20% - 强调文字颜色 6 11 2 2" xfId="1467"/>
    <cellStyle name="20% - 强调文字颜色 6 11 3" xfId="1466"/>
    <cellStyle name="20% - 强调文字颜色 6 12" xfId="518"/>
    <cellStyle name="20% - 强调文字颜色 6 12 2" xfId="1010"/>
    <cellStyle name="20% - 强调文字颜色 6 12 2 2" xfId="1469"/>
    <cellStyle name="20% - 强调文字颜色 6 12 3" xfId="1468"/>
    <cellStyle name="20% - 强调文字颜色 6 13" xfId="527"/>
    <cellStyle name="20% - 强调文字颜色 6 13 2" xfId="1019"/>
    <cellStyle name="20% - 强调文字颜色 6 13 2 2" xfId="1471"/>
    <cellStyle name="20% - 强调文字颜色 6 13 3" xfId="1470"/>
    <cellStyle name="20% - 强调文字颜色 6 14" xfId="534"/>
    <cellStyle name="20% - 强调文字颜色 6 14 2" xfId="1026"/>
    <cellStyle name="20% - 强调文字颜色 6 14 2 2" xfId="1473"/>
    <cellStyle name="20% - 强调文字颜色 6 14 3" xfId="1472"/>
    <cellStyle name="20% - 强调文字颜色 6 15" xfId="556"/>
    <cellStyle name="20% - 强调文字颜色 6 15 2" xfId="1047"/>
    <cellStyle name="20% - 强调文字颜色 6 15 2 2" xfId="1475"/>
    <cellStyle name="20% - 强调文字颜色 6 15 3" xfId="1474"/>
    <cellStyle name="20% - 强调文字颜色 6 16" xfId="563"/>
    <cellStyle name="20% - 强调文字颜色 6 16 2" xfId="1054"/>
    <cellStyle name="20% - 强调文字颜色 6 16 2 2" xfId="1477"/>
    <cellStyle name="20% - 强调文字颜色 6 16 3" xfId="1476"/>
    <cellStyle name="20% - 强调文字颜色 6 17" xfId="582"/>
    <cellStyle name="20% - 强调文字颜色 6 17 2" xfId="1478"/>
    <cellStyle name="20% - 强调文字颜色 6 18" xfId="1095"/>
    <cellStyle name="20% - 强调文字颜色 6 18 2" xfId="1479"/>
    <cellStyle name="20% - 强调文字颜色 6 2" xfId="73"/>
    <cellStyle name="20% - 强调文字颜色 6 2 2" xfId="154"/>
    <cellStyle name="20% - 强调文字颜色 6 2 2 2" xfId="667"/>
    <cellStyle name="20% - 强调文字颜色 6 2 2 2 2" xfId="1482"/>
    <cellStyle name="20% - 强调文字颜色 6 2 2 3" xfId="1481"/>
    <cellStyle name="20% - 强调文字颜色 6 2 3" xfId="219"/>
    <cellStyle name="20% - 强调文字颜色 6 2 3 2" xfId="732"/>
    <cellStyle name="20% - 强调文字颜色 6 2 3 2 2" xfId="1484"/>
    <cellStyle name="20% - 强调文字颜色 6 2 3 3" xfId="1483"/>
    <cellStyle name="20% - 强调文字颜色 6 2 4" xfId="292"/>
    <cellStyle name="20% - 强调文字颜色 6 2 4 2" xfId="799"/>
    <cellStyle name="20% - 强调文字颜色 6 2 4 2 2" xfId="1486"/>
    <cellStyle name="20% - 强调文字颜色 6 2 4 3" xfId="1485"/>
    <cellStyle name="20% - 强调文字颜色 6 2 5" xfId="372"/>
    <cellStyle name="20% - 强调文字颜色 6 2 5 2" xfId="866"/>
    <cellStyle name="20% - 强调文字颜色 6 2 5 2 2" xfId="1488"/>
    <cellStyle name="20% - 强调文字颜色 6 2 5 3" xfId="1487"/>
    <cellStyle name="20% - 强调文字颜色 6 2 6" xfId="439"/>
    <cellStyle name="20% - 强调文字颜色 6 2 6 2" xfId="933"/>
    <cellStyle name="20% - 强调文字颜色 6 2 6 2 2" xfId="1490"/>
    <cellStyle name="20% - 强调文字颜色 6 2 6 3" xfId="1489"/>
    <cellStyle name="20% - 强调文字颜色 6 2 7" xfId="598"/>
    <cellStyle name="20% - 强调文字颜色 6 2 7 2" xfId="1491"/>
    <cellStyle name="20% - 强调文字颜色 6 2 8" xfId="1480"/>
    <cellStyle name="20% - 强调文字颜色 6 3" xfId="86"/>
    <cellStyle name="20% - 强调文字颜色 6 3 2" xfId="167"/>
    <cellStyle name="20% - 强调文字颜色 6 3 2 2" xfId="680"/>
    <cellStyle name="20% - 强调文字颜色 6 3 2 2 2" xfId="1494"/>
    <cellStyle name="20% - 强调文字颜色 6 3 2 3" xfId="1493"/>
    <cellStyle name="20% - 强调文字颜色 6 3 3" xfId="232"/>
    <cellStyle name="20% - 强调文字颜色 6 3 3 2" xfId="745"/>
    <cellStyle name="20% - 强调文字颜色 6 3 3 2 2" xfId="1496"/>
    <cellStyle name="20% - 强调文字颜色 6 3 3 3" xfId="1495"/>
    <cellStyle name="20% - 强调文字颜色 6 3 4" xfId="305"/>
    <cellStyle name="20% - 强调文字颜色 6 3 4 2" xfId="812"/>
    <cellStyle name="20% - 强调文字颜色 6 3 4 2 2" xfId="1498"/>
    <cellStyle name="20% - 强调文字颜色 6 3 4 3" xfId="1497"/>
    <cellStyle name="20% - 强调文字颜色 6 3 5" xfId="385"/>
    <cellStyle name="20% - 强调文字颜色 6 3 5 2" xfId="879"/>
    <cellStyle name="20% - 强调文字颜色 6 3 5 2 2" xfId="1500"/>
    <cellStyle name="20% - 强调文字颜色 6 3 5 3" xfId="1499"/>
    <cellStyle name="20% - 强调文字颜色 6 3 6" xfId="452"/>
    <cellStyle name="20% - 强调文字颜色 6 3 6 2" xfId="946"/>
    <cellStyle name="20% - 强调文字颜色 6 3 6 2 2" xfId="1502"/>
    <cellStyle name="20% - 强调文字颜色 6 3 6 3" xfId="1501"/>
    <cellStyle name="20% - 强调文字颜色 6 3 7" xfId="611"/>
    <cellStyle name="20% - 强调文字颜色 6 3 7 2" xfId="1503"/>
    <cellStyle name="20% - 强调文字颜色 6 3 8" xfId="1492"/>
    <cellStyle name="20% - 强调文字颜色 6 4" xfId="99"/>
    <cellStyle name="20% - 强调文字颜色 6 4 2" xfId="180"/>
    <cellStyle name="20% - 强调文字颜色 6 4 2 2" xfId="693"/>
    <cellStyle name="20% - 强调文字颜色 6 4 2 2 2" xfId="1506"/>
    <cellStyle name="20% - 强调文字颜色 6 4 2 3" xfId="1505"/>
    <cellStyle name="20% - 强调文字颜色 6 4 3" xfId="245"/>
    <cellStyle name="20% - 强调文字颜色 6 4 3 2" xfId="758"/>
    <cellStyle name="20% - 强调文字颜色 6 4 3 2 2" xfId="1508"/>
    <cellStyle name="20% - 强调文字颜色 6 4 3 3" xfId="1507"/>
    <cellStyle name="20% - 强调文字颜色 6 4 4" xfId="318"/>
    <cellStyle name="20% - 强调文字颜色 6 4 4 2" xfId="825"/>
    <cellStyle name="20% - 强调文字颜色 6 4 4 2 2" xfId="1510"/>
    <cellStyle name="20% - 强调文字颜色 6 4 4 3" xfId="1509"/>
    <cellStyle name="20% - 强调文字颜色 6 4 5" xfId="398"/>
    <cellStyle name="20% - 强调文字颜色 6 4 5 2" xfId="892"/>
    <cellStyle name="20% - 强调文字颜色 6 4 5 2 2" xfId="1512"/>
    <cellStyle name="20% - 强调文字颜色 6 4 5 3" xfId="1511"/>
    <cellStyle name="20% - 强调文字颜色 6 4 6" xfId="465"/>
    <cellStyle name="20% - 强调文字颜色 6 4 6 2" xfId="959"/>
    <cellStyle name="20% - 强调文字颜色 6 4 6 2 2" xfId="1514"/>
    <cellStyle name="20% - 强调文字颜色 6 4 6 3" xfId="1513"/>
    <cellStyle name="20% - 强调文字颜色 6 4 7" xfId="624"/>
    <cellStyle name="20% - 强调文字颜色 6 4 7 2" xfId="1515"/>
    <cellStyle name="20% - 强调文字颜色 6 4 8" xfId="1504"/>
    <cellStyle name="20% - 强调文字颜色 6 5" xfId="112"/>
    <cellStyle name="20% - 强调文字颜色 6 5 2" xfId="193"/>
    <cellStyle name="20% - 强调文字颜色 6 5 2 2" xfId="706"/>
    <cellStyle name="20% - 强调文字颜色 6 5 2 2 2" xfId="1518"/>
    <cellStyle name="20% - 强调文字颜色 6 5 2 3" xfId="1517"/>
    <cellStyle name="20% - 强调文字颜色 6 5 3" xfId="258"/>
    <cellStyle name="20% - 强调文字颜色 6 5 3 2" xfId="771"/>
    <cellStyle name="20% - 强调文字颜色 6 5 3 2 2" xfId="1520"/>
    <cellStyle name="20% - 强调文字颜色 6 5 3 3" xfId="1519"/>
    <cellStyle name="20% - 强调文字颜色 6 5 4" xfId="331"/>
    <cellStyle name="20% - 强调文字颜色 6 5 4 2" xfId="838"/>
    <cellStyle name="20% - 强调文字颜色 6 5 4 2 2" xfId="1522"/>
    <cellStyle name="20% - 强调文字颜色 6 5 4 3" xfId="1521"/>
    <cellStyle name="20% - 强调文字颜色 6 5 5" xfId="411"/>
    <cellStyle name="20% - 强调文字颜色 6 5 5 2" xfId="905"/>
    <cellStyle name="20% - 强调文字颜色 6 5 5 2 2" xfId="1524"/>
    <cellStyle name="20% - 强调文字颜色 6 5 5 3" xfId="1523"/>
    <cellStyle name="20% - 强调文字颜色 6 5 6" xfId="478"/>
    <cellStyle name="20% - 强调文字颜色 6 5 6 2" xfId="972"/>
    <cellStyle name="20% - 强调文字颜色 6 5 6 2 2" xfId="1526"/>
    <cellStyle name="20% - 强调文字颜色 6 5 6 3" xfId="1525"/>
    <cellStyle name="20% - 强调文字颜色 6 5 7" xfId="637"/>
    <cellStyle name="20% - 强调文字颜色 6 5 7 2" xfId="1527"/>
    <cellStyle name="20% - 强调文字颜色 6 5 8" xfId="1516"/>
    <cellStyle name="20% - 强调文字颜色 6 6" xfId="138"/>
    <cellStyle name="20% - 强调文字颜色 6 6 2" xfId="651"/>
    <cellStyle name="20% - 强调文字颜色 6 6 2 2" xfId="1529"/>
    <cellStyle name="20% - 强调文字颜色 6 6 3" xfId="1528"/>
    <cellStyle name="20% - 强调文字颜色 6 7" xfId="203"/>
    <cellStyle name="20% - 强调文字颜色 6 7 2" xfId="716"/>
    <cellStyle name="20% - 强调文字颜色 6 7 2 2" xfId="1531"/>
    <cellStyle name="20% - 强调文字颜色 6 7 3" xfId="1530"/>
    <cellStyle name="20% - 强调文字颜色 6 8" xfId="276"/>
    <cellStyle name="20% - 强调文字颜色 6 8 2" xfId="783"/>
    <cellStyle name="20% - 强调文字颜色 6 8 2 2" xfId="1533"/>
    <cellStyle name="20% - 强调文字颜色 6 8 3" xfId="1532"/>
    <cellStyle name="20% - 强调文字颜色 6 9" xfId="356"/>
    <cellStyle name="20% - 强调文字颜色 6 9 2" xfId="850"/>
    <cellStyle name="20% - 强调文字颜色 6 9 2 2" xfId="1535"/>
    <cellStyle name="20% - 强调文字颜色 6 9 3" xfId="1534"/>
    <cellStyle name="20% - 着色 1 2" xfId="2161"/>
    <cellStyle name="20% - 着色 2 2" xfId="2165"/>
    <cellStyle name="20% - 着色 3 2" xfId="2169"/>
    <cellStyle name="20% - 着色 4 2" xfId="2173"/>
    <cellStyle name="20% - 着色 5 2" xfId="2177"/>
    <cellStyle name="20% - 着色 6 2" xfId="2181"/>
    <cellStyle name="40% - 强调文字颜色 1" xfId="24" builtinId="31" customBuiltin="1"/>
    <cellStyle name="40% - 强调文字颜色 1 10" xfId="414"/>
    <cellStyle name="40% - 强调文字颜色 1 10 2" xfId="908"/>
    <cellStyle name="40% - 强调文字颜色 1 10 2 2" xfId="1537"/>
    <cellStyle name="40% - 强调文字颜色 1 10 3" xfId="1536"/>
    <cellStyle name="40% - 强调文字颜色 1 11" xfId="493"/>
    <cellStyle name="40% - 强调文字颜色 1 11 2" xfId="985"/>
    <cellStyle name="40% - 强调文字颜色 1 11 2 2" xfId="1539"/>
    <cellStyle name="40% - 强调文字颜色 1 11 3" xfId="1538"/>
    <cellStyle name="40% - 强调文字颜色 1 12" xfId="484"/>
    <cellStyle name="40% - 强调文字颜色 1 12 2" xfId="976"/>
    <cellStyle name="40% - 强调文字颜色 1 12 2 2" xfId="1541"/>
    <cellStyle name="40% - 强调文字颜色 1 12 3" xfId="1540"/>
    <cellStyle name="40% - 强调文字颜色 1 13" xfId="487"/>
    <cellStyle name="40% - 强调文字颜色 1 13 2" xfId="979"/>
    <cellStyle name="40% - 强调文字颜色 1 13 2 2" xfId="1543"/>
    <cellStyle name="40% - 强调文字颜色 1 13 3" xfId="1542"/>
    <cellStyle name="40% - 强调文字颜色 1 14" xfId="491"/>
    <cellStyle name="40% - 强调文字颜色 1 14 2" xfId="983"/>
    <cellStyle name="40% - 强调文字颜色 1 14 2 2" xfId="1545"/>
    <cellStyle name="40% - 强调文字颜色 1 14 3" xfId="1544"/>
    <cellStyle name="40% - 强调文字颜色 1 15" xfId="544"/>
    <cellStyle name="40% - 强调文字颜色 1 15 2" xfId="1035"/>
    <cellStyle name="40% - 强调文字颜色 1 15 2 2" xfId="1547"/>
    <cellStyle name="40% - 强调文字颜色 1 15 3" xfId="1546"/>
    <cellStyle name="40% - 强调文字颜色 1 16" xfId="538"/>
    <cellStyle name="40% - 强调文字颜色 1 16 2" xfId="1029"/>
    <cellStyle name="40% - 强调文字颜色 1 16 2 2" xfId="1549"/>
    <cellStyle name="40% - 强调文字颜色 1 16 3" xfId="1548"/>
    <cellStyle name="40% - 强调文字颜色 1 17" xfId="573"/>
    <cellStyle name="40% - 强调文字颜色 1 17 2" xfId="1550"/>
    <cellStyle name="40% - 强调文字颜色 1 18" xfId="1076"/>
    <cellStyle name="40% - 强调文字颜色 1 18 2" xfId="1551"/>
    <cellStyle name="40% - 强调文字颜色 1 2" xfId="64"/>
    <cellStyle name="40% - 强调文字颜色 1 2 2" xfId="145"/>
    <cellStyle name="40% - 强调文字颜色 1 2 2 2" xfId="658"/>
    <cellStyle name="40% - 强调文字颜色 1 2 2 2 2" xfId="1554"/>
    <cellStyle name="40% - 强调文字颜色 1 2 2 3" xfId="1553"/>
    <cellStyle name="40% - 强调文字颜色 1 2 3" xfId="210"/>
    <cellStyle name="40% - 强调文字颜色 1 2 3 2" xfId="723"/>
    <cellStyle name="40% - 强调文字颜色 1 2 3 2 2" xfId="1556"/>
    <cellStyle name="40% - 强调文字颜色 1 2 3 3" xfId="1555"/>
    <cellStyle name="40% - 强调文字颜色 1 2 4" xfId="283"/>
    <cellStyle name="40% - 强调文字颜色 1 2 4 2" xfId="790"/>
    <cellStyle name="40% - 强调文字颜色 1 2 4 2 2" xfId="1558"/>
    <cellStyle name="40% - 强调文字颜色 1 2 4 3" xfId="1557"/>
    <cellStyle name="40% - 强调文字颜色 1 2 5" xfId="363"/>
    <cellStyle name="40% - 强调文字颜色 1 2 5 2" xfId="857"/>
    <cellStyle name="40% - 强调文字颜色 1 2 5 2 2" xfId="1560"/>
    <cellStyle name="40% - 强调文字颜色 1 2 5 3" xfId="1559"/>
    <cellStyle name="40% - 强调文字颜色 1 2 6" xfId="430"/>
    <cellStyle name="40% - 强调文字颜色 1 2 6 2" xfId="924"/>
    <cellStyle name="40% - 强调文字颜色 1 2 6 2 2" xfId="1562"/>
    <cellStyle name="40% - 强调文字颜色 1 2 6 3" xfId="1561"/>
    <cellStyle name="40% - 强调文字颜色 1 2 7" xfId="589"/>
    <cellStyle name="40% - 强调文字颜色 1 2 7 2" xfId="1563"/>
    <cellStyle name="40% - 强调文字颜色 1 2 8" xfId="1552"/>
    <cellStyle name="40% - 强调文字颜色 1 3" xfId="77"/>
    <cellStyle name="40% - 强调文字颜色 1 3 2" xfId="158"/>
    <cellStyle name="40% - 强调文字颜色 1 3 2 2" xfId="671"/>
    <cellStyle name="40% - 强调文字颜色 1 3 2 2 2" xfId="1566"/>
    <cellStyle name="40% - 强调文字颜色 1 3 2 3" xfId="1565"/>
    <cellStyle name="40% - 强调文字颜色 1 3 3" xfId="223"/>
    <cellStyle name="40% - 强调文字颜色 1 3 3 2" xfId="736"/>
    <cellStyle name="40% - 强调文字颜色 1 3 3 2 2" xfId="1568"/>
    <cellStyle name="40% - 强调文字颜色 1 3 3 3" xfId="1567"/>
    <cellStyle name="40% - 强调文字颜色 1 3 4" xfId="296"/>
    <cellStyle name="40% - 强调文字颜色 1 3 4 2" xfId="803"/>
    <cellStyle name="40% - 强调文字颜色 1 3 4 2 2" xfId="1570"/>
    <cellStyle name="40% - 强调文字颜色 1 3 4 3" xfId="1569"/>
    <cellStyle name="40% - 强调文字颜色 1 3 5" xfId="376"/>
    <cellStyle name="40% - 强调文字颜色 1 3 5 2" xfId="870"/>
    <cellStyle name="40% - 强调文字颜色 1 3 5 2 2" xfId="1572"/>
    <cellStyle name="40% - 强调文字颜色 1 3 5 3" xfId="1571"/>
    <cellStyle name="40% - 强调文字颜色 1 3 6" xfId="443"/>
    <cellStyle name="40% - 强调文字颜色 1 3 6 2" xfId="937"/>
    <cellStyle name="40% - 强调文字颜色 1 3 6 2 2" xfId="1574"/>
    <cellStyle name="40% - 强调文字颜色 1 3 6 3" xfId="1573"/>
    <cellStyle name="40% - 强调文字颜色 1 3 7" xfId="602"/>
    <cellStyle name="40% - 强调文字颜色 1 3 7 2" xfId="1575"/>
    <cellStyle name="40% - 强调文字颜色 1 3 8" xfId="1564"/>
    <cellStyle name="40% - 强调文字颜色 1 4" xfId="90"/>
    <cellStyle name="40% - 强调文字颜色 1 4 2" xfId="171"/>
    <cellStyle name="40% - 强调文字颜色 1 4 2 2" xfId="684"/>
    <cellStyle name="40% - 强调文字颜色 1 4 2 2 2" xfId="1578"/>
    <cellStyle name="40% - 强调文字颜色 1 4 2 3" xfId="1577"/>
    <cellStyle name="40% - 强调文字颜色 1 4 3" xfId="236"/>
    <cellStyle name="40% - 强调文字颜色 1 4 3 2" xfId="749"/>
    <cellStyle name="40% - 强调文字颜色 1 4 3 2 2" xfId="1580"/>
    <cellStyle name="40% - 强调文字颜色 1 4 3 3" xfId="1579"/>
    <cellStyle name="40% - 强调文字颜色 1 4 4" xfId="309"/>
    <cellStyle name="40% - 强调文字颜色 1 4 4 2" xfId="816"/>
    <cellStyle name="40% - 强调文字颜色 1 4 4 2 2" xfId="1582"/>
    <cellStyle name="40% - 强调文字颜色 1 4 4 3" xfId="1581"/>
    <cellStyle name="40% - 强调文字颜色 1 4 5" xfId="389"/>
    <cellStyle name="40% - 强调文字颜色 1 4 5 2" xfId="883"/>
    <cellStyle name="40% - 强调文字颜色 1 4 5 2 2" xfId="1584"/>
    <cellStyle name="40% - 强调文字颜色 1 4 5 3" xfId="1583"/>
    <cellStyle name="40% - 强调文字颜色 1 4 6" xfId="456"/>
    <cellStyle name="40% - 强调文字颜色 1 4 6 2" xfId="950"/>
    <cellStyle name="40% - 强调文字颜色 1 4 6 2 2" xfId="1586"/>
    <cellStyle name="40% - 强调文字颜色 1 4 6 3" xfId="1585"/>
    <cellStyle name="40% - 强调文字颜色 1 4 7" xfId="615"/>
    <cellStyle name="40% - 强调文字颜色 1 4 7 2" xfId="1587"/>
    <cellStyle name="40% - 强调文字颜色 1 4 8" xfId="1576"/>
    <cellStyle name="40% - 强调文字颜色 1 5" xfId="103"/>
    <cellStyle name="40% - 强调文字颜色 1 5 2" xfId="184"/>
    <cellStyle name="40% - 强调文字颜色 1 5 2 2" xfId="697"/>
    <cellStyle name="40% - 强调文字颜色 1 5 2 2 2" xfId="1590"/>
    <cellStyle name="40% - 强调文字颜色 1 5 2 3" xfId="1589"/>
    <cellStyle name="40% - 强调文字颜色 1 5 3" xfId="249"/>
    <cellStyle name="40% - 强调文字颜色 1 5 3 2" xfId="762"/>
    <cellStyle name="40% - 强调文字颜色 1 5 3 2 2" xfId="1592"/>
    <cellStyle name="40% - 强调文字颜色 1 5 3 3" xfId="1591"/>
    <cellStyle name="40% - 强调文字颜色 1 5 4" xfId="322"/>
    <cellStyle name="40% - 强调文字颜色 1 5 4 2" xfId="829"/>
    <cellStyle name="40% - 强调文字颜色 1 5 4 2 2" xfId="1594"/>
    <cellStyle name="40% - 强调文字颜色 1 5 4 3" xfId="1593"/>
    <cellStyle name="40% - 强调文字颜色 1 5 5" xfId="402"/>
    <cellStyle name="40% - 强调文字颜色 1 5 5 2" xfId="896"/>
    <cellStyle name="40% - 强调文字颜色 1 5 5 2 2" xfId="1596"/>
    <cellStyle name="40% - 强调文字颜色 1 5 5 3" xfId="1595"/>
    <cellStyle name="40% - 强调文字颜色 1 5 6" xfId="469"/>
    <cellStyle name="40% - 强调文字颜色 1 5 6 2" xfId="963"/>
    <cellStyle name="40% - 强调文字颜色 1 5 6 2 2" xfId="1598"/>
    <cellStyle name="40% - 强调文字颜色 1 5 6 3" xfId="1597"/>
    <cellStyle name="40% - 强调文字颜色 1 5 7" xfId="628"/>
    <cellStyle name="40% - 强调文字颜色 1 5 7 2" xfId="1599"/>
    <cellStyle name="40% - 强调文字颜色 1 5 8" xfId="1588"/>
    <cellStyle name="40% - 强调文字颜色 1 6" xfId="123"/>
    <cellStyle name="40% - 强调文字颜色 1 6 2" xfId="640"/>
    <cellStyle name="40% - 强调文字颜色 1 6 2 2" xfId="1601"/>
    <cellStyle name="40% - 强调文字颜色 1 6 3" xfId="1600"/>
    <cellStyle name="40% - 强调文字颜色 1 7" xfId="127"/>
    <cellStyle name="40% - 强调文字颜色 1 7 2" xfId="643"/>
    <cellStyle name="40% - 强调文字颜色 1 7 2 2" xfId="1603"/>
    <cellStyle name="40% - 强调文字颜色 1 7 3" xfId="1602"/>
    <cellStyle name="40% - 强调文字颜色 1 8" xfId="267"/>
    <cellStyle name="40% - 强调文字颜色 1 8 2" xfId="774"/>
    <cellStyle name="40% - 强调文字颜色 1 8 2 2" xfId="1605"/>
    <cellStyle name="40% - 强调文字颜色 1 8 3" xfId="1604"/>
    <cellStyle name="40% - 强调文字颜色 1 9" xfId="347"/>
    <cellStyle name="40% - 强调文字颜色 1 9 2" xfId="841"/>
    <cellStyle name="40% - 强调文字颜色 1 9 2 2" xfId="1607"/>
    <cellStyle name="40% - 强调文字颜色 1 9 3" xfId="1606"/>
    <cellStyle name="40% - 强调文字颜色 2" xfId="28" builtinId="35" customBuiltin="1"/>
    <cellStyle name="40% - 强调文字颜色 2 10" xfId="416"/>
    <cellStyle name="40% - 强调文字颜色 2 10 2" xfId="910"/>
    <cellStyle name="40% - 强调文字颜色 2 10 2 2" xfId="1609"/>
    <cellStyle name="40% - 强调文字颜色 2 10 3" xfId="1608"/>
    <cellStyle name="40% - 强调文字颜色 2 11" xfId="496"/>
    <cellStyle name="40% - 强调文字颜色 2 11 2" xfId="988"/>
    <cellStyle name="40% - 强调文字颜色 2 11 2 2" xfId="1611"/>
    <cellStyle name="40% - 强调文字颜色 2 11 3" xfId="1610"/>
    <cellStyle name="40% - 强调文字颜色 2 12" xfId="503"/>
    <cellStyle name="40% - 强调文字颜色 2 12 2" xfId="995"/>
    <cellStyle name="40% - 强调文字颜色 2 12 2 2" xfId="1613"/>
    <cellStyle name="40% - 强调文字颜色 2 12 3" xfId="1612"/>
    <cellStyle name="40% - 强调文字颜色 2 13" xfId="513"/>
    <cellStyle name="40% - 强调文字颜色 2 13 2" xfId="1005"/>
    <cellStyle name="40% - 强调文字颜色 2 13 2 2" xfId="1615"/>
    <cellStyle name="40% - 强调文字颜色 2 13 3" xfId="1614"/>
    <cellStyle name="40% - 强调文字颜色 2 14" xfId="523"/>
    <cellStyle name="40% - 强调文字颜色 2 14 2" xfId="1015"/>
    <cellStyle name="40% - 强调文字颜色 2 14 2 2" xfId="1617"/>
    <cellStyle name="40% - 强调文字颜色 2 14 3" xfId="1616"/>
    <cellStyle name="40% - 强调文字颜色 2 15" xfId="547"/>
    <cellStyle name="40% - 强调文字颜色 2 15 2" xfId="1038"/>
    <cellStyle name="40% - 强调文字颜色 2 15 2 2" xfId="1619"/>
    <cellStyle name="40% - 强调文字颜色 2 15 3" xfId="1618"/>
    <cellStyle name="40% - 强调文字颜色 2 16" xfId="552"/>
    <cellStyle name="40% - 强调文字颜色 2 16 2" xfId="1043"/>
    <cellStyle name="40% - 强调文字颜色 2 16 2 2" xfId="1621"/>
    <cellStyle name="40% - 强调文字颜色 2 16 3" xfId="1620"/>
    <cellStyle name="40% - 强调文字颜色 2 17" xfId="575"/>
    <cellStyle name="40% - 强调文字颜色 2 17 2" xfId="1622"/>
    <cellStyle name="40% - 强调文字颜色 2 18" xfId="1080"/>
    <cellStyle name="40% - 强调文字颜色 2 18 2" xfId="1623"/>
    <cellStyle name="40% - 强调文字颜色 2 2" xfId="66"/>
    <cellStyle name="40% - 强调文字颜色 2 2 2" xfId="147"/>
    <cellStyle name="40% - 强调文字颜色 2 2 2 2" xfId="660"/>
    <cellStyle name="40% - 强调文字颜色 2 2 2 2 2" xfId="1626"/>
    <cellStyle name="40% - 强调文字颜色 2 2 2 3" xfId="1625"/>
    <cellStyle name="40% - 强调文字颜色 2 2 3" xfId="212"/>
    <cellStyle name="40% - 强调文字颜色 2 2 3 2" xfId="725"/>
    <cellStyle name="40% - 强调文字颜色 2 2 3 2 2" xfId="1628"/>
    <cellStyle name="40% - 强调文字颜色 2 2 3 3" xfId="1627"/>
    <cellStyle name="40% - 强调文字颜色 2 2 4" xfId="285"/>
    <cellStyle name="40% - 强调文字颜色 2 2 4 2" xfId="792"/>
    <cellStyle name="40% - 强调文字颜色 2 2 4 2 2" xfId="1630"/>
    <cellStyle name="40% - 强调文字颜色 2 2 4 3" xfId="1629"/>
    <cellStyle name="40% - 强调文字颜色 2 2 5" xfId="365"/>
    <cellStyle name="40% - 强调文字颜色 2 2 5 2" xfId="859"/>
    <cellStyle name="40% - 强调文字颜色 2 2 5 2 2" xfId="1632"/>
    <cellStyle name="40% - 强调文字颜色 2 2 5 3" xfId="1631"/>
    <cellStyle name="40% - 强调文字颜色 2 2 6" xfId="432"/>
    <cellStyle name="40% - 强调文字颜色 2 2 6 2" xfId="926"/>
    <cellStyle name="40% - 强调文字颜色 2 2 6 2 2" xfId="1634"/>
    <cellStyle name="40% - 强调文字颜色 2 2 6 3" xfId="1633"/>
    <cellStyle name="40% - 强调文字颜色 2 2 7" xfId="591"/>
    <cellStyle name="40% - 强调文字颜色 2 2 7 2" xfId="1635"/>
    <cellStyle name="40% - 强调文字颜色 2 2 8" xfId="1624"/>
    <cellStyle name="40% - 强调文字颜色 2 3" xfId="79"/>
    <cellStyle name="40% - 强调文字颜色 2 3 2" xfId="160"/>
    <cellStyle name="40% - 强调文字颜色 2 3 2 2" xfId="673"/>
    <cellStyle name="40% - 强调文字颜色 2 3 2 2 2" xfId="1638"/>
    <cellStyle name="40% - 强调文字颜色 2 3 2 3" xfId="1637"/>
    <cellStyle name="40% - 强调文字颜色 2 3 3" xfId="225"/>
    <cellStyle name="40% - 强调文字颜色 2 3 3 2" xfId="738"/>
    <cellStyle name="40% - 强调文字颜色 2 3 3 2 2" xfId="1640"/>
    <cellStyle name="40% - 强调文字颜色 2 3 3 3" xfId="1639"/>
    <cellStyle name="40% - 强调文字颜色 2 3 4" xfId="298"/>
    <cellStyle name="40% - 强调文字颜色 2 3 4 2" xfId="805"/>
    <cellStyle name="40% - 强调文字颜色 2 3 4 2 2" xfId="1642"/>
    <cellStyle name="40% - 强调文字颜色 2 3 4 3" xfId="1641"/>
    <cellStyle name="40% - 强调文字颜色 2 3 5" xfId="378"/>
    <cellStyle name="40% - 强调文字颜色 2 3 5 2" xfId="872"/>
    <cellStyle name="40% - 强调文字颜色 2 3 5 2 2" xfId="1644"/>
    <cellStyle name="40% - 强调文字颜色 2 3 5 3" xfId="1643"/>
    <cellStyle name="40% - 强调文字颜色 2 3 6" xfId="445"/>
    <cellStyle name="40% - 强调文字颜色 2 3 6 2" xfId="939"/>
    <cellStyle name="40% - 强调文字颜色 2 3 6 2 2" xfId="1646"/>
    <cellStyle name="40% - 强调文字颜色 2 3 6 3" xfId="1645"/>
    <cellStyle name="40% - 强调文字颜色 2 3 7" xfId="604"/>
    <cellStyle name="40% - 强调文字颜色 2 3 7 2" xfId="1647"/>
    <cellStyle name="40% - 强调文字颜色 2 3 8" xfId="1636"/>
    <cellStyle name="40% - 强调文字颜色 2 4" xfId="92"/>
    <cellStyle name="40% - 强调文字颜色 2 4 2" xfId="173"/>
    <cellStyle name="40% - 强调文字颜色 2 4 2 2" xfId="686"/>
    <cellStyle name="40% - 强调文字颜色 2 4 2 2 2" xfId="1650"/>
    <cellStyle name="40% - 强调文字颜色 2 4 2 3" xfId="1649"/>
    <cellStyle name="40% - 强调文字颜色 2 4 3" xfId="238"/>
    <cellStyle name="40% - 强调文字颜色 2 4 3 2" xfId="751"/>
    <cellStyle name="40% - 强调文字颜色 2 4 3 2 2" xfId="1652"/>
    <cellStyle name="40% - 强调文字颜色 2 4 3 3" xfId="1651"/>
    <cellStyle name="40% - 强调文字颜色 2 4 4" xfId="311"/>
    <cellStyle name="40% - 强调文字颜色 2 4 4 2" xfId="818"/>
    <cellStyle name="40% - 强调文字颜色 2 4 4 2 2" xfId="1654"/>
    <cellStyle name="40% - 强调文字颜色 2 4 4 3" xfId="1653"/>
    <cellStyle name="40% - 强调文字颜色 2 4 5" xfId="391"/>
    <cellStyle name="40% - 强调文字颜色 2 4 5 2" xfId="885"/>
    <cellStyle name="40% - 强调文字颜色 2 4 5 2 2" xfId="1656"/>
    <cellStyle name="40% - 强调文字颜色 2 4 5 3" xfId="1655"/>
    <cellStyle name="40% - 强调文字颜色 2 4 6" xfId="458"/>
    <cellStyle name="40% - 强调文字颜色 2 4 6 2" xfId="952"/>
    <cellStyle name="40% - 强调文字颜色 2 4 6 2 2" xfId="1658"/>
    <cellStyle name="40% - 强调文字颜色 2 4 6 3" xfId="1657"/>
    <cellStyle name="40% - 强调文字颜色 2 4 7" xfId="617"/>
    <cellStyle name="40% - 强调文字颜色 2 4 7 2" xfId="1659"/>
    <cellStyle name="40% - 强调文字颜色 2 4 8" xfId="1648"/>
    <cellStyle name="40% - 强调文字颜色 2 5" xfId="105"/>
    <cellStyle name="40% - 强调文字颜色 2 5 2" xfId="186"/>
    <cellStyle name="40% - 强调文字颜色 2 5 2 2" xfId="699"/>
    <cellStyle name="40% - 强调文字颜色 2 5 2 2 2" xfId="1662"/>
    <cellStyle name="40% - 强调文字颜色 2 5 2 3" xfId="1661"/>
    <cellStyle name="40% - 强调文字颜色 2 5 3" xfId="251"/>
    <cellStyle name="40% - 强调文字颜色 2 5 3 2" xfId="764"/>
    <cellStyle name="40% - 强调文字颜色 2 5 3 2 2" xfId="1664"/>
    <cellStyle name="40% - 强调文字颜色 2 5 3 3" xfId="1663"/>
    <cellStyle name="40% - 强调文字颜色 2 5 4" xfId="324"/>
    <cellStyle name="40% - 强调文字颜色 2 5 4 2" xfId="831"/>
    <cellStyle name="40% - 强调文字颜色 2 5 4 2 2" xfId="1666"/>
    <cellStyle name="40% - 强调文字颜色 2 5 4 3" xfId="1665"/>
    <cellStyle name="40% - 强调文字颜色 2 5 5" xfId="404"/>
    <cellStyle name="40% - 强调文字颜色 2 5 5 2" xfId="898"/>
    <cellStyle name="40% - 强调文字颜色 2 5 5 2 2" xfId="1668"/>
    <cellStyle name="40% - 强调文字颜色 2 5 5 3" xfId="1667"/>
    <cellStyle name="40% - 强调文字颜色 2 5 6" xfId="471"/>
    <cellStyle name="40% - 强调文字颜色 2 5 6 2" xfId="965"/>
    <cellStyle name="40% - 强调文字颜色 2 5 6 2 2" xfId="1670"/>
    <cellStyle name="40% - 强调文字颜色 2 5 6 3" xfId="1669"/>
    <cellStyle name="40% - 强调文字颜色 2 5 7" xfId="630"/>
    <cellStyle name="40% - 强调文字颜色 2 5 7 2" xfId="1671"/>
    <cellStyle name="40% - 强调文字颜色 2 5 8" xfId="1660"/>
    <cellStyle name="40% - 强调文字颜色 2 6" xfId="126"/>
    <cellStyle name="40% - 强调文字颜色 2 6 2" xfId="642"/>
    <cellStyle name="40% - 强调文字颜色 2 6 2 2" xfId="1673"/>
    <cellStyle name="40% - 强调文字颜色 2 6 3" xfId="1672"/>
    <cellStyle name="40% - 强调文字颜色 2 7" xfId="196"/>
    <cellStyle name="40% - 强调文字颜色 2 7 2" xfId="709"/>
    <cellStyle name="40% - 强调文字颜色 2 7 2 2" xfId="1675"/>
    <cellStyle name="40% - 强调文字颜色 2 7 3" xfId="1674"/>
    <cellStyle name="40% - 强调文字颜色 2 8" xfId="269"/>
    <cellStyle name="40% - 强调文字颜色 2 8 2" xfId="776"/>
    <cellStyle name="40% - 强调文字颜色 2 8 2 2" xfId="1677"/>
    <cellStyle name="40% - 强调文字颜色 2 8 3" xfId="1676"/>
    <cellStyle name="40% - 强调文字颜色 2 9" xfId="349"/>
    <cellStyle name="40% - 强调文字颜色 2 9 2" xfId="843"/>
    <cellStyle name="40% - 强调文字颜色 2 9 2 2" xfId="1679"/>
    <cellStyle name="40% - 强调文字颜色 2 9 3" xfId="1678"/>
    <cellStyle name="40% - 强调文字颜色 3" xfId="32" builtinId="39" customBuiltin="1"/>
    <cellStyle name="40% - 强调文字颜色 3 10" xfId="418"/>
    <cellStyle name="40% - 强调文字颜色 3 10 2" xfId="912"/>
    <cellStyle name="40% - 强调文字颜色 3 10 2 2" xfId="1681"/>
    <cellStyle name="40% - 强调文字颜色 3 10 3" xfId="1680"/>
    <cellStyle name="40% - 强调文字颜色 3 11" xfId="500"/>
    <cellStyle name="40% - 强调文字颜色 3 11 2" xfId="992"/>
    <cellStyle name="40% - 强调文字颜色 3 11 2 2" xfId="1683"/>
    <cellStyle name="40% - 强调文字颜色 3 11 3" xfId="1682"/>
    <cellStyle name="40% - 强调文字颜色 3 12" xfId="510"/>
    <cellStyle name="40% - 强调文字颜色 3 12 2" xfId="1002"/>
    <cellStyle name="40% - 强调文字颜色 3 12 2 2" xfId="1685"/>
    <cellStyle name="40% - 强调文字颜色 3 12 3" xfId="1684"/>
    <cellStyle name="40% - 强调文字颜色 3 13" xfId="520"/>
    <cellStyle name="40% - 强调文字颜色 3 13 2" xfId="1012"/>
    <cellStyle name="40% - 强调文字颜色 3 13 2 2" xfId="1687"/>
    <cellStyle name="40% - 强调文字颜色 3 13 3" xfId="1686"/>
    <cellStyle name="40% - 强调文字颜色 3 14" xfId="529"/>
    <cellStyle name="40% - 强调文字颜色 3 14 2" xfId="1021"/>
    <cellStyle name="40% - 强调文字颜色 3 14 2 2" xfId="1689"/>
    <cellStyle name="40% - 强调文字颜色 3 14 3" xfId="1688"/>
    <cellStyle name="40% - 强调文字颜色 3 15" xfId="549"/>
    <cellStyle name="40% - 强调文字颜色 3 15 2" xfId="1040"/>
    <cellStyle name="40% - 强调文字颜色 3 15 2 2" xfId="1691"/>
    <cellStyle name="40% - 强调文字颜色 3 15 3" xfId="1690"/>
    <cellStyle name="40% - 强调文字颜色 3 16" xfId="558"/>
    <cellStyle name="40% - 强调文字颜色 3 16 2" xfId="1049"/>
    <cellStyle name="40% - 强调文字颜色 3 16 2 2" xfId="1693"/>
    <cellStyle name="40% - 强调文字颜色 3 16 3" xfId="1692"/>
    <cellStyle name="40% - 强调文字颜色 3 17" xfId="577"/>
    <cellStyle name="40% - 强调文字颜色 3 17 2" xfId="1694"/>
    <cellStyle name="40% - 强调文字颜色 3 18" xfId="1084"/>
    <cellStyle name="40% - 强调文字颜色 3 18 2" xfId="1695"/>
    <cellStyle name="40% - 强调文字颜色 3 2" xfId="68"/>
    <cellStyle name="40% - 强调文字颜色 3 2 2" xfId="149"/>
    <cellStyle name="40% - 强调文字颜色 3 2 2 2" xfId="662"/>
    <cellStyle name="40% - 强调文字颜色 3 2 2 2 2" xfId="1698"/>
    <cellStyle name="40% - 强调文字颜色 3 2 2 3" xfId="1697"/>
    <cellStyle name="40% - 强调文字颜色 3 2 3" xfId="214"/>
    <cellStyle name="40% - 强调文字颜色 3 2 3 2" xfId="727"/>
    <cellStyle name="40% - 强调文字颜色 3 2 3 2 2" xfId="1700"/>
    <cellStyle name="40% - 强调文字颜色 3 2 3 3" xfId="1699"/>
    <cellStyle name="40% - 强调文字颜色 3 2 4" xfId="287"/>
    <cellStyle name="40% - 强调文字颜色 3 2 4 2" xfId="794"/>
    <cellStyle name="40% - 强调文字颜色 3 2 4 2 2" xfId="1702"/>
    <cellStyle name="40% - 强调文字颜色 3 2 4 3" xfId="1701"/>
    <cellStyle name="40% - 强调文字颜色 3 2 5" xfId="367"/>
    <cellStyle name="40% - 强调文字颜色 3 2 5 2" xfId="861"/>
    <cellStyle name="40% - 强调文字颜色 3 2 5 2 2" xfId="1704"/>
    <cellStyle name="40% - 强调文字颜色 3 2 5 3" xfId="1703"/>
    <cellStyle name="40% - 强调文字颜色 3 2 6" xfId="434"/>
    <cellStyle name="40% - 强调文字颜色 3 2 6 2" xfId="928"/>
    <cellStyle name="40% - 强调文字颜色 3 2 6 2 2" xfId="1706"/>
    <cellStyle name="40% - 强调文字颜色 3 2 6 3" xfId="1705"/>
    <cellStyle name="40% - 强调文字颜色 3 2 7" xfId="593"/>
    <cellStyle name="40% - 强调文字颜色 3 2 7 2" xfId="1707"/>
    <cellStyle name="40% - 强调文字颜色 3 2 8" xfId="1696"/>
    <cellStyle name="40% - 强调文字颜色 3 3" xfId="81"/>
    <cellStyle name="40% - 强调文字颜色 3 3 2" xfId="162"/>
    <cellStyle name="40% - 强调文字颜色 3 3 2 2" xfId="675"/>
    <cellStyle name="40% - 强调文字颜色 3 3 2 2 2" xfId="1710"/>
    <cellStyle name="40% - 强调文字颜色 3 3 2 3" xfId="1709"/>
    <cellStyle name="40% - 强调文字颜色 3 3 3" xfId="227"/>
    <cellStyle name="40% - 强调文字颜色 3 3 3 2" xfId="740"/>
    <cellStyle name="40% - 强调文字颜色 3 3 3 2 2" xfId="1712"/>
    <cellStyle name="40% - 强调文字颜色 3 3 3 3" xfId="1711"/>
    <cellStyle name="40% - 强调文字颜色 3 3 4" xfId="300"/>
    <cellStyle name="40% - 强调文字颜色 3 3 4 2" xfId="807"/>
    <cellStyle name="40% - 强调文字颜色 3 3 4 2 2" xfId="1714"/>
    <cellStyle name="40% - 强调文字颜色 3 3 4 3" xfId="1713"/>
    <cellStyle name="40% - 强调文字颜色 3 3 5" xfId="380"/>
    <cellStyle name="40% - 强调文字颜色 3 3 5 2" xfId="874"/>
    <cellStyle name="40% - 强调文字颜色 3 3 5 2 2" xfId="1716"/>
    <cellStyle name="40% - 强调文字颜色 3 3 5 3" xfId="1715"/>
    <cellStyle name="40% - 强调文字颜色 3 3 6" xfId="447"/>
    <cellStyle name="40% - 强调文字颜色 3 3 6 2" xfId="941"/>
    <cellStyle name="40% - 强调文字颜色 3 3 6 2 2" xfId="1718"/>
    <cellStyle name="40% - 强调文字颜色 3 3 6 3" xfId="1717"/>
    <cellStyle name="40% - 强调文字颜色 3 3 7" xfId="606"/>
    <cellStyle name="40% - 强调文字颜色 3 3 7 2" xfId="1719"/>
    <cellStyle name="40% - 强调文字颜色 3 3 8" xfId="1708"/>
    <cellStyle name="40% - 强调文字颜色 3 4" xfId="94"/>
    <cellStyle name="40% - 强调文字颜色 3 4 2" xfId="175"/>
    <cellStyle name="40% - 强调文字颜色 3 4 2 2" xfId="688"/>
    <cellStyle name="40% - 强调文字颜色 3 4 2 2 2" xfId="1722"/>
    <cellStyle name="40% - 强调文字颜色 3 4 2 3" xfId="1721"/>
    <cellStyle name="40% - 强调文字颜色 3 4 3" xfId="240"/>
    <cellStyle name="40% - 强调文字颜色 3 4 3 2" xfId="753"/>
    <cellStyle name="40% - 强调文字颜色 3 4 3 2 2" xfId="1724"/>
    <cellStyle name="40% - 强调文字颜色 3 4 3 3" xfId="1723"/>
    <cellStyle name="40% - 强调文字颜色 3 4 4" xfId="313"/>
    <cellStyle name="40% - 强调文字颜色 3 4 4 2" xfId="820"/>
    <cellStyle name="40% - 强调文字颜色 3 4 4 2 2" xfId="1726"/>
    <cellStyle name="40% - 强调文字颜色 3 4 4 3" xfId="1725"/>
    <cellStyle name="40% - 强调文字颜色 3 4 5" xfId="393"/>
    <cellStyle name="40% - 强调文字颜色 3 4 5 2" xfId="887"/>
    <cellStyle name="40% - 强调文字颜色 3 4 5 2 2" xfId="1728"/>
    <cellStyle name="40% - 强调文字颜色 3 4 5 3" xfId="1727"/>
    <cellStyle name="40% - 强调文字颜色 3 4 6" xfId="460"/>
    <cellStyle name="40% - 强调文字颜色 3 4 6 2" xfId="954"/>
    <cellStyle name="40% - 强调文字颜色 3 4 6 2 2" xfId="1730"/>
    <cellStyle name="40% - 强调文字颜色 3 4 6 3" xfId="1729"/>
    <cellStyle name="40% - 强调文字颜色 3 4 7" xfId="619"/>
    <cellStyle name="40% - 强调文字颜色 3 4 7 2" xfId="1731"/>
    <cellStyle name="40% - 强调文字颜色 3 4 8" xfId="1720"/>
    <cellStyle name="40% - 强调文字颜色 3 5" xfId="107"/>
    <cellStyle name="40% - 强调文字颜色 3 5 2" xfId="188"/>
    <cellStyle name="40% - 强调文字颜色 3 5 2 2" xfId="701"/>
    <cellStyle name="40% - 强调文字颜色 3 5 2 2 2" xfId="1734"/>
    <cellStyle name="40% - 强调文字颜色 3 5 2 3" xfId="1733"/>
    <cellStyle name="40% - 强调文字颜色 3 5 3" xfId="253"/>
    <cellStyle name="40% - 强调文字颜色 3 5 3 2" xfId="766"/>
    <cellStyle name="40% - 强调文字颜色 3 5 3 2 2" xfId="1736"/>
    <cellStyle name="40% - 强调文字颜色 3 5 3 3" xfId="1735"/>
    <cellStyle name="40% - 强调文字颜色 3 5 4" xfId="326"/>
    <cellStyle name="40% - 强调文字颜色 3 5 4 2" xfId="833"/>
    <cellStyle name="40% - 强调文字颜色 3 5 4 2 2" xfId="1738"/>
    <cellStyle name="40% - 强调文字颜色 3 5 4 3" xfId="1737"/>
    <cellStyle name="40% - 强调文字颜色 3 5 5" xfId="406"/>
    <cellStyle name="40% - 强调文字颜色 3 5 5 2" xfId="900"/>
    <cellStyle name="40% - 强调文字颜色 3 5 5 2 2" xfId="1740"/>
    <cellStyle name="40% - 强调文字颜色 3 5 5 3" xfId="1739"/>
    <cellStyle name="40% - 强调文字颜色 3 5 6" xfId="473"/>
    <cellStyle name="40% - 强调文字颜色 3 5 6 2" xfId="967"/>
    <cellStyle name="40% - 强调文字颜色 3 5 6 2 2" xfId="1742"/>
    <cellStyle name="40% - 强调文字颜色 3 5 6 3" xfId="1741"/>
    <cellStyle name="40% - 强调文字颜色 3 5 7" xfId="632"/>
    <cellStyle name="40% - 强调文字颜色 3 5 7 2" xfId="1743"/>
    <cellStyle name="40% - 强调文字颜色 3 5 8" xfId="1732"/>
    <cellStyle name="40% - 强调文字颜色 3 6" xfId="129"/>
    <cellStyle name="40% - 强调文字颜色 3 6 2" xfId="645"/>
    <cellStyle name="40% - 强调文字颜色 3 6 2 2" xfId="1745"/>
    <cellStyle name="40% - 强调文字颜色 3 6 3" xfId="1744"/>
    <cellStyle name="40% - 强调文字颜色 3 7" xfId="198"/>
    <cellStyle name="40% - 强调文字颜色 3 7 2" xfId="711"/>
    <cellStyle name="40% - 强调文字颜色 3 7 2 2" xfId="1747"/>
    <cellStyle name="40% - 强调文字颜色 3 7 3" xfId="1746"/>
    <cellStyle name="40% - 强调文字颜色 3 8" xfId="271"/>
    <cellStyle name="40% - 强调文字颜色 3 8 2" xfId="778"/>
    <cellStyle name="40% - 强调文字颜色 3 8 2 2" xfId="1749"/>
    <cellStyle name="40% - 强调文字颜色 3 8 3" xfId="1748"/>
    <cellStyle name="40% - 强调文字颜色 3 9" xfId="351"/>
    <cellStyle name="40% - 强调文字颜色 3 9 2" xfId="845"/>
    <cellStyle name="40% - 强调文字颜色 3 9 2 2" xfId="1751"/>
    <cellStyle name="40% - 强调文字颜色 3 9 3" xfId="1750"/>
    <cellStyle name="40% - 强调文字颜色 4" xfId="36" builtinId="43" customBuiltin="1"/>
    <cellStyle name="40% - 强调文字颜色 4 10" xfId="420"/>
    <cellStyle name="40% - 强调文字颜色 4 10 2" xfId="914"/>
    <cellStyle name="40% - 强调文字颜色 4 10 2 2" xfId="1753"/>
    <cellStyle name="40% - 强调文字颜色 4 10 3" xfId="1752"/>
    <cellStyle name="40% - 强调文字颜色 4 11" xfId="502"/>
    <cellStyle name="40% - 强调文字颜色 4 11 2" xfId="994"/>
    <cellStyle name="40% - 强调文字颜色 4 11 2 2" xfId="1755"/>
    <cellStyle name="40% - 强调文字颜色 4 11 3" xfId="1754"/>
    <cellStyle name="40% - 强调文字颜色 4 12" xfId="512"/>
    <cellStyle name="40% - 强调文字颜色 4 12 2" xfId="1004"/>
    <cellStyle name="40% - 强调文字颜色 4 12 2 2" xfId="1757"/>
    <cellStyle name="40% - 强调文字颜色 4 12 3" xfId="1756"/>
    <cellStyle name="40% - 强调文字颜色 4 13" xfId="522"/>
    <cellStyle name="40% - 强调文字颜色 4 13 2" xfId="1014"/>
    <cellStyle name="40% - 强调文字颜色 4 13 2 2" xfId="1759"/>
    <cellStyle name="40% - 强调文字颜色 4 13 3" xfId="1758"/>
    <cellStyle name="40% - 强调文字颜色 4 14" xfId="531"/>
    <cellStyle name="40% - 强调文字颜色 4 14 2" xfId="1023"/>
    <cellStyle name="40% - 强调文字颜色 4 14 2 2" xfId="1761"/>
    <cellStyle name="40% - 强调文字颜色 4 14 3" xfId="1760"/>
    <cellStyle name="40% - 强调文字颜色 4 15" xfId="551"/>
    <cellStyle name="40% - 强调文字颜色 4 15 2" xfId="1042"/>
    <cellStyle name="40% - 强调文字颜色 4 15 2 2" xfId="1763"/>
    <cellStyle name="40% - 强调文字颜色 4 15 3" xfId="1762"/>
    <cellStyle name="40% - 强调文字颜色 4 16" xfId="560"/>
    <cellStyle name="40% - 强调文字颜色 4 16 2" xfId="1051"/>
    <cellStyle name="40% - 强调文字颜色 4 16 2 2" xfId="1765"/>
    <cellStyle name="40% - 强调文字颜色 4 16 3" xfId="1764"/>
    <cellStyle name="40% - 强调文字颜色 4 17" xfId="579"/>
    <cellStyle name="40% - 强调文字颜色 4 17 2" xfId="1766"/>
    <cellStyle name="40% - 强调文字颜色 4 18" xfId="1088"/>
    <cellStyle name="40% - 强调文字颜色 4 18 2" xfId="1767"/>
    <cellStyle name="40% - 强调文字颜色 4 2" xfId="70"/>
    <cellStyle name="40% - 强调文字颜色 4 2 2" xfId="151"/>
    <cellStyle name="40% - 强调文字颜色 4 2 2 2" xfId="664"/>
    <cellStyle name="40% - 强调文字颜色 4 2 2 2 2" xfId="1770"/>
    <cellStyle name="40% - 强调文字颜色 4 2 2 3" xfId="1769"/>
    <cellStyle name="40% - 强调文字颜色 4 2 3" xfId="216"/>
    <cellStyle name="40% - 强调文字颜色 4 2 3 2" xfId="729"/>
    <cellStyle name="40% - 强调文字颜色 4 2 3 2 2" xfId="1772"/>
    <cellStyle name="40% - 强调文字颜色 4 2 3 3" xfId="1771"/>
    <cellStyle name="40% - 强调文字颜色 4 2 4" xfId="289"/>
    <cellStyle name="40% - 强调文字颜色 4 2 4 2" xfId="796"/>
    <cellStyle name="40% - 强调文字颜色 4 2 4 2 2" xfId="1774"/>
    <cellStyle name="40% - 强调文字颜色 4 2 4 3" xfId="1773"/>
    <cellStyle name="40% - 强调文字颜色 4 2 5" xfId="369"/>
    <cellStyle name="40% - 强调文字颜色 4 2 5 2" xfId="863"/>
    <cellStyle name="40% - 强调文字颜色 4 2 5 2 2" xfId="1776"/>
    <cellStyle name="40% - 强调文字颜色 4 2 5 3" xfId="1775"/>
    <cellStyle name="40% - 强调文字颜色 4 2 6" xfId="436"/>
    <cellStyle name="40% - 强调文字颜色 4 2 6 2" xfId="930"/>
    <cellStyle name="40% - 强调文字颜色 4 2 6 2 2" xfId="1778"/>
    <cellStyle name="40% - 强调文字颜色 4 2 6 3" xfId="1777"/>
    <cellStyle name="40% - 强调文字颜色 4 2 7" xfId="595"/>
    <cellStyle name="40% - 强调文字颜色 4 2 7 2" xfId="1779"/>
    <cellStyle name="40% - 强调文字颜色 4 2 8" xfId="1768"/>
    <cellStyle name="40% - 强调文字颜色 4 3" xfId="83"/>
    <cellStyle name="40% - 强调文字颜色 4 3 2" xfId="164"/>
    <cellStyle name="40% - 强调文字颜色 4 3 2 2" xfId="677"/>
    <cellStyle name="40% - 强调文字颜色 4 3 2 2 2" xfId="1782"/>
    <cellStyle name="40% - 强调文字颜色 4 3 2 3" xfId="1781"/>
    <cellStyle name="40% - 强调文字颜色 4 3 3" xfId="229"/>
    <cellStyle name="40% - 强调文字颜色 4 3 3 2" xfId="742"/>
    <cellStyle name="40% - 强调文字颜色 4 3 3 2 2" xfId="1784"/>
    <cellStyle name="40% - 强调文字颜色 4 3 3 3" xfId="1783"/>
    <cellStyle name="40% - 强调文字颜色 4 3 4" xfId="302"/>
    <cellStyle name="40% - 强调文字颜色 4 3 4 2" xfId="809"/>
    <cellStyle name="40% - 强调文字颜色 4 3 4 2 2" xfId="1786"/>
    <cellStyle name="40% - 强调文字颜色 4 3 4 3" xfId="1785"/>
    <cellStyle name="40% - 强调文字颜色 4 3 5" xfId="382"/>
    <cellStyle name="40% - 强调文字颜色 4 3 5 2" xfId="876"/>
    <cellStyle name="40% - 强调文字颜色 4 3 5 2 2" xfId="1788"/>
    <cellStyle name="40% - 强调文字颜色 4 3 5 3" xfId="1787"/>
    <cellStyle name="40% - 强调文字颜色 4 3 6" xfId="449"/>
    <cellStyle name="40% - 强调文字颜色 4 3 6 2" xfId="943"/>
    <cellStyle name="40% - 强调文字颜色 4 3 6 2 2" xfId="1790"/>
    <cellStyle name="40% - 强调文字颜色 4 3 6 3" xfId="1789"/>
    <cellStyle name="40% - 强调文字颜色 4 3 7" xfId="608"/>
    <cellStyle name="40% - 强调文字颜色 4 3 7 2" xfId="1791"/>
    <cellStyle name="40% - 强调文字颜色 4 3 8" xfId="1780"/>
    <cellStyle name="40% - 强调文字颜色 4 4" xfId="96"/>
    <cellStyle name="40% - 强调文字颜色 4 4 2" xfId="177"/>
    <cellStyle name="40% - 强调文字颜色 4 4 2 2" xfId="690"/>
    <cellStyle name="40% - 强调文字颜色 4 4 2 2 2" xfId="1794"/>
    <cellStyle name="40% - 强调文字颜色 4 4 2 3" xfId="1793"/>
    <cellStyle name="40% - 强调文字颜色 4 4 3" xfId="242"/>
    <cellStyle name="40% - 强调文字颜色 4 4 3 2" xfId="755"/>
    <cellStyle name="40% - 强调文字颜色 4 4 3 2 2" xfId="1796"/>
    <cellStyle name="40% - 强调文字颜色 4 4 3 3" xfId="1795"/>
    <cellStyle name="40% - 强调文字颜色 4 4 4" xfId="315"/>
    <cellStyle name="40% - 强调文字颜色 4 4 4 2" xfId="822"/>
    <cellStyle name="40% - 强调文字颜色 4 4 4 2 2" xfId="1798"/>
    <cellStyle name="40% - 强调文字颜色 4 4 4 3" xfId="1797"/>
    <cellStyle name="40% - 强调文字颜色 4 4 5" xfId="395"/>
    <cellStyle name="40% - 强调文字颜色 4 4 5 2" xfId="889"/>
    <cellStyle name="40% - 强调文字颜色 4 4 5 2 2" xfId="1800"/>
    <cellStyle name="40% - 强调文字颜色 4 4 5 3" xfId="1799"/>
    <cellStyle name="40% - 强调文字颜色 4 4 6" xfId="462"/>
    <cellStyle name="40% - 强调文字颜色 4 4 6 2" xfId="956"/>
    <cellStyle name="40% - 强调文字颜色 4 4 6 2 2" xfId="1802"/>
    <cellStyle name="40% - 强调文字颜色 4 4 6 3" xfId="1801"/>
    <cellStyle name="40% - 强调文字颜色 4 4 7" xfId="621"/>
    <cellStyle name="40% - 强调文字颜色 4 4 7 2" xfId="1803"/>
    <cellStyle name="40% - 强调文字颜色 4 4 8" xfId="1792"/>
    <cellStyle name="40% - 强调文字颜色 4 5" xfId="109"/>
    <cellStyle name="40% - 强调文字颜色 4 5 2" xfId="190"/>
    <cellStyle name="40% - 强调文字颜色 4 5 2 2" xfId="703"/>
    <cellStyle name="40% - 强调文字颜色 4 5 2 2 2" xfId="1806"/>
    <cellStyle name="40% - 强调文字颜色 4 5 2 3" xfId="1805"/>
    <cellStyle name="40% - 强调文字颜色 4 5 3" xfId="255"/>
    <cellStyle name="40% - 强调文字颜色 4 5 3 2" xfId="768"/>
    <cellStyle name="40% - 强调文字颜色 4 5 3 2 2" xfId="1808"/>
    <cellStyle name="40% - 强调文字颜色 4 5 3 3" xfId="1807"/>
    <cellStyle name="40% - 强调文字颜色 4 5 4" xfId="328"/>
    <cellStyle name="40% - 强调文字颜色 4 5 4 2" xfId="835"/>
    <cellStyle name="40% - 强调文字颜色 4 5 4 2 2" xfId="1810"/>
    <cellStyle name="40% - 强调文字颜色 4 5 4 3" xfId="1809"/>
    <cellStyle name="40% - 强调文字颜色 4 5 5" xfId="408"/>
    <cellStyle name="40% - 强调文字颜色 4 5 5 2" xfId="902"/>
    <cellStyle name="40% - 强调文字颜色 4 5 5 2 2" xfId="1812"/>
    <cellStyle name="40% - 强调文字颜色 4 5 5 3" xfId="1811"/>
    <cellStyle name="40% - 强调文字颜色 4 5 6" xfId="475"/>
    <cellStyle name="40% - 强调文字颜色 4 5 6 2" xfId="969"/>
    <cellStyle name="40% - 强调文字颜色 4 5 6 2 2" xfId="1814"/>
    <cellStyle name="40% - 强调文字颜色 4 5 6 3" xfId="1813"/>
    <cellStyle name="40% - 强调文字颜色 4 5 7" xfId="634"/>
    <cellStyle name="40% - 强调文字颜色 4 5 7 2" xfId="1815"/>
    <cellStyle name="40% - 强调文字颜色 4 5 8" xfId="1804"/>
    <cellStyle name="40% - 强调文字颜色 4 6" xfId="133"/>
    <cellStyle name="40% - 强调文字颜色 4 6 2" xfId="648"/>
    <cellStyle name="40% - 强调文字颜色 4 6 2 2" xfId="1817"/>
    <cellStyle name="40% - 强调文字颜色 4 6 3" xfId="1816"/>
    <cellStyle name="40% - 强调文字颜色 4 7" xfId="200"/>
    <cellStyle name="40% - 强调文字颜色 4 7 2" xfId="713"/>
    <cellStyle name="40% - 强调文字颜色 4 7 2 2" xfId="1819"/>
    <cellStyle name="40% - 强调文字颜色 4 7 3" xfId="1818"/>
    <cellStyle name="40% - 强调文字颜色 4 8" xfId="273"/>
    <cellStyle name="40% - 强调文字颜色 4 8 2" xfId="780"/>
    <cellStyle name="40% - 强调文字颜色 4 8 2 2" xfId="1821"/>
    <cellStyle name="40% - 强调文字颜色 4 8 3" xfId="1820"/>
    <cellStyle name="40% - 强调文字颜色 4 9" xfId="353"/>
    <cellStyle name="40% - 强调文字颜色 4 9 2" xfId="847"/>
    <cellStyle name="40% - 强调文字颜色 4 9 2 2" xfId="1823"/>
    <cellStyle name="40% - 强调文字颜色 4 9 3" xfId="1822"/>
    <cellStyle name="40% - 强调文字颜色 5" xfId="40" builtinId="47" customBuiltin="1"/>
    <cellStyle name="40% - 强调文字颜色 5 10" xfId="422"/>
    <cellStyle name="40% - 强调文字颜色 5 10 2" xfId="916"/>
    <cellStyle name="40% - 强调文字颜色 5 10 2 2" xfId="1825"/>
    <cellStyle name="40% - 强调文字颜色 5 10 3" xfId="1824"/>
    <cellStyle name="40% - 强调文字颜色 5 11" xfId="505"/>
    <cellStyle name="40% - 强调文字颜色 5 11 2" xfId="997"/>
    <cellStyle name="40% - 强调文字颜色 5 11 2 2" xfId="1827"/>
    <cellStyle name="40% - 强调文字颜色 5 11 3" xfId="1826"/>
    <cellStyle name="40% - 强调文字颜色 5 12" xfId="515"/>
    <cellStyle name="40% - 强调文字颜色 5 12 2" xfId="1007"/>
    <cellStyle name="40% - 强调文字颜色 5 12 2 2" xfId="1829"/>
    <cellStyle name="40% - 强调文字颜色 5 12 3" xfId="1828"/>
    <cellStyle name="40% - 强调文字颜色 5 13" xfId="525"/>
    <cellStyle name="40% - 强调文字颜色 5 13 2" xfId="1017"/>
    <cellStyle name="40% - 强调文字颜色 5 13 2 2" xfId="1831"/>
    <cellStyle name="40% - 强调文字颜色 5 13 3" xfId="1830"/>
    <cellStyle name="40% - 强调文字颜色 5 14" xfId="533"/>
    <cellStyle name="40% - 强调文字颜色 5 14 2" xfId="1025"/>
    <cellStyle name="40% - 强调文字颜色 5 14 2 2" xfId="1833"/>
    <cellStyle name="40% - 强调文字颜色 5 14 3" xfId="1832"/>
    <cellStyle name="40% - 强调文字颜色 5 15" xfId="554"/>
    <cellStyle name="40% - 强调文字颜色 5 15 2" xfId="1045"/>
    <cellStyle name="40% - 强调文字颜色 5 15 2 2" xfId="1835"/>
    <cellStyle name="40% - 强调文字颜色 5 15 3" xfId="1834"/>
    <cellStyle name="40% - 强调文字颜色 5 16" xfId="562"/>
    <cellStyle name="40% - 强调文字颜色 5 16 2" xfId="1053"/>
    <cellStyle name="40% - 强调文字颜色 5 16 2 2" xfId="1837"/>
    <cellStyle name="40% - 强调文字颜色 5 16 3" xfId="1836"/>
    <cellStyle name="40% - 强调文字颜色 5 17" xfId="581"/>
    <cellStyle name="40% - 强调文字颜色 5 17 2" xfId="1838"/>
    <cellStyle name="40% - 强调文字颜色 5 18" xfId="1092"/>
    <cellStyle name="40% - 强调文字颜色 5 18 2" xfId="1839"/>
    <cellStyle name="40% - 强调文字颜色 5 2" xfId="72"/>
    <cellStyle name="40% - 强调文字颜色 5 2 2" xfId="153"/>
    <cellStyle name="40% - 强调文字颜色 5 2 2 2" xfId="666"/>
    <cellStyle name="40% - 强调文字颜色 5 2 2 2 2" xfId="1842"/>
    <cellStyle name="40% - 强调文字颜色 5 2 2 3" xfId="1841"/>
    <cellStyle name="40% - 强调文字颜色 5 2 3" xfId="218"/>
    <cellStyle name="40% - 强调文字颜色 5 2 3 2" xfId="731"/>
    <cellStyle name="40% - 强调文字颜色 5 2 3 2 2" xfId="1844"/>
    <cellStyle name="40% - 强调文字颜色 5 2 3 3" xfId="1843"/>
    <cellStyle name="40% - 强调文字颜色 5 2 4" xfId="291"/>
    <cellStyle name="40% - 强调文字颜色 5 2 4 2" xfId="798"/>
    <cellStyle name="40% - 强调文字颜色 5 2 4 2 2" xfId="1846"/>
    <cellStyle name="40% - 强调文字颜色 5 2 4 3" xfId="1845"/>
    <cellStyle name="40% - 强调文字颜色 5 2 5" xfId="371"/>
    <cellStyle name="40% - 强调文字颜色 5 2 5 2" xfId="865"/>
    <cellStyle name="40% - 强调文字颜色 5 2 5 2 2" xfId="1848"/>
    <cellStyle name="40% - 强调文字颜色 5 2 5 3" xfId="1847"/>
    <cellStyle name="40% - 强调文字颜色 5 2 6" xfId="438"/>
    <cellStyle name="40% - 强调文字颜色 5 2 6 2" xfId="932"/>
    <cellStyle name="40% - 强调文字颜色 5 2 6 2 2" xfId="1850"/>
    <cellStyle name="40% - 强调文字颜色 5 2 6 3" xfId="1849"/>
    <cellStyle name="40% - 强调文字颜色 5 2 7" xfId="597"/>
    <cellStyle name="40% - 强调文字颜色 5 2 7 2" xfId="1851"/>
    <cellStyle name="40% - 强调文字颜色 5 2 8" xfId="1840"/>
    <cellStyle name="40% - 强调文字颜色 5 3" xfId="85"/>
    <cellStyle name="40% - 强调文字颜色 5 3 2" xfId="166"/>
    <cellStyle name="40% - 强调文字颜色 5 3 2 2" xfId="679"/>
    <cellStyle name="40% - 强调文字颜色 5 3 2 2 2" xfId="1854"/>
    <cellStyle name="40% - 强调文字颜色 5 3 2 3" xfId="1853"/>
    <cellStyle name="40% - 强调文字颜色 5 3 3" xfId="231"/>
    <cellStyle name="40% - 强调文字颜色 5 3 3 2" xfId="744"/>
    <cellStyle name="40% - 强调文字颜色 5 3 3 2 2" xfId="1856"/>
    <cellStyle name="40% - 强调文字颜色 5 3 3 3" xfId="1855"/>
    <cellStyle name="40% - 强调文字颜色 5 3 4" xfId="304"/>
    <cellStyle name="40% - 强调文字颜色 5 3 4 2" xfId="811"/>
    <cellStyle name="40% - 强调文字颜色 5 3 4 2 2" xfId="1858"/>
    <cellStyle name="40% - 强调文字颜色 5 3 4 3" xfId="1857"/>
    <cellStyle name="40% - 强调文字颜色 5 3 5" xfId="384"/>
    <cellStyle name="40% - 强调文字颜色 5 3 5 2" xfId="878"/>
    <cellStyle name="40% - 强调文字颜色 5 3 5 2 2" xfId="1860"/>
    <cellStyle name="40% - 强调文字颜色 5 3 5 3" xfId="1859"/>
    <cellStyle name="40% - 强调文字颜色 5 3 6" xfId="451"/>
    <cellStyle name="40% - 强调文字颜色 5 3 6 2" xfId="945"/>
    <cellStyle name="40% - 强调文字颜色 5 3 6 2 2" xfId="1862"/>
    <cellStyle name="40% - 强调文字颜色 5 3 6 3" xfId="1861"/>
    <cellStyle name="40% - 强调文字颜色 5 3 7" xfId="610"/>
    <cellStyle name="40% - 强调文字颜色 5 3 7 2" xfId="1863"/>
    <cellStyle name="40% - 强调文字颜色 5 3 8" xfId="1852"/>
    <cellStyle name="40% - 强调文字颜色 5 4" xfId="98"/>
    <cellStyle name="40% - 强调文字颜色 5 4 2" xfId="179"/>
    <cellStyle name="40% - 强调文字颜色 5 4 2 2" xfId="692"/>
    <cellStyle name="40% - 强调文字颜色 5 4 2 2 2" xfId="1866"/>
    <cellStyle name="40% - 强调文字颜色 5 4 2 3" xfId="1865"/>
    <cellStyle name="40% - 强调文字颜色 5 4 3" xfId="244"/>
    <cellStyle name="40% - 强调文字颜色 5 4 3 2" xfId="757"/>
    <cellStyle name="40% - 强调文字颜色 5 4 3 2 2" xfId="1868"/>
    <cellStyle name="40% - 强调文字颜色 5 4 3 3" xfId="1867"/>
    <cellStyle name="40% - 强调文字颜色 5 4 4" xfId="317"/>
    <cellStyle name="40% - 强调文字颜色 5 4 4 2" xfId="824"/>
    <cellStyle name="40% - 强调文字颜色 5 4 4 2 2" xfId="1870"/>
    <cellStyle name="40% - 强调文字颜色 5 4 4 3" xfId="1869"/>
    <cellStyle name="40% - 强调文字颜色 5 4 5" xfId="397"/>
    <cellStyle name="40% - 强调文字颜色 5 4 5 2" xfId="891"/>
    <cellStyle name="40% - 强调文字颜色 5 4 5 2 2" xfId="1872"/>
    <cellStyle name="40% - 强调文字颜色 5 4 5 3" xfId="1871"/>
    <cellStyle name="40% - 强调文字颜色 5 4 6" xfId="464"/>
    <cellStyle name="40% - 强调文字颜色 5 4 6 2" xfId="958"/>
    <cellStyle name="40% - 强调文字颜色 5 4 6 2 2" xfId="1874"/>
    <cellStyle name="40% - 强调文字颜色 5 4 6 3" xfId="1873"/>
    <cellStyle name="40% - 强调文字颜色 5 4 7" xfId="623"/>
    <cellStyle name="40% - 强调文字颜色 5 4 7 2" xfId="1875"/>
    <cellStyle name="40% - 强调文字颜色 5 4 8" xfId="1864"/>
    <cellStyle name="40% - 强调文字颜色 5 5" xfId="111"/>
    <cellStyle name="40% - 强调文字颜色 5 5 2" xfId="192"/>
    <cellStyle name="40% - 强调文字颜色 5 5 2 2" xfId="705"/>
    <cellStyle name="40% - 强调文字颜色 5 5 2 2 2" xfId="1878"/>
    <cellStyle name="40% - 强调文字颜色 5 5 2 3" xfId="1877"/>
    <cellStyle name="40% - 强调文字颜色 5 5 3" xfId="257"/>
    <cellStyle name="40% - 强调文字颜色 5 5 3 2" xfId="770"/>
    <cellStyle name="40% - 强调文字颜色 5 5 3 2 2" xfId="1880"/>
    <cellStyle name="40% - 强调文字颜色 5 5 3 3" xfId="1879"/>
    <cellStyle name="40% - 强调文字颜色 5 5 4" xfId="330"/>
    <cellStyle name="40% - 强调文字颜色 5 5 4 2" xfId="837"/>
    <cellStyle name="40% - 强调文字颜色 5 5 4 2 2" xfId="1882"/>
    <cellStyle name="40% - 强调文字颜色 5 5 4 3" xfId="1881"/>
    <cellStyle name="40% - 强调文字颜色 5 5 5" xfId="410"/>
    <cellStyle name="40% - 强调文字颜色 5 5 5 2" xfId="904"/>
    <cellStyle name="40% - 强调文字颜色 5 5 5 2 2" xfId="1884"/>
    <cellStyle name="40% - 强调文字颜色 5 5 5 3" xfId="1883"/>
    <cellStyle name="40% - 强调文字颜色 5 5 6" xfId="477"/>
    <cellStyle name="40% - 强调文字颜色 5 5 6 2" xfId="971"/>
    <cellStyle name="40% - 强调文字颜色 5 5 6 2 2" xfId="1886"/>
    <cellStyle name="40% - 强调文字颜色 5 5 6 3" xfId="1885"/>
    <cellStyle name="40% - 强调文字颜色 5 5 7" xfId="636"/>
    <cellStyle name="40% - 强调文字颜色 5 5 7 2" xfId="1887"/>
    <cellStyle name="40% - 强调文字颜色 5 5 8" xfId="1876"/>
    <cellStyle name="40% - 强调文字颜色 5 6" xfId="136"/>
    <cellStyle name="40% - 强调文字颜色 5 6 2" xfId="650"/>
    <cellStyle name="40% - 强调文字颜色 5 6 2 2" xfId="1889"/>
    <cellStyle name="40% - 强调文字颜色 5 6 3" xfId="1888"/>
    <cellStyle name="40% - 强调文字颜色 5 7" xfId="202"/>
    <cellStyle name="40% - 强调文字颜色 5 7 2" xfId="715"/>
    <cellStyle name="40% - 强调文字颜色 5 7 2 2" xfId="1891"/>
    <cellStyle name="40% - 强调文字颜色 5 7 3" xfId="1890"/>
    <cellStyle name="40% - 强调文字颜色 5 8" xfId="275"/>
    <cellStyle name="40% - 强调文字颜色 5 8 2" xfId="782"/>
    <cellStyle name="40% - 强调文字颜色 5 8 2 2" xfId="1893"/>
    <cellStyle name="40% - 强调文字颜色 5 8 3" xfId="1892"/>
    <cellStyle name="40% - 强调文字颜色 5 9" xfId="355"/>
    <cellStyle name="40% - 强调文字颜色 5 9 2" xfId="849"/>
    <cellStyle name="40% - 强调文字颜色 5 9 2 2" xfId="1895"/>
    <cellStyle name="40% - 强调文字颜色 5 9 3" xfId="1894"/>
    <cellStyle name="40% - 强调文字颜色 6" xfId="44" builtinId="51" customBuiltin="1"/>
    <cellStyle name="40% - 强调文字颜色 6 10" xfId="424"/>
    <cellStyle name="40% - 强调文字颜色 6 10 2" xfId="918"/>
    <cellStyle name="40% - 强调文字颜色 6 10 2 2" xfId="1897"/>
    <cellStyle name="40% - 强调文字颜色 6 10 3" xfId="1896"/>
    <cellStyle name="40% - 强调文字颜色 6 11" xfId="509"/>
    <cellStyle name="40% - 强调文字颜色 6 11 2" xfId="1001"/>
    <cellStyle name="40% - 强调文字颜色 6 11 2 2" xfId="1899"/>
    <cellStyle name="40% - 强调文字颜色 6 11 3" xfId="1898"/>
    <cellStyle name="40% - 强调文字颜色 6 12" xfId="519"/>
    <cellStyle name="40% - 强调文字颜色 6 12 2" xfId="1011"/>
    <cellStyle name="40% - 强调文字颜色 6 12 2 2" xfId="1901"/>
    <cellStyle name="40% - 强调文字颜色 6 12 3" xfId="1900"/>
    <cellStyle name="40% - 强调文字颜色 6 13" xfId="528"/>
    <cellStyle name="40% - 强调文字颜色 6 13 2" xfId="1020"/>
    <cellStyle name="40% - 强调文字颜色 6 13 2 2" xfId="1903"/>
    <cellStyle name="40% - 强调文字颜色 6 13 3" xfId="1902"/>
    <cellStyle name="40% - 强调文字颜色 6 14" xfId="535"/>
    <cellStyle name="40% - 强调文字颜色 6 14 2" xfId="1027"/>
    <cellStyle name="40% - 强调文字颜色 6 14 2 2" xfId="1905"/>
    <cellStyle name="40% - 强调文字颜色 6 14 3" xfId="1904"/>
    <cellStyle name="40% - 强调文字颜色 6 15" xfId="557"/>
    <cellStyle name="40% - 强调文字颜色 6 15 2" xfId="1048"/>
    <cellStyle name="40% - 强调文字颜色 6 15 2 2" xfId="1907"/>
    <cellStyle name="40% - 强调文字颜色 6 15 3" xfId="1906"/>
    <cellStyle name="40% - 强调文字颜色 6 16" xfId="564"/>
    <cellStyle name="40% - 强调文字颜色 6 16 2" xfId="1055"/>
    <cellStyle name="40% - 强调文字颜色 6 16 2 2" xfId="1909"/>
    <cellStyle name="40% - 强调文字颜色 6 16 3" xfId="1908"/>
    <cellStyle name="40% - 强调文字颜色 6 17" xfId="583"/>
    <cellStyle name="40% - 强调文字颜色 6 17 2" xfId="1910"/>
    <cellStyle name="40% - 强调文字颜色 6 18" xfId="1096"/>
    <cellStyle name="40% - 强调文字颜色 6 18 2" xfId="1911"/>
    <cellStyle name="40% - 强调文字颜色 6 2" xfId="74"/>
    <cellStyle name="40% - 强调文字颜色 6 2 2" xfId="155"/>
    <cellStyle name="40% - 强调文字颜色 6 2 2 2" xfId="668"/>
    <cellStyle name="40% - 强调文字颜色 6 2 2 2 2" xfId="1914"/>
    <cellStyle name="40% - 强调文字颜色 6 2 2 3" xfId="1913"/>
    <cellStyle name="40% - 强调文字颜色 6 2 3" xfId="220"/>
    <cellStyle name="40% - 强调文字颜色 6 2 3 2" xfId="733"/>
    <cellStyle name="40% - 强调文字颜色 6 2 3 2 2" xfId="1916"/>
    <cellStyle name="40% - 强调文字颜色 6 2 3 3" xfId="1915"/>
    <cellStyle name="40% - 强调文字颜色 6 2 4" xfId="293"/>
    <cellStyle name="40% - 强调文字颜色 6 2 4 2" xfId="800"/>
    <cellStyle name="40% - 强调文字颜色 6 2 4 2 2" xfId="1918"/>
    <cellStyle name="40% - 强调文字颜色 6 2 4 3" xfId="1917"/>
    <cellStyle name="40% - 强调文字颜色 6 2 5" xfId="373"/>
    <cellStyle name="40% - 强调文字颜色 6 2 5 2" xfId="867"/>
    <cellStyle name="40% - 强调文字颜色 6 2 5 2 2" xfId="1920"/>
    <cellStyle name="40% - 强调文字颜色 6 2 5 3" xfId="1919"/>
    <cellStyle name="40% - 强调文字颜色 6 2 6" xfId="440"/>
    <cellStyle name="40% - 强调文字颜色 6 2 6 2" xfId="934"/>
    <cellStyle name="40% - 强调文字颜色 6 2 6 2 2" xfId="1922"/>
    <cellStyle name="40% - 强调文字颜色 6 2 6 3" xfId="1921"/>
    <cellStyle name="40% - 强调文字颜色 6 2 7" xfId="599"/>
    <cellStyle name="40% - 强调文字颜色 6 2 7 2" xfId="1923"/>
    <cellStyle name="40% - 强调文字颜色 6 2 8" xfId="1912"/>
    <cellStyle name="40% - 强调文字颜色 6 3" xfId="87"/>
    <cellStyle name="40% - 强调文字颜色 6 3 2" xfId="168"/>
    <cellStyle name="40% - 强调文字颜色 6 3 2 2" xfId="681"/>
    <cellStyle name="40% - 强调文字颜色 6 3 2 2 2" xfId="1926"/>
    <cellStyle name="40% - 强调文字颜色 6 3 2 3" xfId="1925"/>
    <cellStyle name="40% - 强调文字颜色 6 3 3" xfId="233"/>
    <cellStyle name="40% - 强调文字颜色 6 3 3 2" xfId="746"/>
    <cellStyle name="40% - 强调文字颜色 6 3 3 2 2" xfId="1928"/>
    <cellStyle name="40% - 强调文字颜色 6 3 3 3" xfId="1927"/>
    <cellStyle name="40% - 强调文字颜色 6 3 4" xfId="306"/>
    <cellStyle name="40% - 强调文字颜色 6 3 4 2" xfId="813"/>
    <cellStyle name="40% - 强调文字颜色 6 3 4 2 2" xfId="1930"/>
    <cellStyle name="40% - 强调文字颜色 6 3 4 3" xfId="1929"/>
    <cellStyle name="40% - 强调文字颜色 6 3 5" xfId="386"/>
    <cellStyle name="40% - 强调文字颜色 6 3 5 2" xfId="880"/>
    <cellStyle name="40% - 强调文字颜色 6 3 5 2 2" xfId="1932"/>
    <cellStyle name="40% - 强调文字颜色 6 3 5 3" xfId="1931"/>
    <cellStyle name="40% - 强调文字颜色 6 3 6" xfId="453"/>
    <cellStyle name="40% - 强调文字颜色 6 3 6 2" xfId="947"/>
    <cellStyle name="40% - 强调文字颜色 6 3 6 2 2" xfId="1934"/>
    <cellStyle name="40% - 强调文字颜色 6 3 6 3" xfId="1933"/>
    <cellStyle name="40% - 强调文字颜色 6 3 7" xfId="612"/>
    <cellStyle name="40% - 强调文字颜色 6 3 7 2" xfId="1935"/>
    <cellStyle name="40% - 强调文字颜色 6 3 8" xfId="1924"/>
    <cellStyle name="40% - 强调文字颜色 6 4" xfId="100"/>
    <cellStyle name="40% - 强调文字颜色 6 4 2" xfId="181"/>
    <cellStyle name="40% - 强调文字颜色 6 4 2 2" xfId="694"/>
    <cellStyle name="40% - 强调文字颜色 6 4 2 2 2" xfId="1938"/>
    <cellStyle name="40% - 强调文字颜色 6 4 2 3" xfId="1937"/>
    <cellStyle name="40% - 强调文字颜色 6 4 3" xfId="246"/>
    <cellStyle name="40% - 强调文字颜色 6 4 3 2" xfId="759"/>
    <cellStyle name="40% - 强调文字颜色 6 4 3 2 2" xfId="1940"/>
    <cellStyle name="40% - 强调文字颜色 6 4 3 3" xfId="1939"/>
    <cellStyle name="40% - 强调文字颜色 6 4 4" xfId="319"/>
    <cellStyle name="40% - 强调文字颜色 6 4 4 2" xfId="826"/>
    <cellStyle name="40% - 强调文字颜色 6 4 4 2 2" xfId="1942"/>
    <cellStyle name="40% - 强调文字颜色 6 4 4 3" xfId="1941"/>
    <cellStyle name="40% - 强调文字颜色 6 4 5" xfId="399"/>
    <cellStyle name="40% - 强调文字颜色 6 4 5 2" xfId="893"/>
    <cellStyle name="40% - 强调文字颜色 6 4 5 2 2" xfId="1944"/>
    <cellStyle name="40% - 强调文字颜色 6 4 5 3" xfId="1943"/>
    <cellStyle name="40% - 强调文字颜色 6 4 6" xfId="466"/>
    <cellStyle name="40% - 强调文字颜色 6 4 6 2" xfId="960"/>
    <cellStyle name="40% - 强调文字颜色 6 4 6 2 2" xfId="1946"/>
    <cellStyle name="40% - 强调文字颜色 6 4 6 3" xfId="1945"/>
    <cellStyle name="40% - 强调文字颜色 6 4 7" xfId="625"/>
    <cellStyle name="40% - 强调文字颜色 6 4 7 2" xfId="1947"/>
    <cellStyle name="40% - 强调文字颜色 6 4 8" xfId="1936"/>
    <cellStyle name="40% - 强调文字颜色 6 5" xfId="113"/>
    <cellStyle name="40% - 强调文字颜色 6 5 2" xfId="194"/>
    <cellStyle name="40% - 强调文字颜色 6 5 2 2" xfId="707"/>
    <cellStyle name="40% - 强调文字颜色 6 5 2 2 2" xfId="1950"/>
    <cellStyle name="40% - 强调文字颜色 6 5 2 3" xfId="1949"/>
    <cellStyle name="40% - 强调文字颜色 6 5 3" xfId="259"/>
    <cellStyle name="40% - 强调文字颜色 6 5 3 2" xfId="772"/>
    <cellStyle name="40% - 强调文字颜色 6 5 3 2 2" xfId="1952"/>
    <cellStyle name="40% - 强调文字颜色 6 5 3 3" xfId="1951"/>
    <cellStyle name="40% - 强调文字颜色 6 5 4" xfId="332"/>
    <cellStyle name="40% - 强调文字颜色 6 5 4 2" xfId="839"/>
    <cellStyle name="40% - 强调文字颜色 6 5 4 2 2" xfId="1954"/>
    <cellStyle name="40% - 强调文字颜色 6 5 4 3" xfId="1953"/>
    <cellStyle name="40% - 强调文字颜色 6 5 5" xfId="412"/>
    <cellStyle name="40% - 强调文字颜色 6 5 5 2" xfId="906"/>
    <cellStyle name="40% - 强调文字颜色 6 5 5 2 2" xfId="1956"/>
    <cellStyle name="40% - 强调文字颜色 6 5 5 3" xfId="1955"/>
    <cellStyle name="40% - 强调文字颜色 6 5 6" xfId="479"/>
    <cellStyle name="40% - 强调文字颜色 6 5 6 2" xfId="973"/>
    <cellStyle name="40% - 强调文字颜色 6 5 6 2 2" xfId="1958"/>
    <cellStyle name="40% - 强调文字颜色 6 5 6 3" xfId="1957"/>
    <cellStyle name="40% - 强调文字颜色 6 5 7" xfId="638"/>
    <cellStyle name="40% - 强调文字颜色 6 5 7 2" xfId="1959"/>
    <cellStyle name="40% - 强调文字颜色 6 5 8" xfId="1948"/>
    <cellStyle name="40% - 强调文字颜色 6 6" xfId="139"/>
    <cellStyle name="40% - 强调文字颜色 6 6 2" xfId="652"/>
    <cellStyle name="40% - 强调文字颜色 6 6 2 2" xfId="1961"/>
    <cellStyle name="40% - 强调文字颜色 6 6 3" xfId="1960"/>
    <cellStyle name="40% - 强调文字颜色 6 7" xfId="204"/>
    <cellStyle name="40% - 强调文字颜色 6 7 2" xfId="717"/>
    <cellStyle name="40% - 强调文字颜色 6 7 2 2" xfId="1963"/>
    <cellStyle name="40% - 强调文字颜色 6 7 3" xfId="1962"/>
    <cellStyle name="40% - 强调文字颜色 6 8" xfId="277"/>
    <cellStyle name="40% - 强调文字颜色 6 8 2" xfId="784"/>
    <cellStyle name="40% - 强调文字颜色 6 8 2 2" xfId="1965"/>
    <cellStyle name="40% - 强调文字颜色 6 8 3" xfId="1964"/>
    <cellStyle name="40% - 强调文字颜色 6 9" xfId="357"/>
    <cellStyle name="40% - 强调文字颜色 6 9 2" xfId="851"/>
    <cellStyle name="40% - 强调文字颜色 6 9 2 2" xfId="1967"/>
    <cellStyle name="40% - 强调文字颜色 6 9 3" xfId="1966"/>
    <cellStyle name="40% - 着色 1 2" xfId="2162"/>
    <cellStyle name="40% - 着色 2 2" xfId="2166"/>
    <cellStyle name="40% - 着色 3 2" xfId="2170"/>
    <cellStyle name="40% - 着色 4 2" xfId="2174"/>
    <cellStyle name="40% - 着色 5 2" xfId="2178"/>
    <cellStyle name="40% - 着色 6 2" xfId="2182"/>
    <cellStyle name="60% - 强调文字颜色 1" xfId="25" builtinId="32" customBuiltin="1"/>
    <cellStyle name="60% - 强调文字颜色 1 2" xfId="1077"/>
    <cellStyle name="60% - 强调文字颜色 1 2 2" xfId="1968"/>
    <cellStyle name="60% - 强调文字颜色 2" xfId="29" builtinId="36" customBuiltin="1"/>
    <cellStyle name="60% - 强调文字颜色 2 2" xfId="1081"/>
    <cellStyle name="60% - 强调文字颜色 2 2 2" xfId="1969"/>
    <cellStyle name="60% - 强调文字颜色 3" xfId="33" builtinId="40" customBuiltin="1"/>
    <cellStyle name="60% - 强调文字颜色 3 2" xfId="1085"/>
    <cellStyle name="60% - 强调文字颜色 3 2 2" xfId="1970"/>
    <cellStyle name="60% - 强调文字颜色 4" xfId="37" builtinId="44" customBuiltin="1"/>
    <cellStyle name="60% - 强调文字颜色 4 2" xfId="1089"/>
    <cellStyle name="60% - 强调文字颜色 4 2 2" xfId="1971"/>
    <cellStyle name="60% - 强调文字颜色 5" xfId="41" builtinId="48" customBuiltin="1"/>
    <cellStyle name="60% - 强调文字颜色 5 2" xfId="1093"/>
    <cellStyle name="60% - 强调文字颜色 5 2 2" xfId="1972"/>
    <cellStyle name="60% - 强调文字颜色 6" xfId="45" builtinId="52" customBuiltin="1"/>
    <cellStyle name="60% - 强调文字颜色 6 2" xfId="1097"/>
    <cellStyle name="60% - 强调文字颜色 6 2 2" xfId="1973"/>
    <cellStyle name="60% - 着色 1 2" xfId="2163"/>
    <cellStyle name="60% - 着色 2 2" xfId="2167"/>
    <cellStyle name="60% - 着色 3 2" xfId="2171"/>
    <cellStyle name="60% - 着色 4 2" xfId="2175"/>
    <cellStyle name="60% - 着色 5 2" xfId="2179"/>
    <cellStyle name="60% - 着色 6 2" xfId="2183"/>
    <cellStyle name="百分比" xfId="1098" builtinId="5"/>
    <cellStyle name="百分比 2" xfId="481"/>
    <cellStyle name="百分比 2 2" xfId="1974"/>
    <cellStyle name="百分比 3" xfId="1057"/>
    <cellStyle name="百分比 3 2" xfId="1975"/>
    <cellStyle name="百分比 4" xfId="1102"/>
    <cellStyle name="百分比 5" xfId="2185"/>
    <cellStyle name="百分比 6" xfId="2187"/>
    <cellStyle name="标题" xfId="6" builtinId="15" customBuiltin="1"/>
    <cellStyle name="标题 1" xfId="7" builtinId="16" customBuiltin="1"/>
    <cellStyle name="标题 1 2" xfId="1058"/>
    <cellStyle name="标题 1 2 2" xfId="1976"/>
    <cellStyle name="标题 2" xfId="8" builtinId="17" customBuiltin="1"/>
    <cellStyle name="标题 2 2" xfId="1059"/>
    <cellStyle name="标题 2 2 2" xfId="1977"/>
    <cellStyle name="标题 3" xfId="9" builtinId="18" customBuiltin="1"/>
    <cellStyle name="标题 3 2" xfId="1060"/>
    <cellStyle name="标题 3 2 2" xfId="1978"/>
    <cellStyle name="标题 4" xfId="10" builtinId="19" customBuiltin="1"/>
    <cellStyle name="标题 4 2" xfId="1061"/>
    <cellStyle name="标题 4 2 2" xfId="1979"/>
    <cellStyle name="标题 5" xfId="2157"/>
    <cellStyle name="差" xfId="12" builtinId="27" customBuiltin="1"/>
    <cellStyle name="差 2" xfId="1063"/>
    <cellStyle name="差 2 2" xfId="1980"/>
    <cellStyle name="差_2009" xfId="47"/>
    <cellStyle name="差_2009 2" xfId="1981"/>
    <cellStyle name="常规" xfId="0" builtinId="0"/>
    <cellStyle name="常规 10" xfId="482"/>
    <cellStyle name="常规 10 2" xfId="974"/>
    <cellStyle name="常规 10 2 2" xfId="1983"/>
    <cellStyle name="常规 10 3" xfId="1982"/>
    <cellStyle name="常规 11" xfId="536"/>
    <cellStyle name="常规 11 2" xfId="1984"/>
    <cellStyle name="常规 12" xfId="537"/>
    <cellStyle name="常规 12 2" xfId="1028"/>
    <cellStyle name="常规 12 2 2" xfId="1986"/>
    <cellStyle name="常规 12 3" xfId="1985"/>
    <cellStyle name="常规 13" xfId="489"/>
    <cellStyle name="常规 13 2" xfId="981"/>
    <cellStyle name="常规 13 2 2" xfId="1988"/>
    <cellStyle name="常规 13 3" xfId="1987"/>
    <cellStyle name="常规 14" xfId="541"/>
    <cellStyle name="常规 14 2" xfId="1032"/>
    <cellStyle name="常规 14 2 2" xfId="1990"/>
    <cellStyle name="常规 14 3" xfId="1989"/>
    <cellStyle name="常规 15" xfId="566"/>
    <cellStyle name="常规 15 2" xfId="1991"/>
    <cellStyle name="常规 16" xfId="1056"/>
    <cellStyle name="常规 16 2" xfId="1992"/>
    <cellStyle name="常规 17" xfId="1099"/>
    <cellStyle name="常规 18" xfId="1100"/>
    <cellStyle name="常规 19" xfId="1101"/>
    <cellStyle name="常规 2" xfId="1"/>
    <cellStyle name="常规 2 10" xfId="567"/>
    <cellStyle name="常规 2 10 2" xfId="1994"/>
    <cellStyle name="常规 2 11" xfId="1993"/>
    <cellStyle name="常规 2 2" xfId="2"/>
    <cellStyle name="常规 2 2 2" xfId="49"/>
    <cellStyle name="常规 2 2 2 2" xfId="1996"/>
    <cellStyle name="常规 2 2 3" xfId="115"/>
    <cellStyle name="常规 2 2 3 2" xfId="1997"/>
    <cellStyle name="常规 2 2 4" xfId="134"/>
    <cellStyle name="常规 2 2 4 2" xfId="1998"/>
    <cellStyle name="常规 2 2 5" xfId="261"/>
    <cellStyle name="常规 2 2 5 2" xfId="1999"/>
    <cellStyle name="常规 2 2 6" xfId="335"/>
    <cellStyle name="常规 2 2 6 2" xfId="2000"/>
    <cellStyle name="常规 2 2 7" xfId="339"/>
    <cellStyle name="常规 2 2 7 2" xfId="2001"/>
    <cellStyle name="常规 2 2 8" xfId="568"/>
    <cellStyle name="常规 2 2 8 2" xfId="2002"/>
    <cellStyle name="常规 2 2 9" xfId="1995"/>
    <cellStyle name="常规 2 3" xfId="48"/>
    <cellStyle name="常规 2 3 2" xfId="50"/>
    <cellStyle name="常规 2 3 2 2" xfId="2004"/>
    <cellStyle name="常规 2 3 3" xfId="116"/>
    <cellStyle name="常规 2 3 3 2" xfId="2005"/>
    <cellStyle name="常规 2 3 4" xfId="131"/>
    <cellStyle name="常规 2 3 4 2" xfId="2006"/>
    <cellStyle name="常规 2 3 5" xfId="262"/>
    <cellStyle name="常规 2 3 5 2" xfId="2007"/>
    <cellStyle name="常规 2 3 6" xfId="336"/>
    <cellStyle name="常规 2 3 6 2" xfId="2008"/>
    <cellStyle name="常规 2 3 7" xfId="338"/>
    <cellStyle name="常规 2 3 7 2" xfId="2009"/>
    <cellStyle name="常规 2 3 8" xfId="2003"/>
    <cellStyle name="常规 2 4" xfId="114"/>
    <cellStyle name="常规 2 4 2" xfId="2010"/>
    <cellStyle name="常规 2 5" xfId="137"/>
    <cellStyle name="常规 2 5 2" xfId="2011"/>
    <cellStyle name="常规 2 6" xfId="260"/>
    <cellStyle name="常规 2 6 2" xfId="2012"/>
    <cellStyle name="常规 2 7" xfId="334"/>
    <cellStyle name="常规 2 7 2" xfId="2013"/>
    <cellStyle name="常规 2 8" xfId="340"/>
    <cellStyle name="常规 2 8 2" xfId="2014"/>
    <cellStyle name="常规 2 9" xfId="565"/>
    <cellStyle name="常规 2 9 2" xfId="2015"/>
    <cellStyle name="常规 2_2009" xfId="51"/>
    <cellStyle name="常规 20" xfId="2156"/>
    <cellStyle name="常规 21" xfId="2158"/>
    <cellStyle name="常规 22" xfId="2184"/>
    <cellStyle name="常规 23" xfId="2186"/>
    <cellStyle name="常规 24" xfId="2188"/>
    <cellStyle name="常规 25" xfId="2189"/>
    <cellStyle name="常规 3" xfId="3"/>
    <cellStyle name="常规 3 10" xfId="2016"/>
    <cellStyle name="常规 3 2" xfId="52"/>
    <cellStyle name="常规 3 2 2" xfId="2017"/>
    <cellStyle name="常规 3 3" xfId="53"/>
    <cellStyle name="常规 3 3 2" xfId="2018"/>
    <cellStyle name="常规 3 4" xfId="117"/>
    <cellStyle name="常规 3 4 2" xfId="2019"/>
    <cellStyle name="常规 3 5" xfId="124"/>
    <cellStyle name="常规 3 5 2" xfId="2020"/>
    <cellStyle name="常规 3 6" xfId="263"/>
    <cellStyle name="常规 3 6 2" xfId="2021"/>
    <cellStyle name="常规 3 7" xfId="337"/>
    <cellStyle name="常规 3 7 2" xfId="2022"/>
    <cellStyle name="常规 3 8" xfId="333"/>
    <cellStyle name="常规 3 8 2" xfId="2023"/>
    <cellStyle name="常规 3 9" xfId="569"/>
    <cellStyle name="常规 3 9 2" xfId="2024"/>
    <cellStyle name="常规 3_2009" xfId="54"/>
    <cellStyle name="常规 4" xfId="4"/>
    <cellStyle name="常规 4 2" xfId="55"/>
    <cellStyle name="常规 4 2 2" xfId="1103"/>
    <cellStyle name="常规 4 3" xfId="118"/>
    <cellStyle name="常规 4 3 2" xfId="2025"/>
    <cellStyle name="常规 4 4" xfId="121"/>
    <cellStyle name="常规 4 4 2" xfId="2026"/>
    <cellStyle name="常规 4 5" xfId="264"/>
    <cellStyle name="常规 4 5 2" xfId="2027"/>
    <cellStyle name="常规 4 6" xfId="341"/>
    <cellStyle name="常规 4 6 2" xfId="2028"/>
    <cellStyle name="常规 4 7" xfId="345"/>
    <cellStyle name="常规 4 7 2" xfId="2029"/>
    <cellStyle name="常规 4 8" xfId="570"/>
    <cellStyle name="常规 4 8 2" xfId="2030"/>
    <cellStyle name="常规 5" xfId="5"/>
    <cellStyle name="常规 5 2" xfId="56"/>
    <cellStyle name="常规 5 2 2" xfId="2032"/>
    <cellStyle name="常规 5 3" xfId="119"/>
    <cellStyle name="常规 5 3 2" xfId="2033"/>
    <cellStyle name="常规 5 4" xfId="120"/>
    <cellStyle name="常规 5 4 2" xfId="2034"/>
    <cellStyle name="常规 5 5" xfId="265"/>
    <cellStyle name="常规 5 5 2" xfId="2035"/>
    <cellStyle name="常规 5 6" xfId="342"/>
    <cellStyle name="常规 5 6 2" xfId="2036"/>
    <cellStyle name="常规 5 7" xfId="344"/>
    <cellStyle name="常规 5 7 2" xfId="2037"/>
    <cellStyle name="常规 5 8" xfId="571"/>
    <cellStyle name="常规 5 8 2" xfId="2038"/>
    <cellStyle name="常规 5 9" xfId="2031"/>
    <cellStyle name="常规 5_2009" xfId="57"/>
    <cellStyle name="常规 6" xfId="46"/>
    <cellStyle name="常规 6 2" xfId="2039"/>
    <cellStyle name="常规 7" xfId="60"/>
    <cellStyle name="常规 7 2" xfId="141"/>
    <cellStyle name="常规 7 2 2" xfId="654"/>
    <cellStyle name="常规 7 2 2 2" xfId="2042"/>
    <cellStyle name="常规 7 2 3" xfId="2041"/>
    <cellStyle name="常规 7 3" xfId="206"/>
    <cellStyle name="常规 7 3 2" xfId="719"/>
    <cellStyle name="常规 7 3 2 2" xfId="2044"/>
    <cellStyle name="常规 7 3 3" xfId="2043"/>
    <cellStyle name="常规 7 4" xfId="279"/>
    <cellStyle name="常规 7 4 2" xfId="786"/>
    <cellStyle name="常规 7 4 2 2" xfId="2046"/>
    <cellStyle name="常规 7 4 3" xfId="2045"/>
    <cellStyle name="常规 7 5" xfId="359"/>
    <cellStyle name="常规 7 5 2" xfId="853"/>
    <cellStyle name="常规 7 5 2 2" xfId="2048"/>
    <cellStyle name="常规 7 5 3" xfId="2047"/>
    <cellStyle name="常规 7 6" xfId="426"/>
    <cellStyle name="常规 7 6 2" xfId="920"/>
    <cellStyle name="常规 7 6 2 2" xfId="2050"/>
    <cellStyle name="常规 7 6 3" xfId="2049"/>
    <cellStyle name="常规 7 7" xfId="585"/>
    <cellStyle name="常规 7 7 2" xfId="2051"/>
    <cellStyle name="常规 7 8" xfId="2040"/>
    <cellStyle name="常规 8" xfId="480"/>
    <cellStyle name="常规 8 2" xfId="2052"/>
    <cellStyle name="常规 9" xfId="343"/>
    <cellStyle name="常规 9 2" xfId="2053"/>
    <cellStyle name="好" xfId="11" builtinId="26" customBuiltin="1"/>
    <cellStyle name="好 2" xfId="1062"/>
    <cellStyle name="好 2 2" xfId="2054"/>
    <cellStyle name="好_2009" xfId="58"/>
    <cellStyle name="好_2009 2" xfId="2055"/>
    <cellStyle name="汇总" xfId="21" builtinId="25" customBuiltin="1"/>
    <cellStyle name="汇总 2" xfId="1073"/>
    <cellStyle name="汇总 2 2" xfId="2056"/>
    <cellStyle name="计算" xfId="16" builtinId="22" customBuiltin="1"/>
    <cellStyle name="计算 2" xfId="1067"/>
    <cellStyle name="计算 2 2" xfId="2057"/>
    <cellStyle name="检查单元格" xfId="18" builtinId="23" customBuiltin="1"/>
    <cellStyle name="检查单元格 2" xfId="1069"/>
    <cellStyle name="检查单元格 2 2" xfId="2058"/>
    <cellStyle name="解释性文本" xfId="20" builtinId="53" customBuiltin="1"/>
    <cellStyle name="解释性文本 2" xfId="1072"/>
    <cellStyle name="解释性文本 2 2" xfId="2059"/>
    <cellStyle name="警告文本" xfId="19" builtinId="11" customBuiltin="1"/>
    <cellStyle name="警告文本 2" xfId="1070"/>
    <cellStyle name="警告文本 2 2" xfId="2060"/>
    <cellStyle name="链接单元格" xfId="17" builtinId="24" customBuiltin="1"/>
    <cellStyle name="链接单元格 2" xfId="1068"/>
    <cellStyle name="链接单元格 2 2" xfId="2061"/>
    <cellStyle name="强调文字颜色 1" xfId="22" builtinId="29" customBuiltin="1"/>
    <cellStyle name="强调文字颜色 1 2" xfId="1074"/>
    <cellStyle name="强调文字颜色 1 2 2" xfId="2062"/>
    <cellStyle name="强调文字颜色 2" xfId="26" builtinId="33" customBuiltin="1"/>
    <cellStyle name="强调文字颜色 2 2" xfId="1078"/>
    <cellStyle name="强调文字颜色 2 2 2" xfId="2063"/>
    <cellStyle name="强调文字颜色 3" xfId="30" builtinId="37" customBuiltin="1"/>
    <cellStyle name="强调文字颜色 3 2" xfId="1082"/>
    <cellStyle name="强调文字颜色 3 2 2" xfId="2064"/>
    <cellStyle name="强调文字颜色 4" xfId="34" builtinId="41" customBuiltin="1"/>
    <cellStyle name="强调文字颜色 4 2" xfId="1086"/>
    <cellStyle name="强调文字颜色 4 2 2" xfId="2065"/>
    <cellStyle name="强调文字颜色 5" xfId="38" builtinId="45" customBuiltin="1"/>
    <cellStyle name="强调文字颜色 5 2" xfId="1090"/>
    <cellStyle name="强调文字颜色 5 2 2" xfId="2066"/>
    <cellStyle name="强调文字颜色 6" xfId="42" builtinId="49" customBuiltin="1"/>
    <cellStyle name="强调文字颜色 6 2" xfId="1094"/>
    <cellStyle name="强调文字颜色 6 2 2" xfId="2067"/>
    <cellStyle name="适中" xfId="13" builtinId="28" customBuiltin="1"/>
    <cellStyle name="适中 2" xfId="1064"/>
    <cellStyle name="适中 2 2" xfId="2068"/>
    <cellStyle name="输出" xfId="15" builtinId="21" customBuiltin="1"/>
    <cellStyle name="输出 2" xfId="1066"/>
    <cellStyle name="输出 2 2" xfId="2069"/>
    <cellStyle name="输入" xfId="14" builtinId="20" customBuiltin="1"/>
    <cellStyle name="输入 2" xfId="1065"/>
    <cellStyle name="输入 2 2" xfId="2070"/>
    <cellStyle name="着色 1 2" xfId="2160"/>
    <cellStyle name="着色 2 2" xfId="2164"/>
    <cellStyle name="着色 3 2" xfId="2168"/>
    <cellStyle name="着色 4 2" xfId="2172"/>
    <cellStyle name="着色 5 2" xfId="2176"/>
    <cellStyle name="着色 6 2" xfId="2180"/>
    <cellStyle name="注释 10" xfId="498"/>
    <cellStyle name="注释 10 2" xfId="990"/>
    <cellStyle name="注释 10 2 2" xfId="2072"/>
    <cellStyle name="注释 10 3" xfId="2071"/>
    <cellStyle name="注释 11" xfId="497"/>
    <cellStyle name="注释 11 2" xfId="989"/>
    <cellStyle name="注释 11 2 2" xfId="2074"/>
    <cellStyle name="注释 11 3" xfId="2073"/>
    <cellStyle name="注释 12" xfId="542"/>
    <cellStyle name="注释 12 2" xfId="1033"/>
    <cellStyle name="注释 12 2 2" xfId="2076"/>
    <cellStyle name="注释 12 3" xfId="2075"/>
    <cellStyle name="注释 13" xfId="540"/>
    <cellStyle name="注释 13 2" xfId="1031"/>
    <cellStyle name="注释 13 2 2" xfId="2078"/>
    <cellStyle name="注释 13 3" xfId="2077"/>
    <cellStyle name="注释 14" xfId="1071"/>
    <cellStyle name="注释 14 2" xfId="2079"/>
    <cellStyle name="注释 15" xfId="2159"/>
    <cellStyle name="注释 2" xfId="61"/>
    <cellStyle name="注释 2 2" xfId="142"/>
    <cellStyle name="注释 2 2 2" xfId="655"/>
    <cellStyle name="注释 2 2 2 2" xfId="2082"/>
    <cellStyle name="注释 2 2 3" xfId="2081"/>
    <cellStyle name="注释 2 3" xfId="207"/>
    <cellStyle name="注释 2 3 2" xfId="720"/>
    <cellStyle name="注释 2 3 2 2" xfId="2084"/>
    <cellStyle name="注释 2 3 3" xfId="2083"/>
    <cellStyle name="注释 2 4" xfId="280"/>
    <cellStyle name="注释 2 4 2" xfId="787"/>
    <cellStyle name="注释 2 4 2 2" xfId="2086"/>
    <cellStyle name="注释 2 4 3" xfId="2085"/>
    <cellStyle name="注释 2 5" xfId="360"/>
    <cellStyle name="注释 2 5 2" xfId="854"/>
    <cellStyle name="注释 2 5 2 2" xfId="2088"/>
    <cellStyle name="注释 2 5 3" xfId="2087"/>
    <cellStyle name="注释 2 6" xfId="427"/>
    <cellStyle name="注释 2 6 2" xfId="921"/>
    <cellStyle name="注释 2 6 2 2" xfId="2090"/>
    <cellStyle name="注释 2 6 3" xfId="2089"/>
    <cellStyle name="注释 2 7" xfId="586"/>
    <cellStyle name="注释 2 7 2" xfId="2091"/>
    <cellStyle name="注释 2 8" xfId="2080"/>
    <cellStyle name="注释 3" xfId="59"/>
    <cellStyle name="注释 3 2" xfId="140"/>
    <cellStyle name="注释 3 2 2" xfId="653"/>
    <cellStyle name="注释 3 2 2 2" xfId="2094"/>
    <cellStyle name="注释 3 2 3" xfId="2093"/>
    <cellStyle name="注释 3 3" xfId="205"/>
    <cellStyle name="注释 3 3 2" xfId="718"/>
    <cellStyle name="注释 3 3 2 2" xfId="2096"/>
    <cellStyle name="注释 3 3 3" xfId="2095"/>
    <cellStyle name="注释 3 4" xfId="278"/>
    <cellStyle name="注释 3 4 2" xfId="785"/>
    <cellStyle name="注释 3 4 2 2" xfId="2098"/>
    <cellStyle name="注释 3 4 3" xfId="2097"/>
    <cellStyle name="注释 3 5" xfId="358"/>
    <cellStyle name="注释 3 5 2" xfId="852"/>
    <cellStyle name="注释 3 5 2 2" xfId="2100"/>
    <cellStyle name="注释 3 5 3" xfId="2099"/>
    <cellStyle name="注释 3 6" xfId="425"/>
    <cellStyle name="注释 3 6 2" xfId="919"/>
    <cellStyle name="注释 3 6 2 2" xfId="2102"/>
    <cellStyle name="注释 3 6 3" xfId="2101"/>
    <cellStyle name="注释 3 7" xfId="584"/>
    <cellStyle name="注释 3 7 2" xfId="2103"/>
    <cellStyle name="注释 3 8" xfId="2092"/>
    <cellStyle name="注释 4" xfId="62"/>
    <cellStyle name="注释 4 2" xfId="143"/>
    <cellStyle name="注释 4 2 2" xfId="656"/>
    <cellStyle name="注释 4 2 2 2" xfId="2106"/>
    <cellStyle name="注释 4 2 3" xfId="2105"/>
    <cellStyle name="注释 4 3" xfId="208"/>
    <cellStyle name="注释 4 3 2" xfId="721"/>
    <cellStyle name="注释 4 3 2 2" xfId="2108"/>
    <cellStyle name="注释 4 3 3" xfId="2107"/>
    <cellStyle name="注释 4 4" xfId="281"/>
    <cellStyle name="注释 4 4 2" xfId="788"/>
    <cellStyle name="注释 4 4 2 2" xfId="2110"/>
    <cellStyle name="注释 4 4 3" xfId="2109"/>
    <cellStyle name="注释 4 5" xfId="361"/>
    <cellStyle name="注释 4 5 2" xfId="855"/>
    <cellStyle name="注释 4 5 2 2" xfId="2112"/>
    <cellStyle name="注释 4 5 3" xfId="2111"/>
    <cellStyle name="注释 4 6" xfId="428"/>
    <cellStyle name="注释 4 6 2" xfId="922"/>
    <cellStyle name="注释 4 6 2 2" xfId="2114"/>
    <cellStyle name="注释 4 6 3" xfId="2113"/>
    <cellStyle name="注释 4 7" xfId="587"/>
    <cellStyle name="注释 4 7 2" xfId="2115"/>
    <cellStyle name="注释 4 8" xfId="2104"/>
    <cellStyle name="注释 5" xfId="75"/>
    <cellStyle name="注释 5 2" xfId="156"/>
    <cellStyle name="注释 5 2 2" xfId="669"/>
    <cellStyle name="注释 5 2 2 2" xfId="2118"/>
    <cellStyle name="注释 5 2 3" xfId="2117"/>
    <cellStyle name="注释 5 3" xfId="221"/>
    <cellStyle name="注释 5 3 2" xfId="734"/>
    <cellStyle name="注释 5 3 2 2" xfId="2120"/>
    <cellStyle name="注释 5 3 3" xfId="2119"/>
    <cellStyle name="注释 5 4" xfId="294"/>
    <cellStyle name="注释 5 4 2" xfId="801"/>
    <cellStyle name="注释 5 4 2 2" xfId="2122"/>
    <cellStyle name="注释 5 4 3" xfId="2121"/>
    <cellStyle name="注释 5 5" xfId="374"/>
    <cellStyle name="注释 5 5 2" xfId="868"/>
    <cellStyle name="注释 5 5 2 2" xfId="2124"/>
    <cellStyle name="注释 5 5 3" xfId="2123"/>
    <cellStyle name="注释 5 6" xfId="441"/>
    <cellStyle name="注释 5 6 2" xfId="935"/>
    <cellStyle name="注释 5 6 2 2" xfId="2126"/>
    <cellStyle name="注释 5 6 3" xfId="2125"/>
    <cellStyle name="注释 5 7" xfId="600"/>
    <cellStyle name="注释 5 7 2" xfId="2127"/>
    <cellStyle name="注释 5 8" xfId="2116"/>
    <cellStyle name="注释 6" xfId="88"/>
    <cellStyle name="注释 6 2" xfId="169"/>
    <cellStyle name="注释 6 2 2" xfId="682"/>
    <cellStyle name="注释 6 2 2 2" xfId="2130"/>
    <cellStyle name="注释 6 2 3" xfId="2129"/>
    <cellStyle name="注释 6 3" xfId="234"/>
    <cellStyle name="注释 6 3 2" xfId="747"/>
    <cellStyle name="注释 6 3 2 2" xfId="2132"/>
    <cellStyle name="注释 6 3 3" xfId="2131"/>
    <cellStyle name="注释 6 4" xfId="307"/>
    <cellStyle name="注释 6 4 2" xfId="814"/>
    <cellStyle name="注释 6 4 2 2" xfId="2134"/>
    <cellStyle name="注释 6 4 3" xfId="2133"/>
    <cellStyle name="注释 6 5" xfId="387"/>
    <cellStyle name="注释 6 5 2" xfId="881"/>
    <cellStyle name="注释 6 5 2 2" xfId="2136"/>
    <cellStyle name="注释 6 5 3" xfId="2135"/>
    <cellStyle name="注释 6 6" xfId="454"/>
    <cellStyle name="注释 6 6 2" xfId="948"/>
    <cellStyle name="注释 6 6 2 2" xfId="2138"/>
    <cellStyle name="注释 6 6 3" xfId="2137"/>
    <cellStyle name="注释 6 7" xfId="613"/>
    <cellStyle name="注释 6 7 2" xfId="2139"/>
    <cellStyle name="注释 6 8" xfId="2128"/>
    <cellStyle name="注释 7" xfId="101"/>
    <cellStyle name="注释 7 2" xfId="182"/>
    <cellStyle name="注释 7 2 2" xfId="695"/>
    <cellStyle name="注释 7 2 2 2" xfId="2142"/>
    <cellStyle name="注释 7 2 3" xfId="2141"/>
    <cellStyle name="注释 7 3" xfId="247"/>
    <cellStyle name="注释 7 3 2" xfId="760"/>
    <cellStyle name="注释 7 3 2 2" xfId="2144"/>
    <cellStyle name="注释 7 3 3" xfId="2143"/>
    <cellStyle name="注释 7 4" xfId="320"/>
    <cellStyle name="注释 7 4 2" xfId="827"/>
    <cellStyle name="注释 7 4 2 2" xfId="2146"/>
    <cellStyle name="注释 7 4 3" xfId="2145"/>
    <cellStyle name="注释 7 5" xfId="400"/>
    <cellStyle name="注释 7 5 2" xfId="894"/>
    <cellStyle name="注释 7 5 2 2" xfId="2148"/>
    <cellStyle name="注释 7 5 3" xfId="2147"/>
    <cellStyle name="注释 7 6" xfId="467"/>
    <cellStyle name="注释 7 6 2" xfId="961"/>
    <cellStyle name="注释 7 6 2 2" xfId="2150"/>
    <cellStyle name="注释 7 6 3" xfId="2149"/>
    <cellStyle name="注释 7 7" xfId="626"/>
    <cellStyle name="注释 7 7 2" xfId="2151"/>
    <cellStyle name="注释 7 8" xfId="2140"/>
    <cellStyle name="注释 8" xfId="490"/>
    <cellStyle name="注释 8 2" xfId="982"/>
    <cellStyle name="注释 8 2 2" xfId="2153"/>
    <cellStyle name="注释 8 3" xfId="2152"/>
    <cellStyle name="注释 9" xfId="486"/>
    <cellStyle name="注释 9 2" xfId="978"/>
    <cellStyle name="注释 9 2 2" xfId="2155"/>
    <cellStyle name="注释 9 3" xfId="2154"/>
  </cellStyles>
  <dxfs count="0"/>
  <tableStyles count="0" defaultTableStyle="TableStyleMedium9" defaultPivotStyle="PivotStyleLight16"/>
  <colors>
    <mruColors>
      <color rgb="FFFF66FF"/>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sheetPr codeName="Sheet2"/>
  <dimension ref="A1:B11"/>
  <sheetViews>
    <sheetView workbookViewId="0">
      <selection activeCell="C11" sqref="C11"/>
    </sheetView>
  </sheetViews>
  <sheetFormatPr defaultColWidth="8.88671875" defaultRowHeight="14.4"/>
  <cols>
    <col min="1" max="16384" width="8.88671875" style="67"/>
  </cols>
  <sheetData>
    <row r="1" spans="1:2">
      <c r="A1" s="66" t="s">
        <v>438</v>
      </c>
      <c r="B1" s="66" t="s">
        <v>439</v>
      </c>
    </row>
    <row r="2" spans="1:2">
      <c r="A2" s="67">
        <v>1</v>
      </c>
      <c r="B2" s="66" t="s">
        <v>440</v>
      </c>
    </row>
    <row r="3" spans="1:2">
      <c r="A3" s="67">
        <v>2</v>
      </c>
      <c r="B3" s="66" t="s">
        <v>441</v>
      </c>
    </row>
    <row r="4" spans="1:2">
      <c r="A4" s="67">
        <v>3</v>
      </c>
      <c r="B4" s="66" t="s">
        <v>442</v>
      </c>
    </row>
    <row r="5" spans="1:2">
      <c r="A5" s="67">
        <v>4</v>
      </c>
      <c r="B5" s="66" t="s">
        <v>443</v>
      </c>
    </row>
    <row r="6" spans="1:2">
      <c r="A6" s="67">
        <v>5</v>
      </c>
      <c r="B6" s="66" t="s">
        <v>444</v>
      </c>
    </row>
    <row r="7" spans="1:2">
      <c r="A7" s="67">
        <v>6</v>
      </c>
      <c r="B7" s="66" t="s">
        <v>445</v>
      </c>
    </row>
    <row r="8" spans="1:2">
      <c r="A8" s="67">
        <v>7</v>
      </c>
      <c r="B8" s="66" t="s">
        <v>919</v>
      </c>
    </row>
    <row r="9" spans="1:2">
      <c r="A9" s="67">
        <v>8</v>
      </c>
      <c r="B9" s="66" t="s">
        <v>446</v>
      </c>
    </row>
    <row r="10" spans="1:2">
      <c r="A10" s="67">
        <v>9</v>
      </c>
      <c r="B10" s="66" t="s">
        <v>918</v>
      </c>
    </row>
    <row r="11" spans="1:2">
      <c r="A11" s="67">
        <v>10</v>
      </c>
    </row>
  </sheetData>
  <phoneticPr fontId="18"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6"/>
  <dimension ref="A1:U348"/>
  <sheetViews>
    <sheetView workbookViewId="0">
      <selection activeCell="B3" sqref="B3"/>
    </sheetView>
  </sheetViews>
  <sheetFormatPr defaultRowHeight="14.4"/>
  <cols>
    <col min="1" max="1" width="12.33203125" style="16" customWidth="1"/>
    <col min="13" max="21" width="8.88671875" style="67"/>
  </cols>
  <sheetData>
    <row r="1" spans="1:2" ht="15" customHeight="1">
      <c r="A1" s="16" t="s">
        <v>447</v>
      </c>
      <c r="B1" s="18" t="s">
        <v>695</v>
      </c>
    </row>
    <row r="2" spans="1:2" ht="15" customHeight="1">
      <c r="A2" s="16">
        <v>43983</v>
      </c>
      <c r="B2" s="18" t="s">
        <v>1584</v>
      </c>
    </row>
    <row r="3" spans="1:2" ht="15" customHeight="1">
      <c r="A3" s="16">
        <v>43980</v>
      </c>
      <c r="B3" s="18" t="s">
        <v>1448</v>
      </c>
    </row>
    <row r="4" spans="1:2" ht="15" customHeight="1">
      <c r="A4" s="16">
        <v>43979</v>
      </c>
      <c r="B4" s="18" t="s">
        <v>1234</v>
      </c>
    </row>
    <row r="5" spans="1:2" ht="15" customHeight="1">
      <c r="A5" s="16">
        <v>43978</v>
      </c>
      <c r="B5" s="18" t="s">
        <v>1233</v>
      </c>
    </row>
    <row r="6" spans="1:2" ht="15" customHeight="1">
      <c r="A6" s="16">
        <v>43977</v>
      </c>
      <c r="B6" s="18" t="s">
        <v>1229</v>
      </c>
    </row>
    <row r="7" spans="1:2" ht="15" customHeight="1">
      <c r="A7" s="16">
        <v>43976</v>
      </c>
      <c r="B7" s="18" t="s">
        <v>1227</v>
      </c>
    </row>
    <row r="8" spans="1:2" ht="15" customHeight="1">
      <c r="A8" s="16">
        <v>43973</v>
      </c>
      <c r="B8" s="18" t="s">
        <v>1215</v>
      </c>
    </row>
    <row r="9" spans="1:2" ht="15" customHeight="1">
      <c r="A9" s="16">
        <v>43972</v>
      </c>
      <c r="B9" s="18" t="s">
        <v>1212</v>
      </c>
    </row>
    <row r="10" spans="1:2" ht="15" customHeight="1">
      <c r="A10" s="16">
        <v>43971</v>
      </c>
      <c r="B10" s="18" t="s">
        <v>1207</v>
      </c>
    </row>
    <row r="11" spans="1:2" ht="15" customHeight="1">
      <c r="A11" s="16">
        <v>43970</v>
      </c>
      <c r="B11" s="18" t="s">
        <v>1201</v>
      </c>
    </row>
    <row r="12" spans="1:2" ht="15" customHeight="1">
      <c r="A12" s="16">
        <v>43969</v>
      </c>
      <c r="B12" s="18" t="s">
        <v>1187</v>
      </c>
    </row>
    <row r="13" spans="1:2" ht="15" customHeight="1">
      <c r="A13" s="16">
        <v>43966</v>
      </c>
      <c r="B13" s="18" t="s">
        <v>1137</v>
      </c>
    </row>
    <row r="14" spans="1:2" ht="15" customHeight="1">
      <c r="A14" s="16">
        <v>43965</v>
      </c>
      <c r="B14" s="18" t="s">
        <v>1133</v>
      </c>
    </row>
    <row r="15" spans="1:2" ht="15" customHeight="1">
      <c r="A15" s="16">
        <v>43964</v>
      </c>
      <c r="B15" s="18" t="s">
        <v>1126</v>
      </c>
    </row>
    <row r="16" spans="1:2" ht="15" customHeight="1">
      <c r="A16" s="16">
        <v>43963</v>
      </c>
      <c r="B16" s="18" t="s">
        <v>1122</v>
      </c>
    </row>
    <row r="17" spans="1:2" ht="15" customHeight="1">
      <c r="A17" s="16">
        <v>43962</v>
      </c>
      <c r="B17" s="18" t="s">
        <v>1119</v>
      </c>
    </row>
    <row r="18" spans="1:2" ht="15" customHeight="1">
      <c r="A18" s="16">
        <v>43959</v>
      </c>
      <c r="B18" s="18" t="s">
        <v>1118</v>
      </c>
    </row>
    <row r="19" spans="1:2" ht="15" customHeight="1">
      <c r="A19" s="16">
        <v>43958</v>
      </c>
      <c r="B19" s="18" t="s">
        <v>1116</v>
      </c>
    </row>
    <row r="20" spans="1:2" ht="15" customHeight="1">
      <c r="A20" s="16">
        <v>43957</v>
      </c>
      <c r="B20" s="18" t="s">
        <v>1115</v>
      </c>
    </row>
    <row r="21" spans="1:2" ht="15" customHeight="1">
      <c r="A21" s="16">
        <v>43927</v>
      </c>
      <c r="B21" s="18" t="s">
        <v>1114</v>
      </c>
    </row>
    <row r="22" spans="1:2" ht="15" customHeight="1">
      <c r="A22" s="16">
        <v>43951</v>
      </c>
      <c r="B22" s="18" t="s">
        <v>1111</v>
      </c>
    </row>
    <row r="23" spans="1:2" ht="15" customHeight="1">
      <c r="A23" s="16">
        <v>43950</v>
      </c>
      <c r="B23" s="18" t="s">
        <v>1109</v>
      </c>
    </row>
    <row r="24" spans="1:2" ht="15" customHeight="1">
      <c r="A24" s="16">
        <v>43949</v>
      </c>
      <c r="B24" s="18" t="s">
        <v>1106</v>
      </c>
    </row>
    <row r="25" spans="1:2" ht="15" customHeight="1">
      <c r="A25" s="16">
        <v>43948</v>
      </c>
      <c r="B25" s="18" t="s">
        <v>1101</v>
      </c>
    </row>
    <row r="26" spans="1:2" ht="15" customHeight="1">
      <c r="A26" s="16">
        <v>43945</v>
      </c>
      <c r="B26" s="18" t="s">
        <v>1081</v>
      </c>
    </row>
    <row r="27" spans="1:2" ht="15" customHeight="1">
      <c r="A27" s="16">
        <v>43944</v>
      </c>
      <c r="B27" s="18" t="s">
        <v>1079</v>
      </c>
    </row>
    <row r="28" spans="1:2" ht="15" customHeight="1">
      <c r="A28" s="16">
        <v>43943</v>
      </c>
      <c r="B28" s="18" t="s">
        <v>1076</v>
      </c>
    </row>
    <row r="29" spans="1:2" ht="15" customHeight="1">
      <c r="A29" s="16">
        <v>43942</v>
      </c>
      <c r="B29" s="18" t="s">
        <v>1069</v>
      </c>
    </row>
    <row r="30" spans="1:2" ht="15" customHeight="1">
      <c r="A30" s="16">
        <v>43941</v>
      </c>
      <c r="B30" s="18" t="s">
        <v>1068</v>
      </c>
    </row>
    <row r="31" spans="1:2" ht="15" customHeight="1">
      <c r="A31" s="16">
        <v>43938</v>
      </c>
      <c r="B31" s="18" t="s">
        <v>1067</v>
      </c>
    </row>
    <row r="32" spans="1:2" ht="15" customHeight="1">
      <c r="A32" s="16">
        <v>43937</v>
      </c>
      <c r="B32" s="18" t="s">
        <v>1061</v>
      </c>
    </row>
    <row r="33" spans="1:2" ht="15" customHeight="1">
      <c r="A33" s="16">
        <v>43936</v>
      </c>
      <c r="B33" s="18" t="s">
        <v>1058</v>
      </c>
    </row>
    <row r="34" spans="1:2" ht="15" customHeight="1">
      <c r="A34" s="16">
        <v>43935</v>
      </c>
      <c r="B34" s="18" t="s">
        <v>1057</v>
      </c>
    </row>
    <row r="35" spans="1:2" ht="15" customHeight="1">
      <c r="A35" s="16">
        <v>43934</v>
      </c>
      <c r="B35" s="18" t="s">
        <v>1055</v>
      </c>
    </row>
    <row r="36" spans="1:2" ht="15" customHeight="1">
      <c r="A36" s="16">
        <v>43931</v>
      </c>
      <c r="B36" s="18" t="s">
        <v>1054</v>
      </c>
    </row>
    <row r="37" spans="1:2" ht="15" customHeight="1">
      <c r="A37" s="16">
        <v>43930</v>
      </c>
      <c r="B37" s="18" t="s">
        <v>1053</v>
      </c>
    </row>
    <row r="38" spans="1:2" ht="15" customHeight="1">
      <c r="A38" s="16">
        <v>43929</v>
      </c>
      <c r="B38" s="18" t="s">
        <v>1052</v>
      </c>
    </row>
    <row r="39" spans="1:2" ht="15" customHeight="1">
      <c r="A39" s="16">
        <v>43928</v>
      </c>
      <c r="B39" s="18" t="s">
        <v>1050</v>
      </c>
    </row>
    <row r="40" spans="1:2" ht="15" customHeight="1">
      <c r="A40" s="16">
        <v>43924</v>
      </c>
      <c r="B40" s="18" t="s">
        <v>1047</v>
      </c>
    </row>
    <row r="41" spans="1:2" ht="15" customHeight="1">
      <c r="A41" s="16">
        <v>43923</v>
      </c>
      <c r="B41" s="18" t="s">
        <v>1044</v>
      </c>
    </row>
    <row r="42" spans="1:2" ht="15" customHeight="1">
      <c r="A42" s="16">
        <v>43922</v>
      </c>
      <c r="B42" s="18" t="s">
        <v>1042</v>
      </c>
    </row>
    <row r="43" spans="1:2" ht="15" customHeight="1">
      <c r="A43" s="16">
        <v>43921</v>
      </c>
      <c r="B43" s="18" t="s">
        <v>1039</v>
      </c>
    </row>
    <row r="44" spans="1:2" ht="15" customHeight="1">
      <c r="A44" s="16">
        <v>43920</v>
      </c>
      <c r="B44" s="18" t="s">
        <v>1034</v>
      </c>
    </row>
    <row r="45" spans="1:2" ht="15" customHeight="1">
      <c r="A45" s="16">
        <v>43917</v>
      </c>
      <c r="B45" s="18" t="s">
        <v>1032</v>
      </c>
    </row>
    <row r="46" spans="1:2" ht="15" customHeight="1">
      <c r="A46" s="16">
        <v>43916</v>
      </c>
      <c r="B46" s="18" t="s">
        <v>1028</v>
      </c>
    </row>
    <row r="47" spans="1:2" ht="15" customHeight="1">
      <c r="A47" s="16">
        <v>43914</v>
      </c>
      <c r="B47" s="18" t="s">
        <v>1027</v>
      </c>
    </row>
    <row r="48" spans="1:2" ht="15" customHeight="1">
      <c r="A48" s="16">
        <v>43913</v>
      </c>
      <c r="B48" s="18" t="s">
        <v>1026</v>
      </c>
    </row>
    <row r="49" spans="1:2" ht="15" customHeight="1">
      <c r="A49" s="16">
        <v>43910</v>
      </c>
      <c r="B49" s="18" t="s">
        <v>1025</v>
      </c>
    </row>
    <row r="50" spans="1:2" ht="15" customHeight="1">
      <c r="A50" s="16">
        <v>43909</v>
      </c>
      <c r="B50" s="18" t="s">
        <v>1022</v>
      </c>
    </row>
    <row r="51" spans="1:2" ht="15" customHeight="1">
      <c r="A51" s="16">
        <v>43908</v>
      </c>
      <c r="B51" s="18" t="s">
        <v>1016</v>
      </c>
    </row>
    <row r="52" spans="1:2" ht="15" customHeight="1">
      <c r="A52" s="16">
        <v>43907</v>
      </c>
      <c r="B52" s="18" t="s">
        <v>1013</v>
      </c>
    </row>
    <row r="53" spans="1:2" ht="15" customHeight="1">
      <c r="A53" s="16">
        <v>43906</v>
      </c>
      <c r="B53" s="18" t="s">
        <v>1010</v>
      </c>
    </row>
    <row r="54" spans="1:2" ht="15" customHeight="1">
      <c r="A54" s="16">
        <v>43903</v>
      </c>
      <c r="B54" s="18" t="s">
        <v>1009</v>
      </c>
    </row>
    <row r="55" spans="1:2" ht="15" customHeight="1">
      <c r="A55" s="16">
        <v>43902</v>
      </c>
      <c r="B55" s="18" t="s">
        <v>1008</v>
      </c>
    </row>
    <row r="56" spans="1:2" ht="15" customHeight="1">
      <c r="A56" s="16">
        <v>43901</v>
      </c>
      <c r="B56" s="18" t="s">
        <v>1007</v>
      </c>
    </row>
    <row r="57" spans="1:2" ht="15" customHeight="1">
      <c r="A57" s="16">
        <v>43900</v>
      </c>
      <c r="B57" s="18" t="s">
        <v>1006</v>
      </c>
    </row>
    <row r="58" spans="1:2" ht="15" customHeight="1">
      <c r="A58" s="16">
        <v>43896</v>
      </c>
      <c r="B58" s="18" t="s">
        <v>1000</v>
      </c>
    </row>
    <row r="59" spans="1:2" ht="15" customHeight="1">
      <c r="A59" s="16">
        <v>43895</v>
      </c>
      <c r="B59" s="18" t="s">
        <v>991</v>
      </c>
    </row>
    <row r="60" spans="1:2" ht="15" customHeight="1">
      <c r="A60" s="16">
        <v>43894</v>
      </c>
      <c r="B60" s="18" t="s">
        <v>990</v>
      </c>
    </row>
    <row r="61" spans="1:2" ht="15" customHeight="1">
      <c r="A61" s="16">
        <v>43893</v>
      </c>
      <c r="B61" s="18" t="s">
        <v>989</v>
      </c>
    </row>
    <row r="62" spans="1:2" ht="15" customHeight="1">
      <c r="A62" s="16">
        <v>43892</v>
      </c>
      <c r="B62" s="18" t="s">
        <v>984</v>
      </c>
    </row>
    <row r="63" spans="1:2" ht="15" customHeight="1">
      <c r="A63" s="16">
        <v>43889</v>
      </c>
      <c r="B63" s="18" t="s">
        <v>973</v>
      </c>
    </row>
    <row r="64" spans="1:2" ht="15" customHeight="1">
      <c r="A64" s="16">
        <v>43888</v>
      </c>
      <c r="B64" s="18" t="s">
        <v>971</v>
      </c>
    </row>
    <row r="65" spans="1:2" ht="15" customHeight="1">
      <c r="A65" s="16">
        <v>43887</v>
      </c>
      <c r="B65" s="18" t="s">
        <v>967</v>
      </c>
    </row>
    <row r="66" spans="1:2" ht="15" customHeight="1">
      <c r="A66" s="16">
        <v>43886</v>
      </c>
      <c r="B66" s="18" t="s">
        <v>965</v>
      </c>
    </row>
    <row r="67" spans="1:2" ht="15" customHeight="1">
      <c r="A67" s="16">
        <v>43885</v>
      </c>
      <c r="B67" s="18" t="s">
        <v>963</v>
      </c>
    </row>
    <row r="68" spans="1:2" ht="15" customHeight="1">
      <c r="A68" s="16">
        <v>43882</v>
      </c>
      <c r="B68" s="18" t="s">
        <v>961</v>
      </c>
    </row>
    <row r="69" spans="1:2" ht="15" customHeight="1">
      <c r="A69" s="16">
        <v>43881</v>
      </c>
      <c r="B69" s="18" t="s">
        <v>954</v>
      </c>
    </row>
    <row r="70" spans="1:2" ht="15" customHeight="1">
      <c r="A70" s="16">
        <v>43880</v>
      </c>
      <c r="B70" s="18" t="s">
        <v>953</v>
      </c>
    </row>
    <row r="71" spans="1:2" ht="15" customHeight="1">
      <c r="A71" s="16">
        <v>43879</v>
      </c>
      <c r="B71" s="18" t="s">
        <v>951</v>
      </c>
    </row>
    <row r="72" spans="1:2" ht="15" customHeight="1">
      <c r="A72" s="16">
        <v>43878</v>
      </c>
      <c r="B72" s="18" t="s">
        <v>950</v>
      </c>
    </row>
    <row r="73" spans="1:2" ht="15" customHeight="1">
      <c r="A73" s="16">
        <v>43875</v>
      </c>
      <c r="B73" s="18" t="s">
        <v>945</v>
      </c>
    </row>
    <row r="74" spans="1:2" ht="15" customHeight="1">
      <c r="A74" s="16">
        <v>43874</v>
      </c>
      <c r="B74" s="18" t="s">
        <v>944</v>
      </c>
    </row>
    <row r="75" spans="1:2" ht="15" customHeight="1">
      <c r="A75" s="16">
        <v>43873</v>
      </c>
      <c r="B75" s="18" t="s">
        <v>943</v>
      </c>
    </row>
    <row r="76" spans="1:2" ht="15" customHeight="1">
      <c r="A76" s="16">
        <v>43872</v>
      </c>
      <c r="B76" s="18" t="s">
        <v>942</v>
      </c>
    </row>
    <row r="77" spans="1:2" ht="15" customHeight="1">
      <c r="A77" s="16">
        <v>43871</v>
      </c>
      <c r="B77" s="18" t="s">
        <v>924</v>
      </c>
    </row>
    <row r="78" spans="1:2" ht="15" customHeight="1">
      <c r="A78" s="16">
        <v>43868</v>
      </c>
      <c r="B78" s="18" t="s">
        <v>917</v>
      </c>
    </row>
    <row r="79" spans="1:2" ht="15" customHeight="1">
      <c r="A79" s="16">
        <v>43867</v>
      </c>
      <c r="B79" s="18" t="s">
        <v>916</v>
      </c>
    </row>
    <row r="80" spans="1:2" ht="15" customHeight="1">
      <c r="A80" s="16">
        <v>43866</v>
      </c>
      <c r="B80" s="18" t="s">
        <v>915</v>
      </c>
    </row>
    <row r="81" spans="1:18" ht="15" customHeight="1">
      <c r="A81" s="16">
        <v>43865</v>
      </c>
      <c r="B81" s="18" t="s">
        <v>894</v>
      </c>
    </row>
    <row r="82" spans="1:18" ht="15" customHeight="1">
      <c r="A82" s="16">
        <v>43864</v>
      </c>
      <c r="B82" s="18" t="s">
        <v>868</v>
      </c>
      <c r="R82" s="67">
        <v>1.4912000000000001</v>
      </c>
    </row>
    <row r="83" spans="1:18" ht="15" customHeight="1">
      <c r="A83" s="16">
        <v>43853</v>
      </c>
      <c r="B83" s="18" t="s">
        <v>859</v>
      </c>
      <c r="R83" s="67">
        <v>1.6196999999999999</v>
      </c>
    </row>
    <row r="84" spans="1:18" ht="15" customHeight="1">
      <c r="A84" s="16">
        <v>43852</v>
      </c>
      <c r="B84" s="18" t="s">
        <v>856</v>
      </c>
      <c r="R84" s="67">
        <f>R83/R82-1</f>
        <v>8.6172210300428986E-2</v>
      </c>
    </row>
    <row r="85" spans="1:18" ht="15" customHeight="1">
      <c r="A85" s="16">
        <v>43851</v>
      </c>
      <c r="B85" s="18" t="s">
        <v>855</v>
      </c>
    </row>
    <row r="86" spans="1:18" ht="15" customHeight="1">
      <c r="A86" s="16">
        <v>43850</v>
      </c>
      <c r="B86" s="18" t="s">
        <v>858</v>
      </c>
    </row>
    <row r="87" spans="1:18" ht="15" customHeight="1">
      <c r="A87" s="16">
        <v>43847</v>
      </c>
      <c r="B87" s="18" t="s">
        <v>850</v>
      </c>
    </row>
    <row r="88" spans="1:18" ht="15" customHeight="1">
      <c r="A88" s="16">
        <v>43846</v>
      </c>
      <c r="B88" s="18" t="s">
        <v>844</v>
      </c>
      <c r="O88" s="96"/>
    </row>
    <row r="89" spans="1:18" ht="15" customHeight="1">
      <c r="A89" s="16">
        <v>43845</v>
      </c>
      <c r="B89" s="18" t="s">
        <v>843</v>
      </c>
    </row>
    <row r="90" spans="1:18" ht="15" customHeight="1">
      <c r="A90" s="16">
        <v>43844</v>
      </c>
      <c r="B90" s="18" t="s">
        <v>842</v>
      </c>
    </row>
    <row r="91" spans="1:18" ht="15" customHeight="1">
      <c r="A91" s="16">
        <v>43843</v>
      </c>
      <c r="B91" s="18" t="s">
        <v>841</v>
      </c>
    </row>
    <row r="92" spans="1:18" ht="15" customHeight="1">
      <c r="A92" s="16">
        <v>43840</v>
      </c>
      <c r="B92" s="18" t="s">
        <v>840</v>
      </c>
    </row>
    <row r="93" spans="1:18" ht="15" customHeight="1">
      <c r="A93" s="16">
        <v>43839</v>
      </c>
      <c r="B93" s="18" t="s">
        <v>839</v>
      </c>
    </row>
    <row r="94" spans="1:18" ht="15" customHeight="1">
      <c r="A94" s="16">
        <v>43838</v>
      </c>
      <c r="B94" s="18" t="s">
        <v>838</v>
      </c>
    </row>
    <row r="95" spans="1:18" ht="15" customHeight="1">
      <c r="A95" s="16">
        <v>43837</v>
      </c>
      <c r="B95" s="18" t="s">
        <v>837</v>
      </c>
    </row>
    <row r="96" spans="1:18" ht="15" customHeight="1">
      <c r="A96" s="16">
        <v>43836</v>
      </c>
      <c r="B96" s="18" t="s">
        <v>835</v>
      </c>
    </row>
    <row r="97" spans="1:2">
      <c r="A97" s="16">
        <v>43833</v>
      </c>
      <c r="B97" s="18" t="s">
        <v>834</v>
      </c>
    </row>
    <row r="98" spans="1:2">
      <c r="A98" s="16">
        <v>43832</v>
      </c>
      <c r="B98" s="18" t="s">
        <v>729</v>
      </c>
    </row>
    <row r="99" spans="1:2">
      <c r="A99" s="16">
        <v>43830</v>
      </c>
      <c r="B99" s="18" t="s">
        <v>698</v>
      </c>
    </row>
    <row r="100" spans="1:2">
      <c r="A100" s="16">
        <v>43829</v>
      </c>
      <c r="B100" s="18" t="s">
        <v>696</v>
      </c>
    </row>
    <row r="101" spans="1:2">
      <c r="A101" s="16">
        <v>43826</v>
      </c>
      <c r="B101" s="18" t="s">
        <v>448</v>
      </c>
    </row>
    <row r="102" spans="1:2">
      <c r="A102" s="16">
        <v>43825</v>
      </c>
      <c r="B102" s="18" t="s">
        <v>449</v>
      </c>
    </row>
    <row r="103" spans="1:2">
      <c r="A103" s="16">
        <v>43824</v>
      </c>
      <c r="B103" s="18" t="s">
        <v>450</v>
      </c>
    </row>
    <row r="104" spans="1:2">
      <c r="A104" s="16">
        <v>43823</v>
      </c>
      <c r="B104" s="18" t="s">
        <v>451</v>
      </c>
    </row>
    <row r="105" spans="1:2">
      <c r="A105" s="16">
        <v>43822</v>
      </c>
      <c r="B105" s="18" t="s">
        <v>452</v>
      </c>
    </row>
    <row r="106" spans="1:2">
      <c r="A106" s="16">
        <v>43819</v>
      </c>
      <c r="B106" s="18" t="s">
        <v>453</v>
      </c>
    </row>
    <row r="107" spans="1:2">
      <c r="A107" s="16">
        <v>43818</v>
      </c>
      <c r="B107" s="18" t="s">
        <v>454</v>
      </c>
    </row>
    <row r="108" spans="1:2">
      <c r="A108" s="16">
        <v>43817</v>
      </c>
      <c r="B108" s="18" t="s">
        <v>455</v>
      </c>
    </row>
    <row r="109" spans="1:2">
      <c r="A109" s="16">
        <v>43816</v>
      </c>
      <c r="B109" s="18" t="s">
        <v>456</v>
      </c>
    </row>
    <row r="110" spans="1:2">
      <c r="A110" s="16">
        <v>43815</v>
      </c>
      <c r="B110" s="18" t="s">
        <v>457</v>
      </c>
    </row>
    <row r="111" spans="1:2">
      <c r="A111" s="16">
        <v>43812</v>
      </c>
      <c r="B111" s="18" t="s">
        <v>458</v>
      </c>
    </row>
    <row r="112" spans="1:2">
      <c r="A112" s="16">
        <v>43811</v>
      </c>
      <c r="B112" s="18" t="s">
        <v>459</v>
      </c>
    </row>
    <row r="113" spans="1:2">
      <c r="A113" s="16">
        <v>43810</v>
      </c>
      <c r="B113" s="18" t="s">
        <v>460</v>
      </c>
    </row>
    <row r="114" spans="1:2">
      <c r="A114" s="16">
        <v>43809</v>
      </c>
      <c r="B114" s="18" t="s">
        <v>461</v>
      </c>
    </row>
    <row r="115" spans="1:2">
      <c r="A115" s="16">
        <v>43808</v>
      </c>
      <c r="B115" s="18" t="s">
        <v>462</v>
      </c>
    </row>
    <row r="116" spans="1:2">
      <c r="A116" s="16">
        <v>43804</v>
      </c>
      <c r="B116" s="18" t="s">
        <v>463</v>
      </c>
    </row>
    <row r="117" spans="1:2">
      <c r="A117" s="16">
        <v>43803</v>
      </c>
      <c r="B117" s="18" t="s">
        <v>464</v>
      </c>
    </row>
    <row r="118" spans="1:2">
      <c r="A118" s="16">
        <v>43802</v>
      </c>
      <c r="B118" s="18" t="s">
        <v>465</v>
      </c>
    </row>
    <row r="119" spans="1:2">
      <c r="A119" s="16">
        <v>43802</v>
      </c>
      <c r="B119" s="18" t="s">
        <v>466</v>
      </c>
    </row>
    <row r="120" spans="1:2">
      <c r="A120" s="16">
        <v>43801</v>
      </c>
      <c r="B120" s="18" t="s">
        <v>467</v>
      </c>
    </row>
    <row r="121" spans="1:2">
      <c r="A121" s="16">
        <v>43798</v>
      </c>
      <c r="B121" s="18" t="s">
        <v>468</v>
      </c>
    </row>
    <row r="122" spans="1:2">
      <c r="A122" s="16">
        <v>43797</v>
      </c>
      <c r="B122" s="18" t="s">
        <v>469</v>
      </c>
    </row>
    <row r="123" spans="1:2">
      <c r="A123" s="16">
        <v>43796</v>
      </c>
      <c r="B123" s="18" t="s">
        <v>470</v>
      </c>
    </row>
    <row r="124" spans="1:2">
      <c r="A124" s="16">
        <v>43795</v>
      </c>
      <c r="B124" s="18" t="s">
        <v>471</v>
      </c>
    </row>
    <row r="125" spans="1:2">
      <c r="A125" s="16">
        <v>43794</v>
      </c>
      <c r="B125" s="18" t="s">
        <v>472</v>
      </c>
    </row>
    <row r="126" spans="1:2">
      <c r="A126" s="16">
        <v>43791</v>
      </c>
      <c r="B126" s="18" t="s">
        <v>473</v>
      </c>
    </row>
    <row r="127" spans="1:2">
      <c r="A127" s="16">
        <v>43790</v>
      </c>
      <c r="B127" s="18" t="s">
        <v>474</v>
      </c>
    </row>
    <row r="128" spans="1:2">
      <c r="A128" s="16">
        <v>43789</v>
      </c>
      <c r="B128" s="18" t="s">
        <v>475</v>
      </c>
    </row>
    <row r="129" spans="1:2">
      <c r="A129" s="16">
        <v>43788</v>
      </c>
      <c r="B129" s="18" t="s">
        <v>476</v>
      </c>
    </row>
    <row r="130" spans="1:2">
      <c r="A130" s="16">
        <v>43787</v>
      </c>
      <c r="B130" s="18" t="s">
        <v>477</v>
      </c>
    </row>
    <row r="131" spans="1:2">
      <c r="A131" s="16">
        <v>43784</v>
      </c>
      <c r="B131" s="18" t="s">
        <v>478</v>
      </c>
    </row>
    <row r="132" spans="1:2">
      <c r="A132" s="16">
        <v>43783</v>
      </c>
      <c r="B132" s="18" t="s">
        <v>479</v>
      </c>
    </row>
    <row r="133" spans="1:2">
      <c r="A133" s="16">
        <v>43782</v>
      </c>
      <c r="B133" s="18" t="s">
        <v>480</v>
      </c>
    </row>
    <row r="134" spans="1:2">
      <c r="A134" s="16">
        <v>43781</v>
      </c>
      <c r="B134" s="18" t="s">
        <v>481</v>
      </c>
    </row>
    <row r="135" spans="1:2">
      <c r="A135" s="16">
        <v>43780</v>
      </c>
      <c r="B135" s="18" t="s">
        <v>482</v>
      </c>
    </row>
    <row r="136" spans="1:2">
      <c r="A136" s="16">
        <v>43777</v>
      </c>
      <c r="B136" s="18" t="s">
        <v>483</v>
      </c>
    </row>
    <row r="137" spans="1:2">
      <c r="A137" s="16">
        <v>43776</v>
      </c>
      <c r="B137" s="18" t="s">
        <v>484</v>
      </c>
    </row>
    <row r="138" spans="1:2">
      <c r="A138" s="16">
        <v>43775</v>
      </c>
      <c r="B138" s="18" t="s">
        <v>485</v>
      </c>
    </row>
    <row r="139" spans="1:2">
      <c r="A139" s="16">
        <v>43774</v>
      </c>
      <c r="B139" s="18" t="s">
        <v>486</v>
      </c>
    </row>
    <row r="140" spans="1:2">
      <c r="A140" s="16">
        <v>43773</v>
      </c>
      <c r="B140" s="18" t="s">
        <v>487</v>
      </c>
    </row>
    <row r="141" spans="1:2">
      <c r="A141" s="16">
        <v>43770</v>
      </c>
      <c r="B141" s="18" t="s">
        <v>488</v>
      </c>
    </row>
    <row r="142" spans="1:2">
      <c r="A142" s="16">
        <v>43769</v>
      </c>
      <c r="B142" s="18" t="s">
        <v>489</v>
      </c>
    </row>
    <row r="143" spans="1:2">
      <c r="A143" s="16">
        <v>43768</v>
      </c>
      <c r="B143" s="18" t="s">
        <v>490</v>
      </c>
    </row>
    <row r="144" spans="1:2">
      <c r="A144" s="16">
        <v>43767</v>
      </c>
      <c r="B144" s="18" t="s">
        <v>491</v>
      </c>
    </row>
    <row r="145" spans="1:2">
      <c r="A145" s="16">
        <v>43766</v>
      </c>
      <c r="B145" s="18" t="s">
        <v>492</v>
      </c>
    </row>
    <row r="146" spans="1:2">
      <c r="A146" s="16">
        <v>43763</v>
      </c>
      <c r="B146" s="18" t="s">
        <v>493</v>
      </c>
    </row>
    <row r="147" spans="1:2">
      <c r="A147" s="16">
        <v>43762</v>
      </c>
      <c r="B147" s="18" t="s">
        <v>494</v>
      </c>
    </row>
    <row r="148" spans="1:2">
      <c r="A148" s="16">
        <v>43760</v>
      </c>
      <c r="B148" s="18" t="s">
        <v>495</v>
      </c>
    </row>
    <row r="149" spans="1:2">
      <c r="A149" s="16">
        <v>43759</v>
      </c>
      <c r="B149" s="18" t="s">
        <v>496</v>
      </c>
    </row>
    <row r="150" spans="1:2">
      <c r="A150" s="16">
        <v>43756</v>
      </c>
      <c r="B150" s="18" t="s">
        <v>497</v>
      </c>
    </row>
    <row r="151" spans="1:2">
      <c r="A151" s="16">
        <v>43755</v>
      </c>
      <c r="B151" s="18" t="s">
        <v>498</v>
      </c>
    </row>
    <row r="152" spans="1:2">
      <c r="A152" s="16">
        <v>43754</v>
      </c>
      <c r="B152" s="18" t="s">
        <v>499</v>
      </c>
    </row>
    <row r="153" spans="1:2">
      <c r="A153" s="16">
        <v>43753</v>
      </c>
      <c r="B153" s="18" t="s">
        <v>500</v>
      </c>
    </row>
    <row r="154" spans="1:2">
      <c r="A154" s="16">
        <v>43752</v>
      </c>
      <c r="B154" s="18" t="s">
        <v>501</v>
      </c>
    </row>
    <row r="155" spans="1:2">
      <c r="A155" s="16">
        <v>43749</v>
      </c>
      <c r="B155" s="18" t="s">
        <v>502</v>
      </c>
    </row>
    <row r="156" spans="1:2">
      <c r="A156" s="16">
        <v>43748</v>
      </c>
      <c r="B156" s="18" t="s">
        <v>503</v>
      </c>
    </row>
    <row r="157" spans="1:2">
      <c r="A157" s="16">
        <v>43747</v>
      </c>
      <c r="B157" s="18" t="s">
        <v>504</v>
      </c>
    </row>
    <row r="158" spans="1:2">
      <c r="A158" s="16">
        <v>43746</v>
      </c>
      <c r="B158" s="18" t="s">
        <v>505</v>
      </c>
    </row>
    <row r="159" spans="1:2">
      <c r="A159" s="16">
        <v>43735</v>
      </c>
      <c r="B159" s="18" t="s">
        <v>506</v>
      </c>
    </row>
    <row r="160" spans="1:2">
      <c r="A160" s="16">
        <v>43734</v>
      </c>
      <c r="B160" s="18" t="s">
        <v>507</v>
      </c>
    </row>
    <row r="161" spans="1:2">
      <c r="A161" s="16">
        <v>43733</v>
      </c>
      <c r="B161" s="18" t="s">
        <v>508</v>
      </c>
    </row>
    <row r="162" spans="1:2">
      <c r="A162" s="16">
        <v>43732</v>
      </c>
      <c r="B162" s="18" t="s">
        <v>509</v>
      </c>
    </row>
    <row r="163" spans="1:2">
      <c r="A163" s="16">
        <v>43731</v>
      </c>
      <c r="B163" s="18" t="s">
        <v>510</v>
      </c>
    </row>
    <row r="164" spans="1:2">
      <c r="A164" s="16">
        <v>43728</v>
      </c>
      <c r="B164" s="18" t="s">
        <v>511</v>
      </c>
    </row>
    <row r="165" spans="1:2">
      <c r="A165" s="16">
        <v>43727</v>
      </c>
      <c r="B165" s="18" t="s">
        <v>512</v>
      </c>
    </row>
    <row r="166" spans="1:2">
      <c r="A166" s="16">
        <v>43726</v>
      </c>
      <c r="B166" s="18" t="s">
        <v>513</v>
      </c>
    </row>
    <row r="167" spans="1:2">
      <c r="A167" s="16">
        <v>43725</v>
      </c>
      <c r="B167" s="18" t="s">
        <v>514</v>
      </c>
    </row>
    <row r="168" spans="1:2">
      <c r="A168" s="16">
        <v>43724</v>
      </c>
      <c r="B168" s="18" t="s">
        <v>515</v>
      </c>
    </row>
    <row r="169" spans="1:2">
      <c r="A169" s="16">
        <v>43720</v>
      </c>
      <c r="B169" s="18" t="s">
        <v>516</v>
      </c>
    </row>
    <row r="170" spans="1:2">
      <c r="A170" s="16">
        <v>43719</v>
      </c>
      <c r="B170" s="18" t="s">
        <v>517</v>
      </c>
    </row>
    <row r="171" spans="1:2">
      <c r="A171" s="16">
        <v>43718</v>
      </c>
      <c r="B171" s="18" t="s">
        <v>518</v>
      </c>
    </row>
    <row r="172" spans="1:2">
      <c r="A172" s="16">
        <v>43717</v>
      </c>
      <c r="B172" s="18" t="s">
        <v>519</v>
      </c>
    </row>
    <row r="173" spans="1:2">
      <c r="A173" s="16">
        <v>43714</v>
      </c>
      <c r="B173" s="18" t="s">
        <v>520</v>
      </c>
    </row>
    <row r="174" spans="1:2">
      <c r="A174" s="16">
        <v>43713</v>
      </c>
      <c r="B174" s="18" t="s">
        <v>521</v>
      </c>
    </row>
    <row r="175" spans="1:2">
      <c r="A175" s="16">
        <v>43712</v>
      </c>
      <c r="B175" s="18" t="s">
        <v>522</v>
      </c>
    </row>
    <row r="176" spans="1:2">
      <c r="A176" s="16">
        <v>43711</v>
      </c>
      <c r="B176" s="18" t="s">
        <v>523</v>
      </c>
    </row>
    <row r="177" spans="1:2">
      <c r="A177" s="16">
        <v>43710</v>
      </c>
      <c r="B177" s="18" t="s">
        <v>524</v>
      </c>
    </row>
    <row r="178" spans="1:2">
      <c r="A178" s="16">
        <v>43707</v>
      </c>
      <c r="B178" s="18" t="s">
        <v>525</v>
      </c>
    </row>
    <row r="179" spans="1:2">
      <c r="A179" s="16">
        <v>43706</v>
      </c>
      <c r="B179" s="18" t="s">
        <v>526</v>
      </c>
    </row>
    <row r="180" spans="1:2">
      <c r="A180" s="16">
        <v>43705</v>
      </c>
      <c r="B180" s="18" t="s">
        <v>527</v>
      </c>
    </row>
    <row r="181" spans="1:2">
      <c r="A181" s="16">
        <v>43704</v>
      </c>
      <c r="B181" s="18" t="s">
        <v>528</v>
      </c>
    </row>
    <row r="182" spans="1:2">
      <c r="A182" s="16">
        <v>43703</v>
      </c>
      <c r="B182" t="s">
        <v>529</v>
      </c>
    </row>
    <row r="183" spans="1:2">
      <c r="A183" s="16">
        <v>43698</v>
      </c>
      <c r="B183" s="18" t="s">
        <v>530</v>
      </c>
    </row>
    <row r="184" spans="1:2">
      <c r="A184" s="16">
        <v>43697</v>
      </c>
      <c r="B184" s="18" t="s">
        <v>531</v>
      </c>
    </row>
    <row r="185" spans="1:2">
      <c r="A185" s="16">
        <v>43696</v>
      </c>
      <c r="B185" s="18" t="s">
        <v>532</v>
      </c>
    </row>
    <row r="186" spans="1:2">
      <c r="A186" s="16">
        <v>43693</v>
      </c>
      <c r="B186" s="18" t="s">
        <v>533</v>
      </c>
    </row>
    <row r="187" spans="1:2">
      <c r="A187" s="16">
        <v>43692</v>
      </c>
      <c r="B187" s="18" t="s">
        <v>534</v>
      </c>
    </row>
    <row r="188" spans="1:2">
      <c r="A188" s="16">
        <v>43691</v>
      </c>
      <c r="B188" s="18" t="s">
        <v>535</v>
      </c>
    </row>
    <row r="189" spans="1:2">
      <c r="A189" s="16">
        <v>43690</v>
      </c>
      <c r="B189" s="18" t="s">
        <v>536</v>
      </c>
    </row>
    <row r="190" spans="1:2">
      <c r="A190" s="16">
        <v>43689</v>
      </c>
      <c r="B190" s="18" t="s">
        <v>537</v>
      </c>
    </row>
    <row r="191" spans="1:2">
      <c r="A191" s="16">
        <v>43686</v>
      </c>
      <c r="B191" s="18" t="s">
        <v>538</v>
      </c>
    </row>
    <row r="192" spans="1:2">
      <c r="A192" s="16">
        <v>43685</v>
      </c>
      <c r="B192" s="18" t="s">
        <v>539</v>
      </c>
    </row>
    <row r="193" spans="1:2">
      <c r="A193" s="16">
        <v>43684</v>
      </c>
      <c r="B193" s="18" t="s">
        <v>540</v>
      </c>
    </row>
    <row r="194" spans="1:2">
      <c r="A194" s="16">
        <v>43683</v>
      </c>
      <c r="B194" s="18" t="s">
        <v>541</v>
      </c>
    </row>
    <row r="195" spans="1:2">
      <c r="A195" s="16">
        <v>43682</v>
      </c>
      <c r="B195" s="18" t="s">
        <v>542</v>
      </c>
    </row>
    <row r="196" spans="1:2">
      <c r="A196" s="16">
        <v>43679</v>
      </c>
      <c r="B196" s="18" t="s">
        <v>543</v>
      </c>
    </row>
    <row r="197" spans="1:2">
      <c r="A197" s="16">
        <v>43678</v>
      </c>
      <c r="B197" s="18" t="s">
        <v>544</v>
      </c>
    </row>
    <row r="198" spans="1:2">
      <c r="A198" s="16">
        <v>43677</v>
      </c>
      <c r="B198" s="18" t="s">
        <v>545</v>
      </c>
    </row>
    <row r="199" spans="1:2">
      <c r="A199" s="16">
        <v>43676</v>
      </c>
      <c r="B199" s="18" t="s">
        <v>546</v>
      </c>
    </row>
    <row r="200" spans="1:2">
      <c r="A200" s="16">
        <v>43675</v>
      </c>
      <c r="B200" s="18" t="s">
        <v>547</v>
      </c>
    </row>
    <row r="201" spans="1:2">
      <c r="A201" s="16">
        <v>43672</v>
      </c>
      <c r="B201" s="18" t="s">
        <v>548</v>
      </c>
    </row>
    <row r="202" spans="1:2">
      <c r="A202" s="16">
        <v>43671</v>
      </c>
      <c r="B202" s="18" t="s">
        <v>549</v>
      </c>
    </row>
    <row r="203" spans="1:2">
      <c r="A203" s="16">
        <v>43670</v>
      </c>
      <c r="B203" s="18" t="s">
        <v>550</v>
      </c>
    </row>
    <row r="204" spans="1:2">
      <c r="A204" s="16">
        <v>43669</v>
      </c>
      <c r="B204" s="18" t="s">
        <v>551</v>
      </c>
    </row>
    <row r="205" spans="1:2">
      <c r="A205" s="16">
        <v>43668</v>
      </c>
      <c r="B205" s="18" t="s">
        <v>552</v>
      </c>
    </row>
    <row r="206" spans="1:2">
      <c r="A206" s="16">
        <v>43665</v>
      </c>
      <c r="B206" s="18" t="s">
        <v>553</v>
      </c>
    </row>
    <row r="207" spans="1:2">
      <c r="A207" s="16">
        <v>43664</v>
      </c>
      <c r="B207" s="18" t="s">
        <v>554</v>
      </c>
    </row>
    <row r="208" spans="1:2">
      <c r="A208" s="16">
        <v>43663</v>
      </c>
      <c r="B208" s="18" t="s">
        <v>555</v>
      </c>
    </row>
    <row r="209" spans="1:2">
      <c r="A209" s="16">
        <v>43662</v>
      </c>
      <c r="B209" s="18" t="s">
        <v>556</v>
      </c>
    </row>
    <row r="210" spans="1:2">
      <c r="A210" s="16">
        <v>43661</v>
      </c>
      <c r="B210" s="18" t="s">
        <v>557</v>
      </c>
    </row>
    <row r="211" spans="1:2">
      <c r="A211" s="16">
        <v>43658</v>
      </c>
      <c r="B211" s="18" t="s">
        <v>558</v>
      </c>
    </row>
    <row r="212" spans="1:2">
      <c r="A212" s="16">
        <v>43657</v>
      </c>
      <c r="B212" s="18" t="s">
        <v>559</v>
      </c>
    </row>
    <row r="213" spans="1:2">
      <c r="A213" s="16">
        <v>43656</v>
      </c>
      <c r="B213" s="18" t="s">
        <v>560</v>
      </c>
    </row>
    <row r="214" spans="1:2">
      <c r="A214" s="16">
        <v>43655</v>
      </c>
      <c r="B214" s="18" t="s">
        <v>561</v>
      </c>
    </row>
    <row r="215" spans="1:2">
      <c r="A215" s="16">
        <v>43654</v>
      </c>
      <c r="B215" s="18" t="s">
        <v>562</v>
      </c>
    </row>
    <row r="216" spans="1:2">
      <c r="A216" s="16">
        <v>43651</v>
      </c>
      <c r="B216" s="18" t="s">
        <v>563</v>
      </c>
    </row>
    <row r="217" spans="1:2">
      <c r="A217" s="16">
        <v>43650</v>
      </c>
      <c r="B217" s="18" t="s">
        <v>564</v>
      </c>
    </row>
    <row r="218" spans="1:2">
      <c r="A218" s="16">
        <v>43649</v>
      </c>
      <c r="B218" s="18" t="s">
        <v>565</v>
      </c>
    </row>
    <row r="219" spans="1:2">
      <c r="A219" s="16">
        <v>43648</v>
      </c>
      <c r="B219" s="18" t="s">
        <v>566</v>
      </c>
    </row>
    <row r="220" spans="1:2">
      <c r="A220" s="16">
        <v>43647</v>
      </c>
      <c r="B220" s="18" t="s">
        <v>567</v>
      </c>
    </row>
    <row r="221" spans="1:2">
      <c r="A221" s="16">
        <v>43644</v>
      </c>
      <c r="B221" s="18" t="s">
        <v>568</v>
      </c>
    </row>
    <row r="222" spans="1:2">
      <c r="A222" s="16">
        <v>43643</v>
      </c>
      <c r="B222" s="18" t="s">
        <v>569</v>
      </c>
    </row>
    <row r="223" spans="1:2">
      <c r="A223" s="16">
        <v>43642</v>
      </c>
      <c r="B223" s="18" t="s">
        <v>570</v>
      </c>
    </row>
    <row r="224" spans="1:2">
      <c r="A224" s="16">
        <v>43641</v>
      </c>
      <c r="B224" s="18" t="s">
        <v>571</v>
      </c>
    </row>
    <row r="225" spans="1:2">
      <c r="A225" s="16">
        <v>43640</v>
      </c>
      <c r="B225" s="18" t="s">
        <v>572</v>
      </c>
    </row>
    <row r="226" spans="1:2">
      <c r="A226" s="16">
        <v>43637</v>
      </c>
      <c r="B226" s="18" t="s">
        <v>573</v>
      </c>
    </row>
    <row r="227" spans="1:2">
      <c r="A227" s="16">
        <v>43636</v>
      </c>
      <c r="B227" s="18" t="s">
        <v>574</v>
      </c>
    </row>
    <row r="228" spans="1:2">
      <c r="A228" s="16">
        <v>43635</v>
      </c>
      <c r="B228" s="18" t="s">
        <v>575</v>
      </c>
    </row>
    <row r="229" spans="1:2">
      <c r="A229" s="16">
        <v>43634</v>
      </c>
      <c r="B229" s="18" t="s">
        <v>565</v>
      </c>
    </row>
    <row r="230" spans="1:2">
      <c r="A230" s="16">
        <v>43630</v>
      </c>
      <c r="B230" s="18" t="s">
        <v>576</v>
      </c>
    </row>
    <row r="231" spans="1:2">
      <c r="A231" s="16">
        <v>43629</v>
      </c>
      <c r="B231" s="18" t="s">
        <v>577</v>
      </c>
    </row>
    <row r="232" spans="1:2">
      <c r="A232" s="16">
        <v>43628</v>
      </c>
      <c r="B232" s="18" t="s">
        <v>578</v>
      </c>
    </row>
    <row r="233" spans="1:2">
      <c r="A233" s="16">
        <v>43627</v>
      </c>
      <c r="B233" s="18" t="s">
        <v>579</v>
      </c>
    </row>
    <row r="234" spans="1:2">
      <c r="A234" s="16">
        <v>43626</v>
      </c>
      <c r="B234" s="18" t="s">
        <v>580</v>
      </c>
    </row>
    <row r="235" spans="1:2">
      <c r="A235" s="16">
        <v>43622</v>
      </c>
      <c r="B235" s="18" t="s">
        <v>581</v>
      </c>
    </row>
    <row r="236" spans="1:2">
      <c r="A236" s="16">
        <v>43621</v>
      </c>
      <c r="B236" s="18" t="s">
        <v>582</v>
      </c>
    </row>
    <row r="237" spans="1:2">
      <c r="A237" s="16">
        <v>43620</v>
      </c>
      <c r="B237" s="18" t="s">
        <v>583</v>
      </c>
    </row>
    <row r="238" spans="1:2">
      <c r="A238" s="16">
        <v>43619</v>
      </c>
      <c r="B238" s="18" t="s">
        <v>584</v>
      </c>
    </row>
    <row r="239" spans="1:2">
      <c r="A239" s="16">
        <v>43616</v>
      </c>
      <c r="B239" s="18" t="s">
        <v>585</v>
      </c>
    </row>
    <row r="240" spans="1:2">
      <c r="A240" s="16">
        <v>43615</v>
      </c>
      <c r="B240" s="18" t="s">
        <v>586</v>
      </c>
    </row>
    <row r="241" spans="1:2">
      <c r="A241" s="16">
        <v>43614</v>
      </c>
      <c r="B241" s="18" t="s">
        <v>587</v>
      </c>
    </row>
    <row r="242" spans="1:2">
      <c r="A242" s="16">
        <v>43613</v>
      </c>
      <c r="B242" s="18" t="s">
        <v>588</v>
      </c>
    </row>
    <row r="243" spans="1:2">
      <c r="A243" s="16">
        <v>43612</v>
      </c>
      <c r="B243" s="18" t="s">
        <v>589</v>
      </c>
    </row>
    <row r="244" spans="1:2">
      <c r="A244" s="16">
        <v>43609</v>
      </c>
      <c r="B244" s="18" t="s">
        <v>590</v>
      </c>
    </row>
    <row r="245" spans="1:2">
      <c r="A245" s="16">
        <v>43608</v>
      </c>
      <c r="B245" s="18" t="s">
        <v>591</v>
      </c>
    </row>
    <row r="246" spans="1:2">
      <c r="A246" s="16">
        <v>43607</v>
      </c>
      <c r="B246" s="18" t="s">
        <v>592</v>
      </c>
    </row>
    <row r="247" spans="1:2">
      <c r="A247" s="16">
        <v>43606</v>
      </c>
      <c r="B247" s="18" t="s">
        <v>593</v>
      </c>
    </row>
    <row r="248" spans="1:2">
      <c r="A248" s="16">
        <v>43605</v>
      </c>
      <c r="B248" s="18" t="s">
        <v>594</v>
      </c>
    </row>
    <row r="249" spans="1:2">
      <c r="A249" s="16">
        <v>43602</v>
      </c>
      <c r="B249" s="18" t="s">
        <v>595</v>
      </c>
    </row>
    <row r="250" spans="1:2">
      <c r="A250" s="16">
        <v>43601</v>
      </c>
      <c r="B250" s="18" t="s">
        <v>596</v>
      </c>
    </row>
    <row r="251" spans="1:2">
      <c r="A251" s="16">
        <v>43600</v>
      </c>
      <c r="B251" s="18" t="s">
        <v>597</v>
      </c>
    </row>
    <row r="252" spans="1:2">
      <c r="A252" s="16">
        <v>43599</v>
      </c>
      <c r="B252" s="18" t="s">
        <v>598</v>
      </c>
    </row>
    <row r="253" spans="1:2">
      <c r="A253" s="16">
        <v>43598</v>
      </c>
      <c r="B253" s="18" t="s">
        <v>599</v>
      </c>
    </row>
    <row r="254" spans="1:2">
      <c r="A254" s="16">
        <v>43595</v>
      </c>
      <c r="B254" s="18" t="s">
        <v>600</v>
      </c>
    </row>
    <row r="255" spans="1:2">
      <c r="A255" s="16">
        <v>43594</v>
      </c>
      <c r="B255" s="18" t="s">
        <v>601</v>
      </c>
    </row>
    <row r="256" spans="1:2">
      <c r="A256" s="16">
        <v>43593</v>
      </c>
      <c r="B256" s="18" t="s">
        <v>602</v>
      </c>
    </row>
    <row r="257" spans="1:2">
      <c r="A257" s="16">
        <v>43592</v>
      </c>
      <c r="B257" s="18" t="s">
        <v>603</v>
      </c>
    </row>
    <row r="258" spans="1:2">
      <c r="A258" s="16">
        <v>43591</v>
      </c>
      <c r="B258" s="18" t="s">
        <v>604</v>
      </c>
    </row>
    <row r="259" spans="1:2">
      <c r="A259" s="16">
        <v>43585</v>
      </c>
      <c r="B259" s="18" t="s">
        <v>605</v>
      </c>
    </row>
    <row r="260" spans="1:2">
      <c r="A260" s="16">
        <v>43584</v>
      </c>
      <c r="B260" s="18" t="s">
        <v>606</v>
      </c>
    </row>
    <row r="261" spans="1:2">
      <c r="A261" s="16">
        <v>43581</v>
      </c>
      <c r="B261" s="18" t="s">
        <v>607</v>
      </c>
    </row>
    <row r="262" spans="1:2">
      <c r="A262" s="16">
        <v>43580</v>
      </c>
      <c r="B262" s="18" t="s">
        <v>608</v>
      </c>
    </row>
    <row r="263" spans="1:2">
      <c r="A263" s="16">
        <v>43579</v>
      </c>
      <c r="B263" s="18" t="s">
        <v>609</v>
      </c>
    </row>
    <row r="264" spans="1:2">
      <c r="A264" s="16">
        <v>43578</v>
      </c>
      <c r="B264" s="18" t="s">
        <v>610</v>
      </c>
    </row>
    <row r="265" spans="1:2">
      <c r="A265" s="16">
        <v>43577</v>
      </c>
      <c r="B265" s="18" t="s">
        <v>611</v>
      </c>
    </row>
    <row r="266" spans="1:2">
      <c r="A266" s="16">
        <v>43574</v>
      </c>
      <c r="B266" s="18" t="s">
        <v>612</v>
      </c>
    </row>
    <row r="267" spans="1:2">
      <c r="A267" s="16">
        <v>43573</v>
      </c>
      <c r="B267" s="18" t="s">
        <v>613</v>
      </c>
    </row>
    <row r="268" spans="1:2">
      <c r="A268" s="16">
        <v>43572</v>
      </c>
      <c r="B268" s="18" t="s">
        <v>614</v>
      </c>
    </row>
    <row r="269" spans="1:2">
      <c r="A269" s="16">
        <v>43571</v>
      </c>
      <c r="B269" s="18" t="s">
        <v>615</v>
      </c>
    </row>
    <row r="270" spans="1:2">
      <c r="A270" s="16">
        <v>43570</v>
      </c>
      <c r="B270" s="18" t="s">
        <v>616</v>
      </c>
    </row>
    <row r="271" spans="1:2">
      <c r="A271" s="16">
        <v>43567</v>
      </c>
      <c r="B271" s="18" t="s">
        <v>617</v>
      </c>
    </row>
    <row r="272" spans="1:2">
      <c r="A272" s="16">
        <v>43566</v>
      </c>
      <c r="B272" s="18" t="s">
        <v>618</v>
      </c>
    </row>
    <row r="273" spans="1:2">
      <c r="A273" s="16">
        <v>43565</v>
      </c>
      <c r="B273" s="18" t="s">
        <v>619</v>
      </c>
    </row>
    <row r="274" spans="1:2">
      <c r="A274" s="16">
        <v>43564</v>
      </c>
      <c r="B274" s="18" t="s">
        <v>620</v>
      </c>
    </row>
    <row r="275" spans="1:2">
      <c r="A275" s="16">
        <v>43563</v>
      </c>
      <c r="B275" s="18" t="s">
        <v>621</v>
      </c>
    </row>
    <row r="276" spans="1:2">
      <c r="A276" s="16">
        <v>43559</v>
      </c>
      <c r="B276" s="18" t="s">
        <v>622</v>
      </c>
    </row>
    <row r="277" spans="1:2">
      <c r="A277" s="16">
        <v>43558</v>
      </c>
      <c r="B277" s="18" t="s">
        <v>623</v>
      </c>
    </row>
    <row r="278" spans="1:2">
      <c r="A278" s="16">
        <v>43557</v>
      </c>
      <c r="B278" s="18" t="s">
        <v>624</v>
      </c>
    </row>
    <row r="279" spans="1:2">
      <c r="A279" s="16">
        <v>43556</v>
      </c>
      <c r="B279" s="18" t="s">
        <v>625</v>
      </c>
    </row>
    <row r="280" spans="1:2">
      <c r="A280" s="16">
        <v>43553</v>
      </c>
      <c r="B280" s="18" t="s">
        <v>626</v>
      </c>
    </row>
    <row r="281" spans="1:2">
      <c r="A281" s="16">
        <v>43552</v>
      </c>
      <c r="B281" s="18" t="s">
        <v>627</v>
      </c>
    </row>
    <row r="282" spans="1:2">
      <c r="A282" s="16">
        <v>43551</v>
      </c>
      <c r="B282" s="18" t="s">
        <v>628</v>
      </c>
    </row>
    <row r="283" spans="1:2">
      <c r="A283" s="16">
        <v>43546</v>
      </c>
      <c r="B283" s="18" t="s">
        <v>629</v>
      </c>
    </row>
    <row r="284" spans="1:2">
      <c r="A284" s="16">
        <v>43545</v>
      </c>
      <c r="B284" s="18" t="s">
        <v>630</v>
      </c>
    </row>
    <row r="285" spans="1:2">
      <c r="A285" s="16">
        <v>43544</v>
      </c>
      <c r="B285" s="18" t="s">
        <v>631</v>
      </c>
    </row>
    <row r="286" spans="1:2">
      <c r="A286" s="16">
        <v>43543</v>
      </c>
      <c r="B286" s="18" t="s">
        <v>632</v>
      </c>
    </row>
    <row r="287" spans="1:2">
      <c r="A287" s="16">
        <v>43542</v>
      </c>
      <c r="B287" s="18" t="s">
        <v>633</v>
      </c>
    </row>
    <row r="288" spans="1:2">
      <c r="A288" s="16">
        <v>43539</v>
      </c>
      <c r="B288" s="18" t="s">
        <v>634</v>
      </c>
    </row>
    <row r="289" spans="1:2">
      <c r="A289" s="16">
        <v>43538</v>
      </c>
      <c r="B289" s="18" t="s">
        <v>635</v>
      </c>
    </row>
    <row r="290" spans="1:2">
      <c r="A290" s="16">
        <v>43536</v>
      </c>
      <c r="B290" s="18" t="s">
        <v>636</v>
      </c>
    </row>
    <row r="291" spans="1:2">
      <c r="A291" s="16">
        <v>43535</v>
      </c>
      <c r="B291" s="18" t="s">
        <v>637</v>
      </c>
    </row>
    <row r="292" spans="1:2">
      <c r="A292" s="16">
        <v>43532</v>
      </c>
      <c r="B292" s="18" t="s">
        <v>638</v>
      </c>
    </row>
    <row r="293" spans="1:2">
      <c r="A293" s="16">
        <v>43531</v>
      </c>
      <c r="B293" s="18" t="s">
        <v>639</v>
      </c>
    </row>
    <row r="294" spans="1:2">
      <c r="A294" s="16">
        <v>43530</v>
      </c>
      <c r="B294" s="18" t="s">
        <v>640</v>
      </c>
    </row>
    <row r="295" spans="1:2">
      <c r="A295" s="16">
        <v>43529</v>
      </c>
      <c r="B295" s="18" t="s">
        <v>641</v>
      </c>
    </row>
    <row r="296" spans="1:2">
      <c r="A296" s="16">
        <v>43528</v>
      </c>
      <c r="B296" s="18" t="s">
        <v>642</v>
      </c>
    </row>
    <row r="297" spans="1:2">
      <c r="A297" s="16">
        <v>43525</v>
      </c>
      <c r="B297" s="18" t="s">
        <v>643</v>
      </c>
    </row>
    <row r="298" spans="1:2">
      <c r="A298" s="16">
        <v>43524</v>
      </c>
      <c r="B298" s="18" t="s">
        <v>644</v>
      </c>
    </row>
    <row r="299" spans="1:2">
      <c r="A299" s="16">
        <v>43523</v>
      </c>
      <c r="B299" s="18" t="s">
        <v>645</v>
      </c>
    </row>
    <row r="300" spans="1:2">
      <c r="A300" s="16">
        <v>43522</v>
      </c>
      <c r="B300" s="18" t="s">
        <v>646</v>
      </c>
    </row>
    <row r="301" spans="1:2">
      <c r="A301" s="16">
        <v>43521</v>
      </c>
      <c r="B301" s="18" t="s">
        <v>647</v>
      </c>
    </row>
    <row r="302" spans="1:2">
      <c r="A302" s="16">
        <v>43518</v>
      </c>
      <c r="B302" s="18" t="s">
        <v>648</v>
      </c>
    </row>
    <row r="303" spans="1:2">
      <c r="A303" s="16">
        <v>43517</v>
      </c>
      <c r="B303" s="18" t="s">
        <v>649</v>
      </c>
    </row>
    <row r="304" spans="1:2">
      <c r="A304" s="16">
        <v>43516</v>
      </c>
      <c r="B304" s="18" t="s">
        <v>650</v>
      </c>
    </row>
    <row r="305" spans="1:2">
      <c r="A305" s="16">
        <v>43515</v>
      </c>
      <c r="B305" s="18" t="s">
        <v>651</v>
      </c>
    </row>
    <row r="306" spans="1:2">
      <c r="A306" s="16">
        <v>43514</v>
      </c>
      <c r="B306" s="18" t="s">
        <v>652</v>
      </c>
    </row>
    <row r="307" spans="1:2">
      <c r="A307" s="16">
        <v>43511</v>
      </c>
      <c r="B307" s="18" t="s">
        <v>653</v>
      </c>
    </row>
    <row r="308" spans="1:2">
      <c r="A308" s="16">
        <v>43510</v>
      </c>
      <c r="B308" s="18" t="s">
        <v>654</v>
      </c>
    </row>
    <row r="309" spans="1:2">
      <c r="A309" s="16">
        <v>43509</v>
      </c>
      <c r="B309" s="18" t="s">
        <v>655</v>
      </c>
    </row>
    <row r="310" spans="1:2">
      <c r="A310" s="16">
        <v>43508</v>
      </c>
      <c r="B310" s="18" t="s">
        <v>656</v>
      </c>
    </row>
    <row r="311" spans="1:2">
      <c r="A311" s="16">
        <v>43507</v>
      </c>
      <c r="B311" s="18" t="s">
        <v>657</v>
      </c>
    </row>
    <row r="312" spans="1:2">
      <c r="A312" s="16">
        <v>43497</v>
      </c>
      <c r="B312" s="18" t="s">
        <v>658</v>
      </c>
    </row>
    <row r="313" spans="1:2">
      <c r="A313" s="16">
        <v>43496</v>
      </c>
      <c r="B313" s="18" t="s">
        <v>659</v>
      </c>
    </row>
    <row r="314" spans="1:2">
      <c r="A314" s="16">
        <v>43495</v>
      </c>
      <c r="B314" s="18" t="s">
        <v>660</v>
      </c>
    </row>
    <row r="315" spans="1:2">
      <c r="A315" s="16">
        <v>43494</v>
      </c>
      <c r="B315" s="18" t="s">
        <v>661</v>
      </c>
    </row>
    <row r="316" spans="1:2">
      <c r="A316" s="16">
        <v>43493</v>
      </c>
      <c r="B316" s="18" t="s">
        <v>662</v>
      </c>
    </row>
    <row r="317" spans="1:2">
      <c r="A317" s="16">
        <v>43490</v>
      </c>
      <c r="B317" s="18" t="s">
        <v>663</v>
      </c>
    </row>
    <row r="318" spans="1:2">
      <c r="A318" s="16">
        <v>43489</v>
      </c>
      <c r="B318" s="18" t="s">
        <v>664</v>
      </c>
    </row>
    <row r="319" spans="1:2">
      <c r="A319" s="16">
        <v>43488</v>
      </c>
      <c r="B319" s="18" t="s">
        <v>665</v>
      </c>
    </row>
    <row r="320" spans="1:2">
      <c r="A320" s="16">
        <v>43487</v>
      </c>
      <c r="B320" s="18" t="s">
        <v>666</v>
      </c>
    </row>
    <row r="321" spans="1:2">
      <c r="A321" s="16">
        <v>43486</v>
      </c>
      <c r="B321" s="18" t="s">
        <v>667</v>
      </c>
    </row>
    <row r="322" spans="1:2">
      <c r="A322" s="16">
        <v>43482</v>
      </c>
      <c r="B322" s="18" t="s">
        <v>668</v>
      </c>
    </row>
    <row r="323" spans="1:2">
      <c r="A323" s="16">
        <v>43481</v>
      </c>
      <c r="B323" s="18" t="s">
        <v>669</v>
      </c>
    </row>
    <row r="324" spans="1:2">
      <c r="A324" s="16">
        <v>43480</v>
      </c>
      <c r="B324" s="18" t="s">
        <v>670</v>
      </c>
    </row>
    <row r="325" spans="1:2">
      <c r="A325" s="16">
        <v>43479</v>
      </c>
      <c r="B325" s="18" t="s">
        <v>671</v>
      </c>
    </row>
    <row r="326" spans="1:2">
      <c r="A326" s="16">
        <v>43476</v>
      </c>
      <c r="B326" s="18" t="s">
        <v>672</v>
      </c>
    </row>
    <row r="327" spans="1:2">
      <c r="A327" s="16">
        <v>43475</v>
      </c>
      <c r="B327" s="18" t="s">
        <v>673</v>
      </c>
    </row>
    <row r="328" spans="1:2">
      <c r="A328" s="16">
        <v>43474</v>
      </c>
      <c r="B328" s="18" t="s">
        <v>674</v>
      </c>
    </row>
    <row r="329" spans="1:2">
      <c r="A329" s="16">
        <v>43473</v>
      </c>
      <c r="B329" s="18" t="s">
        <v>675</v>
      </c>
    </row>
    <row r="330" spans="1:2">
      <c r="A330" s="16">
        <v>43472</v>
      </c>
      <c r="B330" s="18" t="s">
        <v>676</v>
      </c>
    </row>
    <row r="331" spans="1:2">
      <c r="A331" s="16">
        <v>43469</v>
      </c>
      <c r="B331" s="18" t="s">
        <v>677</v>
      </c>
    </row>
    <row r="332" spans="1:2">
      <c r="A332" s="16">
        <v>43468</v>
      </c>
      <c r="B332" s="18" t="s">
        <v>678</v>
      </c>
    </row>
    <row r="333" spans="1:2">
      <c r="A333" s="16">
        <v>43467</v>
      </c>
      <c r="B333" s="18" t="s">
        <v>679</v>
      </c>
    </row>
    <row r="334" spans="1:2">
      <c r="A334" s="16">
        <v>43462</v>
      </c>
      <c r="B334" s="18" t="s">
        <v>680</v>
      </c>
    </row>
    <row r="335" spans="1:2">
      <c r="A335" s="16">
        <v>43461</v>
      </c>
      <c r="B335" s="18" t="s">
        <v>681</v>
      </c>
    </row>
    <row r="336" spans="1:2">
      <c r="A336" s="16">
        <v>43460</v>
      </c>
      <c r="B336" s="18" t="s">
        <v>682</v>
      </c>
    </row>
    <row r="337" spans="1:2">
      <c r="A337" s="16">
        <v>43459</v>
      </c>
      <c r="B337" s="18" t="s">
        <v>683</v>
      </c>
    </row>
    <row r="338" spans="1:2">
      <c r="A338" s="16">
        <v>43458</v>
      </c>
      <c r="B338" s="18" t="s">
        <v>684</v>
      </c>
    </row>
    <row r="339" spans="1:2">
      <c r="A339" s="16">
        <v>43455</v>
      </c>
      <c r="B339" s="18" t="s">
        <v>685</v>
      </c>
    </row>
    <row r="340" spans="1:2">
      <c r="A340" s="16">
        <v>43454</v>
      </c>
      <c r="B340" s="18" t="s">
        <v>686</v>
      </c>
    </row>
    <row r="341" spans="1:2">
      <c r="A341" s="16">
        <v>43453</v>
      </c>
      <c r="B341" s="18" t="s">
        <v>687</v>
      </c>
    </row>
    <row r="342" spans="1:2">
      <c r="A342" s="16">
        <v>43452</v>
      </c>
      <c r="B342" s="18" t="s">
        <v>688</v>
      </c>
    </row>
    <row r="343" spans="1:2">
      <c r="A343" s="19">
        <v>43451</v>
      </c>
      <c r="B343" s="18" t="s">
        <v>689</v>
      </c>
    </row>
    <row r="344" spans="1:2">
      <c r="A344" s="16">
        <v>43448</v>
      </c>
      <c r="B344" s="18" t="s">
        <v>690</v>
      </c>
    </row>
    <row r="345" spans="1:2">
      <c r="A345" s="16">
        <v>43447</v>
      </c>
      <c r="B345" s="18" t="s">
        <v>691</v>
      </c>
    </row>
    <row r="346" spans="1:2">
      <c r="A346" s="16">
        <v>43446</v>
      </c>
      <c r="B346" s="18" t="s">
        <v>692</v>
      </c>
    </row>
    <row r="347" spans="1:2">
      <c r="A347" s="16">
        <v>43445</v>
      </c>
      <c r="B347" s="18" t="s">
        <v>693</v>
      </c>
    </row>
    <row r="348" spans="1:2">
      <c r="A348" s="16">
        <v>43444</v>
      </c>
      <c r="B348" s="18" t="s">
        <v>694</v>
      </c>
    </row>
  </sheetData>
  <phoneticPr fontId="1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8"/>
  <dimension ref="A1:B9"/>
  <sheetViews>
    <sheetView workbookViewId="0">
      <selection activeCell="H12" sqref="H12"/>
    </sheetView>
  </sheetViews>
  <sheetFormatPr defaultColWidth="8.88671875" defaultRowHeight="14.4"/>
  <cols>
    <col min="1" max="16384" width="8.88671875" style="67"/>
  </cols>
  <sheetData>
    <row r="1" spans="1:2">
      <c r="A1" s="66" t="s">
        <v>282</v>
      </c>
      <c r="B1" s="66" t="s">
        <v>1001</v>
      </c>
    </row>
    <row r="2" spans="1:2">
      <c r="A2" s="67">
        <v>1</v>
      </c>
      <c r="B2" s="66" t="s">
        <v>1002</v>
      </c>
    </row>
    <row r="3" spans="1:2">
      <c r="A3" s="67">
        <v>2</v>
      </c>
      <c r="B3" s="66" t="s">
        <v>1003</v>
      </c>
    </row>
    <row r="4" spans="1:2">
      <c r="A4" s="67">
        <v>3</v>
      </c>
      <c r="B4" s="66" t="s">
        <v>1004</v>
      </c>
    </row>
    <row r="5" spans="1:2">
      <c r="A5" s="67">
        <v>4</v>
      </c>
      <c r="B5" s="66" t="s">
        <v>1005</v>
      </c>
    </row>
    <row r="6" spans="1:2">
      <c r="A6" s="67">
        <v>5</v>
      </c>
      <c r="B6" s="66" t="s">
        <v>1019</v>
      </c>
    </row>
    <row r="7" spans="1:2">
      <c r="A7" s="67">
        <v>6</v>
      </c>
      <c r="B7" s="66" t="s">
        <v>1020</v>
      </c>
    </row>
    <row r="8" spans="1:2">
      <c r="A8" s="67">
        <v>7</v>
      </c>
      <c r="B8" s="66" t="s">
        <v>1021</v>
      </c>
    </row>
    <row r="9" spans="1:2">
      <c r="A9" s="67">
        <v>8</v>
      </c>
      <c r="B9" s="66" t="s">
        <v>1033</v>
      </c>
    </row>
  </sheetData>
  <phoneticPr fontId="18"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S25"/>
  <sheetViews>
    <sheetView topLeftCell="C1" workbookViewId="0">
      <selection activeCell="I24" sqref="I24"/>
    </sheetView>
  </sheetViews>
  <sheetFormatPr defaultColWidth="9.44140625" defaultRowHeight="14.4"/>
  <cols>
    <col min="1" max="1" width="9.44140625" style="67"/>
    <col min="5" max="6" width="10.5546875" customWidth="1"/>
    <col min="8" max="8" width="9.44140625" customWidth="1"/>
    <col min="17" max="17" width="11.6640625" bestFit="1" customWidth="1"/>
    <col min="18" max="18" width="9.44140625" style="24"/>
  </cols>
  <sheetData>
    <row r="1" spans="1:19">
      <c r="A1" s="77" t="s">
        <v>282</v>
      </c>
      <c r="B1" s="48" t="s">
        <v>0</v>
      </c>
      <c r="C1" s="47" t="s">
        <v>1</v>
      </c>
      <c r="D1" s="46" t="s">
        <v>189</v>
      </c>
      <c r="E1" s="46" t="s">
        <v>190</v>
      </c>
      <c r="F1" s="46" t="s">
        <v>292</v>
      </c>
      <c r="G1" s="77" t="s">
        <v>191</v>
      </c>
      <c r="H1" s="77" t="s">
        <v>192</v>
      </c>
      <c r="I1" s="46" t="s">
        <v>193</v>
      </c>
      <c r="J1" s="46" t="s">
        <v>1012</v>
      </c>
      <c r="K1" s="99" t="s">
        <v>19</v>
      </c>
      <c r="L1" s="99" t="s">
        <v>295</v>
      </c>
      <c r="M1" s="99" t="s">
        <v>293</v>
      </c>
      <c r="N1" s="99" t="s">
        <v>294</v>
      </c>
      <c r="O1" s="99" t="s">
        <v>296</v>
      </c>
      <c r="P1" s="99" t="s">
        <v>291</v>
      </c>
      <c r="Q1" s="16">
        <v>43830</v>
      </c>
      <c r="R1" s="24" t="s">
        <v>845</v>
      </c>
      <c r="S1" s="18" t="s">
        <v>862</v>
      </c>
    </row>
    <row r="2" spans="1:19">
      <c r="A2" s="67">
        <v>1</v>
      </c>
      <c r="B2" s="162" t="s">
        <v>993</v>
      </c>
      <c r="C2" s="102" t="s">
        <v>994</v>
      </c>
      <c r="D2" s="114">
        <f>VLOOKUP(B2+0,'1'!J:K,2,FALSE)</f>
        <v>99.97</v>
      </c>
      <c r="E2" s="100">
        <v>43946</v>
      </c>
      <c r="F2" s="100">
        <v>53442</v>
      </c>
      <c r="G2" s="115">
        <v>3.52</v>
      </c>
      <c r="H2" s="158">
        <f>G2*(轮动业绩!Y$2-E2+1)/365.25</f>
        <v>0.33730321697467491</v>
      </c>
      <c r="I2" s="101">
        <f t="shared" ref="I2" si="0">D2+H2</f>
        <v>100.30730321697467</v>
      </c>
      <c r="J2" s="101">
        <v>100.30730321697467</v>
      </c>
      <c r="K2" s="17">
        <f t="shared" ref="K2" si="1">I2/J2-1</f>
        <v>0</v>
      </c>
      <c r="L2" s="116">
        <f>(F2-轮动业绩!Y$2)/365</f>
        <v>25.923287671232877</v>
      </c>
      <c r="M2" s="17">
        <f>((INT((F2-轮动业绩!Y$2)/365+1)*G2+100)/I2-1)/L2</f>
        <v>3.5077825434565779E-2</v>
      </c>
      <c r="N2" s="17">
        <f>M2</f>
        <v>3.5077825434565779E-2</v>
      </c>
      <c r="O2" s="163" t="s">
        <v>998</v>
      </c>
      <c r="Q2" s="159">
        <v>96.72</v>
      </c>
      <c r="R2" s="24">
        <v>3.52</v>
      </c>
      <c r="S2" s="17">
        <f>(I2+R2)/Q2-1</f>
        <v>7.3483283881045081E-2</v>
      </c>
    </row>
    <row r="3" spans="1:19">
      <c r="A3" s="67">
        <v>2</v>
      </c>
      <c r="B3" s="165" t="s">
        <v>992</v>
      </c>
      <c r="C3" s="102" t="s">
        <v>995</v>
      </c>
      <c r="D3" s="114">
        <f>VLOOKUP(B3+0,'1'!J:K,2,FALSE)</f>
        <v>95.93</v>
      </c>
      <c r="E3" s="100">
        <v>43699</v>
      </c>
      <c r="F3" s="100">
        <v>53561</v>
      </c>
      <c r="G3" s="115">
        <v>3.27</v>
      </c>
      <c r="H3" s="158">
        <f>G3*(轮动业绩!Y$2-E3+1)/365.25</f>
        <v>2.5246817248459958</v>
      </c>
      <c r="I3" s="101">
        <f t="shared" ref="I3" si="2">D3+H3</f>
        <v>98.454681724845997</v>
      </c>
      <c r="J3" s="101">
        <v>98.454681724845997</v>
      </c>
      <c r="K3" s="17">
        <f t="shared" ref="K3" si="3">I3/J3-1</f>
        <v>0</v>
      </c>
      <c r="L3" s="116">
        <f>(F3-轮动业绩!Y$2)/365</f>
        <v>26.24931506849315</v>
      </c>
      <c r="M3" s="17">
        <f>((INT((F3-轮动业绩!Y$2)/365+1)*G3+100)/I3-1)/L3</f>
        <v>3.4761040086396723E-2</v>
      </c>
      <c r="N3" s="17">
        <f>M3</f>
        <v>3.4761040086396723E-2</v>
      </c>
      <c r="O3" s="163" t="s">
        <v>998</v>
      </c>
      <c r="Q3" s="159">
        <v>92.8</v>
      </c>
      <c r="S3" s="17">
        <f>(I3+R3)/Q3-1</f>
        <v>6.0934070310840527E-2</v>
      </c>
    </row>
    <row r="4" spans="1:19" s="67" customFormat="1">
      <c r="A4" s="78">
        <v>3</v>
      </c>
      <c r="B4" s="95">
        <v>122071</v>
      </c>
      <c r="C4" s="102" t="s">
        <v>283</v>
      </c>
      <c r="D4" s="114">
        <f>VLOOKUP(B4+0,'1'!J:K,2,FALSE)</f>
        <v>70.8</v>
      </c>
      <c r="E4" s="100">
        <v>43609</v>
      </c>
      <c r="F4" s="100">
        <v>44340</v>
      </c>
      <c r="G4" s="115">
        <v>6.2</v>
      </c>
      <c r="H4" s="158">
        <f>G4*(轮动业绩!Y$2-E4+1)/365.25</f>
        <v>6.3145790554414791</v>
      </c>
      <c r="I4" s="101">
        <f>D4+H4</f>
        <v>77.114579055441482</v>
      </c>
      <c r="J4" s="101">
        <v>77.114579055441482</v>
      </c>
      <c r="K4" s="17">
        <f>I4/J4-1</f>
        <v>0</v>
      </c>
      <c r="L4" s="116">
        <f>(F4-轮动业绩!Y$2)/365</f>
        <v>0.98630136986301364</v>
      </c>
      <c r="M4" s="17">
        <f>((INT((F4-轮动业绩!Y$2)/365+1)*G4+100)/I4-1)/L4</f>
        <v>0.38240998635475509</v>
      </c>
      <c r="N4" s="17">
        <f>((INT((F4-轮动业绩!Y$2)/365+1)*(0.8*G4)+100)/I4-1)/L4</f>
        <v>0.36610668498656201</v>
      </c>
      <c r="O4" s="112" t="s">
        <v>297</v>
      </c>
      <c r="Q4" s="159">
        <v>96.788377823408624</v>
      </c>
      <c r="R4" s="24">
        <v>6.2</v>
      </c>
      <c r="S4" s="17">
        <f>(I4+R4)/Q4-1</f>
        <v>-0.13920884997732086</v>
      </c>
    </row>
    <row r="5" spans="1:19" s="67" customFormat="1">
      <c r="A5" s="78">
        <v>4</v>
      </c>
      <c r="B5" s="95">
        <v>127860</v>
      </c>
      <c r="C5" s="102" t="s">
        <v>986</v>
      </c>
      <c r="D5" s="114">
        <f>VLOOKUP(B5+0,'1'!J:K,2,FALSE)</f>
        <v>87.49</v>
      </c>
      <c r="E5" s="100">
        <v>43722</v>
      </c>
      <c r="F5" s="100">
        <v>45183</v>
      </c>
      <c r="G5" s="115">
        <v>6.3</v>
      </c>
      <c r="H5" s="158">
        <f>G5*(轮动业绩!Y$2-E5+1)/365.25</f>
        <v>4.4673511293634496</v>
      </c>
      <c r="I5" s="101">
        <f>D5+H5</f>
        <v>91.957351129363445</v>
      </c>
      <c r="J5" s="101">
        <v>91.957351129363445</v>
      </c>
      <c r="K5" s="17">
        <f t="shared" ref="K5:K8" si="4">I5/J5-1</f>
        <v>0</v>
      </c>
      <c r="L5" s="116">
        <f>(F5-轮动业绩!Y$2)/365</f>
        <v>3.2958904109589042</v>
      </c>
      <c r="M5" s="17">
        <f>((INT((F5-轮动业绩!Y$2)/365+1)*G5+100)/I5-1)/L5</f>
        <v>0.10968226409417933</v>
      </c>
      <c r="N5" s="17">
        <f>((INT((F5-轮动业绩!Y$2)/365+1)*(0.8*G5)+100)/I5-1)/L5</f>
        <v>9.3053065464856088E-2</v>
      </c>
      <c r="O5" s="112" t="s">
        <v>988</v>
      </c>
      <c r="Q5" s="159">
        <v>92.880082135523608</v>
      </c>
      <c r="R5" s="24"/>
      <c r="S5" s="17">
        <f>(I5+R5)/Q5-1</f>
        <v>-9.9346489036667984E-3</v>
      </c>
    </row>
    <row r="6" spans="1:19" s="67" customFormat="1">
      <c r="A6" s="78">
        <v>5</v>
      </c>
      <c r="B6" s="95">
        <v>143913</v>
      </c>
      <c r="C6" s="102" t="s">
        <v>285</v>
      </c>
      <c r="D6" s="114">
        <f>VLOOKUP(B6+0,'1'!J:K,2,FALSE)</f>
        <v>97.44</v>
      </c>
      <c r="E6" s="100">
        <v>43692</v>
      </c>
      <c r="F6" s="100">
        <v>44058</v>
      </c>
      <c r="G6" s="115">
        <v>5.58</v>
      </c>
      <c r="H6" s="158">
        <f>G6*(轮动业绩!Y$2-E6+1)/365.25</f>
        <v>4.4151129363449693</v>
      </c>
      <c r="I6" s="101">
        <f>D6+H6</f>
        <v>101.85511293634497</v>
      </c>
      <c r="J6" s="101">
        <v>101.85511293634497</v>
      </c>
      <c r="K6" s="17">
        <f t="shared" si="4"/>
        <v>0</v>
      </c>
      <c r="L6" s="116">
        <f>(F6-轮动业绩!Y$2)/365</f>
        <v>0.21369863013698631</v>
      </c>
      <c r="M6" s="17">
        <f>((INT((F6-轮动业绩!Y$2)/365+1)*G6+100)/I6-1)/L6</f>
        <v>0.17113094038101698</v>
      </c>
      <c r="N6" s="17">
        <f>((INT((F6-轮动业绩!Y$2)/365+1)*(0.8*G6)+100)/I6-1)/L6</f>
        <v>0.11985901556786176</v>
      </c>
      <c r="O6" s="112" t="s">
        <v>298</v>
      </c>
      <c r="P6" s="66" t="s">
        <v>300</v>
      </c>
      <c r="Q6" s="159">
        <v>92.873531827515407</v>
      </c>
      <c r="R6" s="24"/>
      <c r="S6" s="17">
        <f t="shared" ref="S6:S8" si="5">(I6+R6)/Q6-1</f>
        <v>9.6707651061554767E-2</v>
      </c>
    </row>
    <row r="7" spans="1:19" s="67" customFormat="1">
      <c r="A7" s="78">
        <v>6</v>
      </c>
      <c r="B7" s="95">
        <v>112279</v>
      </c>
      <c r="C7" s="102" t="s">
        <v>286</v>
      </c>
      <c r="D7" s="114">
        <f>VLOOKUP(B7+0,'1'!J:K,2,FALSE)</f>
        <v>94.3</v>
      </c>
      <c r="E7" s="100">
        <v>43723</v>
      </c>
      <c r="F7" s="100">
        <v>44089</v>
      </c>
      <c r="G7" s="115">
        <v>5.62</v>
      </c>
      <c r="H7" s="158">
        <f>G7*(轮动业绩!Y$2-E7+1)/365.25</f>
        <v>3.9697741273100617</v>
      </c>
      <c r="I7" s="101">
        <f t="shared" ref="I7:I8" si="6">D7+H7</f>
        <v>98.269774127310058</v>
      </c>
      <c r="J7" s="101">
        <v>98.269774127310058</v>
      </c>
      <c r="K7" s="17">
        <f t="shared" si="4"/>
        <v>0</v>
      </c>
      <c r="L7" s="116">
        <f>(F7-轮动业绩!Y$2)/365</f>
        <v>0.29863013698630136</v>
      </c>
      <c r="M7" s="17">
        <f>((INT((F7-轮动业绩!Y$2)/365+1)*G7+100)/I7-1)/L7</f>
        <v>0.25046502754643118</v>
      </c>
      <c r="N7" s="17">
        <f>((INT((F7-轮动业绩!Y$2)/365+1)*(0.8*G7)+100)/I7-1)/L7</f>
        <v>0.21216379764706136</v>
      </c>
      <c r="O7" s="112" t="s">
        <v>298</v>
      </c>
      <c r="P7" s="66" t="s">
        <v>300</v>
      </c>
      <c r="Q7" s="159">
        <v>96.139765913757699</v>
      </c>
      <c r="R7" s="24"/>
      <c r="S7" s="17">
        <f t="shared" si="5"/>
        <v>2.2155329725507045E-2</v>
      </c>
    </row>
    <row r="8" spans="1:19" s="67" customFormat="1">
      <c r="A8" s="78">
        <v>7</v>
      </c>
      <c r="B8" s="95">
        <v>136670</v>
      </c>
      <c r="C8" s="102" t="s">
        <v>970</v>
      </c>
      <c r="D8" s="114">
        <f>VLOOKUP(B8+0,'1'!J:K,2,FALSE)</f>
        <v>84.99</v>
      </c>
      <c r="E8" s="100">
        <v>43706</v>
      </c>
      <c r="F8" s="100">
        <v>44437</v>
      </c>
      <c r="G8" s="115">
        <v>4.5</v>
      </c>
      <c r="H8" s="158">
        <f>G8*(轮动业绩!Y$2-E8+1)/365.25</f>
        <v>3.3880903490759753</v>
      </c>
      <c r="I8" s="101">
        <f t="shared" si="6"/>
        <v>88.378090349075975</v>
      </c>
      <c r="J8" s="101">
        <v>88.378090349075975</v>
      </c>
      <c r="K8" s="17">
        <f t="shared" si="4"/>
        <v>0</v>
      </c>
      <c r="L8" s="116">
        <f>(F8-轮动业绩!Y$2)/365</f>
        <v>1.252054794520548</v>
      </c>
      <c r="M8" s="17">
        <f>((INT((F8-轮动业绩!Y$2)/365+1)*G8+100)/I8-1)/L8</f>
        <v>0.18636353126004648</v>
      </c>
      <c r="N8" s="17">
        <f>((INT((F8-轮动业绩!Y$2)/365+1)*(0.8*G8)+100)/I8-1)/L8</f>
        <v>0.17009664027145896</v>
      </c>
      <c r="O8" s="112" t="s">
        <v>298</v>
      </c>
      <c r="P8" s="66" t="s">
        <v>299</v>
      </c>
      <c r="Q8" s="159">
        <v>90.832299794661196</v>
      </c>
      <c r="R8" s="24"/>
      <c r="S8" s="17">
        <f t="shared" si="5"/>
        <v>-2.7019127019059286E-2</v>
      </c>
    </row>
    <row r="9" spans="1:19" s="67" customFormat="1">
      <c r="A9" s="78"/>
      <c r="B9" s="95"/>
      <c r="C9" s="102" t="s">
        <v>218</v>
      </c>
      <c r="D9" s="114"/>
      <c r="E9" s="78"/>
      <c r="F9" s="78"/>
      <c r="K9" s="103">
        <f>AVERAGE(K2:K8)</f>
        <v>0</v>
      </c>
      <c r="L9" s="116"/>
      <c r="M9" s="103"/>
      <c r="N9" s="103"/>
      <c r="O9" s="103"/>
      <c r="R9" s="24"/>
      <c r="S9" s="103">
        <f>AVERAGE(S4:S8)</f>
        <v>-1.1459929022597026E-2</v>
      </c>
    </row>
    <row r="10" spans="1:19" s="67" customFormat="1">
      <c r="A10" s="78"/>
      <c r="B10" s="95"/>
      <c r="C10" s="102"/>
      <c r="D10" s="114"/>
      <c r="E10" s="78"/>
      <c r="F10" s="78"/>
      <c r="K10" s="103"/>
      <c r="L10" s="116"/>
      <c r="M10" s="103"/>
      <c r="N10" s="103"/>
      <c r="O10" s="103"/>
      <c r="R10" s="24"/>
      <c r="S10" s="103"/>
    </row>
    <row r="11" spans="1:19" s="67" customFormat="1">
      <c r="A11" s="78"/>
      <c r="B11" s="102" t="s">
        <v>999</v>
      </c>
      <c r="C11" s="102"/>
      <c r="D11" s="114"/>
      <c r="E11" s="78"/>
      <c r="F11" s="78"/>
      <c r="K11" s="103"/>
      <c r="L11" s="116"/>
      <c r="M11" s="103"/>
      <c r="N11" s="103"/>
      <c r="O11" s="103"/>
      <c r="R11" s="24"/>
      <c r="S11" s="103"/>
    </row>
    <row r="12" spans="1:19" s="67" customFormat="1">
      <c r="A12" s="78"/>
      <c r="B12" s="164">
        <v>136276</v>
      </c>
      <c r="C12" s="102" t="s">
        <v>287</v>
      </c>
      <c r="D12" s="114">
        <f>VLOOKUP(B12+0,'1'!J:K,2,FALSE)</f>
        <v>91.98</v>
      </c>
      <c r="E12" s="100">
        <v>43904</v>
      </c>
      <c r="F12" s="100">
        <v>44269</v>
      </c>
      <c r="G12" s="115">
        <v>5.5</v>
      </c>
      <c r="H12" s="78">
        <f>G12*(轮动业绩!Y$2-E12+1)/365.25</f>
        <v>1.159479808350445</v>
      </c>
      <c r="I12" s="101">
        <f t="shared" ref="I12" si="7">D12+H12</f>
        <v>93.139479808350444</v>
      </c>
      <c r="J12" s="101">
        <v>92.232443531827514</v>
      </c>
      <c r="K12" s="17">
        <f>I12/J12-1</f>
        <v>9.8342431555544785E-3</v>
      </c>
      <c r="L12" s="116">
        <f>(F12-轮动业绩!Y$2)/365</f>
        <v>0.79178082191780819</v>
      </c>
      <c r="M12" s="17">
        <f>((INT((F12-轮动业绩!Y$2)/365+1)*G12+100)/I12-1)/L12</f>
        <v>0.1676092420143768</v>
      </c>
      <c r="N12" s="17">
        <f>((INT((F12-轮动业绩!Y$2)/365+1)*(0.8*G12)+100)/I12-1)/L12</f>
        <v>0.15269318966729442</v>
      </c>
      <c r="O12" s="112" t="s">
        <v>298</v>
      </c>
      <c r="P12" s="66" t="s">
        <v>299</v>
      </c>
      <c r="Q12" s="67">
        <v>93.812046543463381</v>
      </c>
      <c r="R12" s="24">
        <v>5.5</v>
      </c>
      <c r="S12" s="17">
        <f t="shared" ref="S12" si="8">(I12+R12)/Q12-1</f>
        <v>5.145856468071508E-2</v>
      </c>
    </row>
    <row r="13" spans="1:19" s="67" customFormat="1"/>
    <row r="14" spans="1:19" s="67" customFormat="1"/>
    <row r="15" spans="1:19" s="67" customFormat="1"/>
    <row r="16" spans="1:19" s="67" customFormat="1"/>
    <row r="17" spans="7:7" s="67" customFormat="1"/>
    <row r="18" spans="7:7" s="67" customFormat="1"/>
    <row r="19" spans="7:7" s="67" customFormat="1">
      <c r="G19" s="67">
        <f>G4*0.8</f>
        <v>4.9600000000000009</v>
      </c>
    </row>
    <row r="20" spans="7:7" s="67" customFormat="1"/>
    <row r="21" spans="7:7" s="67" customFormat="1"/>
    <row r="22" spans="7:7" s="67" customFormat="1"/>
    <row r="23" spans="7:7" s="67" customFormat="1"/>
    <row r="24" spans="7:7" s="67" customFormat="1"/>
    <row r="25" spans="7:7" s="67" customFormat="1"/>
  </sheetData>
  <phoneticPr fontId="1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0"/>
  <dimension ref="A1:R89"/>
  <sheetViews>
    <sheetView tabSelected="1" workbookViewId="0">
      <selection activeCell="D11" sqref="D11"/>
    </sheetView>
  </sheetViews>
  <sheetFormatPr defaultColWidth="8.88671875" defaultRowHeight="14.4"/>
  <cols>
    <col min="1" max="3" width="9.5546875" style="67" customWidth="1"/>
    <col min="4" max="4" width="9.5546875" style="32" customWidth="1"/>
    <col min="5" max="5" width="9.5546875" style="17" customWidth="1"/>
    <col min="6" max="6" width="14.21875" style="24" customWidth="1"/>
    <col min="7" max="17" width="9.5546875" style="67" customWidth="1"/>
    <col min="18" max="16384" width="8.88671875" style="67"/>
  </cols>
  <sheetData>
    <row r="1" spans="1:18">
      <c r="A1" s="67" t="s">
        <v>864</v>
      </c>
      <c r="B1" s="67" t="s">
        <v>302</v>
      </c>
      <c r="C1" s="67" t="s">
        <v>863</v>
      </c>
      <c r="D1" s="32" t="s">
        <v>303</v>
      </c>
      <c r="E1" s="112" t="s">
        <v>857</v>
      </c>
      <c r="F1" s="16">
        <v>43980</v>
      </c>
      <c r="G1" s="67" t="s">
        <v>845</v>
      </c>
      <c r="H1" s="66" t="s">
        <v>923</v>
      </c>
      <c r="I1" s="66" t="s">
        <v>1043</v>
      </c>
      <c r="K1" s="67" t="s">
        <v>864</v>
      </c>
      <c r="L1" s="67" t="s">
        <v>302</v>
      </c>
      <c r="M1" s="67" t="s">
        <v>863</v>
      </c>
      <c r="N1" s="25" t="s">
        <v>303</v>
      </c>
      <c r="O1" s="112" t="s">
        <v>857</v>
      </c>
      <c r="P1" s="168" t="s">
        <v>1046</v>
      </c>
    </row>
    <row r="2" spans="1:18" s="24" customFormat="1">
      <c r="A2" s="67">
        <v>113568</v>
      </c>
      <c r="B2" s="67" t="s">
        <v>1082</v>
      </c>
      <c r="C2" s="67">
        <v>1</v>
      </c>
      <c r="D2" s="32">
        <f>VLOOKUP(A2,'1'!$J:$K,2,FALSE)</f>
        <v>106.35</v>
      </c>
      <c r="E2" s="17">
        <f>VLOOKUP(A2,'1'!$J:$L,3,FALSE)</f>
        <v>1.6400000000000001E-2</v>
      </c>
      <c r="F2" s="24">
        <v>106.35</v>
      </c>
      <c r="H2" s="17">
        <f t="shared" ref="H2:H8" si="0">(D2+G2)/F2-1</f>
        <v>0</v>
      </c>
      <c r="I2" s="67">
        <f t="shared" ref="I2:I21" si="1">IFERROR(VLOOKUP(A2,K:M,3,FALSE),"")</f>
        <v>1</v>
      </c>
      <c r="J2" s="67"/>
      <c r="K2" s="67">
        <v>113568</v>
      </c>
      <c r="L2" s="67" t="s">
        <v>1082</v>
      </c>
      <c r="M2" s="67">
        <v>1</v>
      </c>
      <c r="N2" s="24">
        <f>VLOOKUP(K2,'1'!$J:$K,2,FALSE)</f>
        <v>106.35</v>
      </c>
      <c r="O2" s="17">
        <f>VLOOKUP(K2,'1'!$J:$L,3,FALSE)</f>
        <v>1.6400000000000001E-2</v>
      </c>
      <c r="P2" s="67">
        <f t="shared" ref="P2:P33" si="2">IFERROR(VLOOKUP(K2,A:J,3,FALSE),"")</f>
        <v>1</v>
      </c>
      <c r="Q2" s="20" t="s">
        <v>920</v>
      </c>
    </row>
    <row r="3" spans="1:18" s="24" customFormat="1">
      <c r="A3" s="67">
        <v>128082</v>
      </c>
      <c r="B3" s="66" t="s">
        <v>866</v>
      </c>
      <c r="C3" s="67">
        <v>2</v>
      </c>
      <c r="D3" s="32">
        <f>VLOOKUP(A3,'1'!$J:$K,2,FALSE)</f>
        <v>105.42100000000001</v>
      </c>
      <c r="E3" s="17">
        <f>VLOOKUP(A3,'1'!$J:$L,3,FALSE)</f>
        <v>1.0699999999999999E-2</v>
      </c>
      <c r="F3" s="24">
        <v>105.42100000000001</v>
      </c>
      <c r="H3" s="17">
        <f t="shared" si="0"/>
        <v>0</v>
      </c>
      <c r="I3" s="67">
        <f t="shared" si="1"/>
        <v>2</v>
      </c>
      <c r="J3" s="67"/>
      <c r="K3" s="67">
        <v>128082</v>
      </c>
      <c r="L3" s="67" t="s">
        <v>866</v>
      </c>
      <c r="M3" s="67">
        <v>2</v>
      </c>
      <c r="N3" s="24">
        <f>VLOOKUP(K3,'1'!$J:$K,2,FALSE)</f>
        <v>105.42100000000001</v>
      </c>
      <c r="O3" s="17">
        <f>VLOOKUP(K3,'1'!$J:$L,3,FALSE)</f>
        <v>1.0699999999999999E-2</v>
      </c>
      <c r="P3" s="67">
        <f t="shared" si="2"/>
        <v>2</v>
      </c>
    </row>
    <row r="4" spans="1:18" s="24" customFormat="1">
      <c r="A4" s="67">
        <v>128085</v>
      </c>
      <c r="B4" s="67" t="s">
        <v>867</v>
      </c>
      <c r="C4" s="67">
        <v>3</v>
      </c>
      <c r="D4" s="32">
        <f>VLOOKUP(A4,'1'!$J:$K,2,FALSE)</f>
        <v>108.88</v>
      </c>
      <c r="E4" s="17">
        <f>VLOOKUP(A4,'1'!$J:$L,3,FALSE)</f>
        <v>8.0999999999999996E-3</v>
      </c>
      <c r="F4" s="24">
        <v>108.88</v>
      </c>
      <c r="H4" s="17">
        <f t="shared" si="0"/>
        <v>0</v>
      </c>
      <c r="I4" s="67">
        <f t="shared" si="1"/>
        <v>3</v>
      </c>
      <c r="J4" s="67"/>
      <c r="K4" s="67">
        <v>128085</v>
      </c>
      <c r="L4" s="67" t="s">
        <v>867</v>
      </c>
      <c r="M4" s="67">
        <v>3</v>
      </c>
      <c r="N4" s="24">
        <f>VLOOKUP(K4,'1'!$J:$K,2,FALSE)</f>
        <v>108.88</v>
      </c>
      <c r="O4" s="17">
        <f>VLOOKUP(K4,'1'!$J:$L,3,FALSE)</f>
        <v>8.0999999999999996E-3</v>
      </c>
      <c r="P4" s="67">
        <f t="shared" si="2"/>
        <v>3</v>
      </c>
    </row>
    <row r="5" spans="1:18" s="24" customFormat="1">
      <c r="A5" s="67">
        <v>128093</v>
      </c>
      <c r="B5" s="67" t="s">
        <v>1104</v>
      </c>
      <c r="C5" s="67">
        <v>4</v>
      </c>
      <c r="D5" s="32">
        <f>VLOOKUP(A5,'1'!$J:$K,2,FALSE)</f>
        <v>107.523</v>
      </c>
      <c r="E5" s="17">
        <f>VLOOKUP(A5,'1'!$J:$L,3,FALSE)</f>
        <v>8.0000000000000004E-4</v>
      </c>
      <c r="F5" s="24">
        <v>107.523</v>
      </c>
      <c r="H5" s="17">
        <f t="shared" si="0"/>
        <v>0</v>
      </c>
      <c r="I5" s="67">
        <f t="shared" si="1"/>
        <v>4</v>
      </c>
      <c r="J5" s="67"/>
      <c r="K5" s="67">
        <v>128093</v>
      </c>
      <c r="L5" s="67" t="s">
        <v>1104</v>
      </c>
      <c r="M5" s="67">
        <v>4</v>
      </c>
      <c r="N5" s="24">
        <f>VLOOKUP(K5,'1'!$J:$K,2,FALSE)</f>
        <v>107.523</v>
      </c>
      <c r="O5" s="17">
        <f>VLOOKUP(K5,'1'!$J:$L,3,FALSE)</f>
        <v>8.0000000000000004E-4</v>
      </c>
      <c r="P5" s="67">
        <f t="shared" si="2"/>
        <v>4</v>
      </c>
    </row>
    <row r="6" spans="1:18" s="24" customFormat="1">
      <c r="A6" s="67">
        <v>113546</v>
      </c>
      <c r="B6" s="67" t="s">
        <v>1231</v>
      </c>
      <c r="C6" s="67">
        <v>5</v>
      </c>
      <c r="D6" s="32">
        <f>VLOOKUP(A6,'1'!$J:$K,2,FALSE)</f>
        <v>106.58</v>
      </c>
      <c r="E6" s="17">
        <f>VLOOKUP(A6,'1'!$J:$L,3,FALSE)</f>
        <v>1.18E-2</v>
      </c>
      <c r="F6" s="24">
        <v>106.58</v>
      </c>
      <c r="H6" s="17">
        <f t="shared" si="0"/>
        <v>0</v>
      </c>
      <c r="I6" s="67">
        <f t="shared" si="1"/>
        <v>5</v>
      </c>
      <c r="J6" s="67"/>
      <c r="K6" s="67">
        <v>113546</v>
      </c>
      <c r="L6" s="67" t="s">
        <v>1231</v>
      </c>
      <c r="M6" s="67">
        <v>5</v>
      </c>
      <c r="N6" s="24">
        <f>VLOOKUP(K6,'1'!$J:$K,2,FALSE)</f>
        <v>106.58</v>
      </c>
      <c r="O6" s="17">
        <f>VLOOKUP(K6,'1'!$J:$L,3,FALSE)</f>
        <v>1.18E-2</v>
      </c>
      <c r="P6" s="67">
        <f t="shared" si="2"/>
        <v>5</v>
      </c>
    </row>
    <row r="7" spans="1:18" s="24" customFormat="1">
      <c r="A7" s="67">
        <v>123028</v>
      </c>
      <c r="B7" s="67" t="s">
        <v>865</v>
      </c>
      <c r="C7" s="67">
        <v>6</v>
      </c>
      <c r="D7" s="32">
        <f>VLOOKUP(A7,'1'!$J:$K,2,FALSE)</f>
        <v>106.38</v>
      </c>
      <c r="E7" s="17">
        <f>VLOOKUP(A7,'1'!$J:$L,3,FALSE)</f>
        <v>1.6000000000000001E-3</v>
      </c>
      <c r="F7" s="24">
        <v>106.38</v>
      </c>
      <c r="H7" s="17">
        <f t="shared" si="0"/>
        <v>0</v>
      </c>
      <c r="I7" s="67">
        <f t="shared" si="1"/>
        <v>6</v>
      </c>
      <c r="J7" s="67"/>
      <c r="K7" s="67">
        <v>123028</v>
      </c>
      <c r="L7" s="67" t="s">
        <v>865</v>
      </c>
      <c r="M7" s="67">
        <v>6</v>
      </c>
      <c r="N7" s="24">
        <f>VLOOKUP(K7,'1'!$J:$K,2,FALSE)</f>
        <v>106.38</v>
      </c>
      <c r="O7" s="17">
        <f>VLOOKUP(K7,'1'!$J:$L,3,FALSE)</f>
        <v>1.6000000000000001E-3</v>
      </c>
      <c r="P7" s="67">
        <f t="shared" si="2"/>
        <v>6</v>
      </c>
    </row>
    <row r="8" spans="1:18" s="24" customFormat="1">
      <c r="A8" s="67">
        <v>110070</v>
      </c>
      <c r="B8" s="67" t="s">
        <v>1132</v>
      </c>
      <c r="C8" s="67">
        <v>7</v>
      </c>
      <c r="D8" s="32">
        <f>VLOOKUP(A8,'1'!$J:$K,2,FALSE)</f>
        <v>100.41</v>
      </c>
      <c r="E8" s="17">
        <f>VLOOKUP(A8,'1'!$J:$L,3,FALSE)</f>
        <v>1.1000000000000001E-3</v>
      </c>
      <c r="F8" s="24">
        <v>100.41</v>
      </c>
      <c r="H8" s="17">
        <f t="shared" si="0"/>
        <v>0</v>
      </c>
      <c r="I8" s="67">
        <f t="shared" si="1"/>
        <v>7</v>
      </c>
      <c r="J8" s="67"/>
      <c r="K8" s="67">
        <v>110070</v>
      </c>
      <c r="L8" s="67" t="s">
        <v>1132</v>
      </c>
      <c r="M8" s="67">
        <v>7</v>
      </c>
      <c r="N8" s="24">
        <f>VLOOKUP(K8,'1'!$J:$K,2,FALSE)</f>
        <v>100.41</v>
      </c>
      <c r="O8" s="17">
        <f>VLOOKUP(K8,'1'!$J:$L,3,FALSE)</f>
        <v>1.1000000000000001E-3</v>
      </c>
      <c r="P8" s="67">
        <f t="shared" si="2"/>
        <v>7</v>
      </c>
    </row>
    <row r="9" spans="1:18" s="24" customFormat="1">
      <c r="A9" s="67">
        <v>128049</v>
      </c>
      <c r="B9" s="67" t="s">
        <v>1120</v>
      </c>
      <c r="C9" s="67">
        <v>8</v>
      </c>
      <c r="D9" s="32">
        <f>VLOOKUP(A9,'1'!$J:$K,2,FALSE)</f>
        <v>106.5</v>
      </c>
      <c r="E9" s="17">
        <f>VLOOKUP(A9,'1'!$J:$L,3,FALSE)</f>
        <v>8.0000000000000004E-4</v>
      </c>
      <c r="F9" s="24">
        <v>106.5</v>
      </c>
      <c r="H9" s="17">
        <f t="shared" ref="H9:H21" si="3">(D9+G9)/F9-1</f>
        <v>0</v>
      </c>
      <c r="I9" s="67">
        <f t="shared" si="1"/>
        <v>8</v>
      </c>
      <c r="J9" s="67"/>
      <c r="K9" s="67">
        <v>128049</v>
      </c>
      <c r="L9" s="67" t="s">
        <v>1120</v>
      </c>
      <c r="M9" s="67">
        <v>8</v>
      </c>
      <c r="N9" s="24">
        <f>VLOOKUP(K9,'1'!$J:$K,2,FALSE)</f>
        <v>106.5</v>
      </c>
      <c r="O9" s="17">
        <f>VLOOKUP(K9,'1'!$J:$L,3,FALSE)</f>
        <v>8.0000000000000004E-4</v>
      </c>
      <c r="P9" s="67">
        <f t="shared" si="2"/>
        <v>8</v>
      </c>
    </row>
    <row r="10" spans="1:18" s="24" customFormat="1">
      <c r="A10" s="67">
        <v>113561</v>
      </c>
      <c r="B10" s="67" t="s">
        <v>1492</v>
      </c>
      <c r="C10" s="67">
        <v>9</v>
      </c>
      <c r="D10" s="32">
        <f>VLOOKUP(A10,'1'!$J:$K,2,FALSE)</f>
        <v>105.12</v>
      </c>
      <c r="E10" s="17">
        <f>VLOOKUP(A10,'1'!$J:$L,3,FALSE)</f>
        <v>4.1000000000000003E-3</v>
      </c>
      <c r="F10" s="24">
        <v>105.12</v>
      </c>
      <c r="H10" s="17">
        <f t="shared" si="3"/>
        <v>0</v>
      </c>
      <c r="I10" s="67">
        <f t="shared" si="1"/>
        <v>9</v>
      </c>
      <c r="J10" s="67"/>
      <c r="K10" s="67">
        <v>113561</v>
      </c>
      <c r="L10" s="67" t="s">
        <v>1492</v>
      </c>
      <c r="M10" s="67">
        <v>9</v>
      </c>
      <c r="N10" s="24">
        <f>VLOOKUP(K10,'1'!$J:$K,2,FALSE)</f>
        <v>105.12</v>
      </c>
      <c r="O10" s="17">
        <f>VLOOKUP(K10,'1'!$J:$L,3,FALSE)</f>
        <v>4.1000000000000003E-3</v>
      </c>
      <c r="P10" s="67">
        <f t="shared" si="2"/>
        <v>9</v>
      </c>
    </row>
    <row r="11" spans="1:18" s="24" customFormat="1">
      <c r="A11" s="67">
        <v>128087</v>
      </c>
      <c r="B11" s="67" t="s">
        <v>1121</v>
      </c>
      <c r="C11" s="67">
        <v>9</v>
      </c>
      <c r="D11" s="32">
        <f>VLOOKUP(A11,'1'!$J:$K,2,FALSE)</f>
        <v>100.123</v>
      </c>
      <c r="E11" s="17">
        <f>VLOOKUP(A11,'1'!$J:$L,3,FALSE)</f>
        <v>1.03E-2</v>
      </c>
      <c r="F11" s="24">
        <v>100.123</v>
      </c>
      <c r="H11" s="17">
        <f t="shared" si="3"/>
        <v>0</v>
      </c>
      <c r="I11" s="67">
        <f t="shared" si="1"/>
        <v>9</v>
      </c>
      <c r="J11" s="103">
        <f>AVERAGE(H2:H11)</f>
        <v>0</v>
      </c>
      <c r="K11" s="67">
        <v>128087</v>
      </c>
      <c r="L11" s="67" t="s">
        <v>1121</v>
      </c>
      <c r="M11" s="67">
        <v>9</v>
      </c>
      <c r="N11" s="24">
        <f>VLOOKUP(K11,'1'!$J:$K,2,FALSE)</f>
        <v>100.123</v>
      </c>
      <c r="O11" s="17">
        <f>VLOOKUP(K11,'1'!$J:$L,3,FALSE)</f>
        <v>1.03E-2</v>
      </c>
      <c r="P11" s="67">
        <f t="shared" si="2"/>
        <v>9</v>
      </c>
    </row>
    <row r="12" spans="1:18" s="24" customFormat="1">
      <c r="A12" s="67">
        <v>113541</v>
      </c>
      <c r="B12" s="67" t="s">
        <v>1205</v>
      </c>
      <c r="C12" s="67">
        <v>11</v>
      </c>
      <c r="D12" s="32">
        <f>VLOOKUP(A12,'1'!$J:$K,2,FALSE)</f>
        <v>105.85</v>
      </c>
      <c r="E12" s="17">
        <f>VLOOKUP(A12,'1'!$J:$L,3,FALSE)</f>
        <v>9.2999999999999992E-3</v>
      </c>
      <c r="F12" s="24">
        <v>105.85</v>
      </c>
      <c r="H12" s="17">
        <f t="shared" si="3"/>
        <v>0</v>
      </c>
      <c r="I12" s="67">
        <f t="shared" si="1"/>
        <v>11</v>
      </c>
      <c r="J12" s="67"/>
      <c r="K12" s="67">
        <v>113541</v>
      </c>
      <c r="L12" s="67" t="s">
        <v>1205</v>
      </c>
      <c r="M12" s="67">
        <v>11</v>
      </c>
      <c r="N12" s="24">
        <f>VLOOKUP(K12,'1'!$J:$K,2,FALSE)</f>
        <v>105.85</v>
      </c>
      <c r="O12" s="17">
        <f>VLOOKUP(K12,'1'!$J:$L,3,FALSE)</f>
        <v>9.2999999999999992E-3</v>
      </c>
      <c r="P12" s="67">
        <f t="shared" si="2"/>
        <v>11</v>
      </c>
    </row>
    <row r="13" spans="1:18" s="24" customFormat="1">
      <c r="A13" s="67">
        <v>123049</v>
      </c>
      <c r="B13" s="67" t="s">
        <v>1124</v>
      </c>
      <c r="C13" s="67">
        <v>11</v>
      </c>
      <c r="D13" s="32">
        <f>VLOOKUP(A13,'1'!$J:$K,2,FALSE)</f>
        <v>109.78</v>
      </c>
      <c r="E13" s="17">
        <f>VLOOKUP(A13,'1'!$J:$L,3,FALSE)</f>
        <v>2.0999999999999999E-3</v>
      </c>
      <c r="F13" s="24">
        <v>109.78</v>
      </c>
      <c r="H13" s="17">
        <f t="shared" si="3"/>
        <v>0</v>
      </c>
      <c r="I13" s="67">
        <f t="shared" si="1"/>
        <v>11</v>
      </c>
      <c r="J13" s="67"/>
      <c r="K13" s="67">
        <v>123049</v>
      </c>
      <c r="L13" s="66" t="s">
        <v>1124</v>
      </c>
      <c r="M13" s="67">
        <v>11</v>
      </c>
      <c r="N13" s="24">
        <f>VLOOKUP(K13,'1'!$J:$K,2,FALSE)</f>
        <v>109.78</v>
      </c>
      <c r="O13" s="17">
        <f>VLOOKUP(K13,'1'!$J:$L,3,FALSE)</f>
        <v>2.0999999999999999E-3</v>
      </c>
      <c r="P13" s="67">
        <f t="shared" si="2"/>
        <v>11</v>
      </c>
      <c r="Q13" s="17"/>
    </row>
    <row r="14" spans="1:18" s="24" customFormat="1">
      <c r="A14" s="67">
        <v>110066</v>
      </c>
      <c r="B14" s="67" t="s">
        <v>1048</v>
      </c>
      <c r="C14" s="67">
        <v>13</v>
      </c>
      <c r="D14" s="32">
        <f>VLOOKUP(A14,'1'!$J:$K,2,FALSE)</f>
        <v>100.23</v>
      </c>
      <c r="E14" s="17">
        <f>VLOOKUP(A14,'1'!$J:$L,3,FALSE)</f>
        <v>5.3E-3</v>
      </c>
      <c r="F14" s="24">
        <v>100.23</v>
      </c>
      <c r="H14" s="17">
        <f t="shared" si="3"/>
        <v>0</v>
      </c>
      <c r="I14" s="67">
        <f t="shared" si="1"/>
        <v>13</v>
      </c>
      <c r="J14" s="67"/>
      <c r="K14" s="67">
        <v>110066</v>
      </c>
      <c r="L14" s="67" t="s">
        <v>1048</v>
      </c>
      <c r="M14" s="67">
        <v>13</v>
      </c>
      <c r="N14" s="24">
        <f>VLOOKUP(K14,'1'!$J:$K,2,FALSE)</f>
        <v>100.23</v>
      </c>
      <c r="O14" s="17">
        <f>VLOOKUP(K14,'1'!$J:$L,3,FALSE)</f>
        <v>5.3E-3</v>
      </c>
      <c r="P14" s="67">
        <f t="shared" si="2"/>
        <v>13</v>
      </c>
    </row>
    <row r="15" spans="1:18" s="24" customFormat="1">
      <c r="A15" s="67">
        <v>113034</v>
      </c>
      <c r="B15" s="67" t="s">
        <v>1112</v>
      </c>
      <c r="C15" s="67">
        <v>14</v>
      </c>
      <c r="D15" s="32">
        <f>VLOOKUP(A15,'1'!$J:$K,2,FALSE)</f>
        <v>107.02</v>
      </c>
      <c r="E15" s="17">
        <f>VLOOKUP(A15,'1'!$J:$L,3,FALSE)</f>
        <v>1.15E-2</v>
      </c>
      <c r="F15" s="24">
        <v>107.02</v>
      </c>
      <c r="H15" s="17">
        <f t="shared" si="3"/>
        <v>0</v>
      </c>
      <c r="I15" s="67">
        <f t="shared" si="1"/>
        <v>14</v>
      </c>
      <c r="J15" s="67"/>
      <c r="K15" s="67">
        <v>113034</v>
      </c>
      <c r="L15" s="67" t="s">
        <v>1112</v>
      </c>
      <c r="M15" s="67">
        <v>14</v>
      </c>
      <c r="N15" s="24">
        <f>VLOOKUP(K15,'1'!$J:$K,2,FALSE)</f>
        <v>107.02</v>
      </c>
      <c r="O15" s="17">
        <f>VLOOKUP(K15,'1'!$J:$L,3,FALSE)</f>
        <v>1.15E-2</v>
      </c>
      <c r="P15" s="67">
        <f t="shared" si="2"/>
        <v>14</v>
      </c>
    </row>
    <row r="16" spans="1:18" s="24" customFormat="1">
      <c r="A16" s="67">
        <v>123011</v>
      </c>
      <c r="B16" s="67" t="s">
        <v>968</v>
      </c>
      <c r="C16" s="67">
        <v>14</v>
      </c>
      <c r="D16" s="32">
        <f>VLOOKUP(A16,'1'!$J:$K,2,FALSE)</f>
        <v>102.752</v>
      </c>
      <c r="E16" s="17">
        <f>VLOOKUP(A16,'1'!$J:$L,3,FALSE)</f>
        <v>5.4000000000000003E-3</v>
      </c>
      <c r="F16" s="24">
        <v>102.752</v>
      </c>
      <c r="H16" s="17">
        <f t="shared" si="3"/>
        <v>0</v>
      </c>
      <c r="I16" s="67">
        <f t="shared" si="1"/>
        <v>14</v>
      </c>
      <c r="J16" s="67"/>
      <c r="K16" s="67">
        <v>123011</v>
      </c>
      <c r="L16" s="67" t="s">
        <v>968</v>
      </c>
      <c r="M16" s="67">
        <v>14</v>
      </c>
      <c r="N16" s="24">
        <f>VLOOKUP(K16,'1'!$J:$K,2,FALSE)</f>
        <v>102.752</v>
      </c>
      <c r="O16" s="17">
        <f>VLOOKUP(K16,'1'!$J:$L,3,FALSE)</f>
        <v>5.4000000000000003E-3</v>
      </c>
      <c r="P16" s="67">
        <f t="shared" si="2"/>
        <v>14</v>
      </c>
      <c r="R16" s="17"/>
    </row>
    <row r="17" spans="1:17" s="24" customFormat="1">
      <c r="A17" s="67">
        <v>113527</v>
      </c>
      <c r="B17" s="67" t="s">
        <v>926</v>
      </c>
      <c r="C17" s="67">
        <v>14</v>
      </c>
      <c r="D17" s="32">
        <f>VLOOKUP(A17,'1'!$J:$K,2,FALSE)</f>
        <v>92.21</v>
      </c>
      <c r="E17" s="17">
        <f>VLOOKUP(A17,'1'!$J:$L,3,FALSE)</f>
        <v>5.5999999999999999E-3</v>
      </c>
      <c r="F17" s="24">
        <v>92.21</v>
      </c>
      <c r="H17" s="17">
        <f t="shared" si="3"/>
        <v>0</v>
      </c>
      <c r="I17" s="67">
        <f t="shared" si="1"/>
        <v>14</v>
      </c>
      <c r="J17" s="67"/>
      <c r="K17" s="67">
        <v>113527</v>
      </c>
      <c r="L17" s="67" t="s">
        <v>926</v>
      </c>
      <c r="M17" s="67">
        <v>14</v>
      </c>
      <c r="N17" s="24">
        <f>VLOOKUP(K17,'1'!$J:$K,2,FALSE)</f>
        <v>92.21</v>
      </c>
      <c r="O17" s="17">
        <f>VLOOKUP(K17,'1'!$J:$L,3,FALSE)</f>
        <v>5.5999999999999999E-3</v>
      </c>
      <c r="P17" s="67">
        <f t="shared" si="2"/>
        <v>14</v>
      </c>
    </row>
    <row r="18" spans="1:17" s="24" customFormat="1">
      <c r="A18" s="67">
        <v>113528</v>
      </c>
      <c r="B18" s="67" t="s">
        <v>928</v>
      </c>
      <c r="C18" s="67">
        <v>17</v>
      </c>
      <c r="D18" s="32">
        <f>VLOOKUP(A18,'1'!$J:$K,2,FALSE)</f>
        <v>102.62</v>
      </c>
      <c r="E18" s="17">
        <f>VLOOKUP(A18,'1'!$J:$L,3,FALSE)</f>
        <v>1.8E-3</v>
      </c>
      <c r="F18" s="24">
        <v>102.62</v>
      </c>
      <c r="H18" s="17">
        <f t="shared" si="3"/>
        <v>0</v>
      </c>
      <c r="I18" s="67">
        <f t="shared" si="1"/>
        <v>17</v>
      </c>
      <c r="J18" s="67"/>
      <c r="K18" s="67">
        <v>113528</v>
      </c>
      <c r="L18" s="67" t="s">
        <v>928</v>
      </c>
      <c r="M18" s="67">
        <v>17</v>
      </c>
      <c r="N18" s="24">
        <f>VLOOKUP(K18,'1'!$J:$K,2,FALSE)</f>
        <v>102.62</v>
      </c>
      <c r="O18" s="17">
        <f>VLOOKUP(K18,'1'!$J:$L,3,FALSE)</f>
        <v>1.8E-3</v>
      </c>
      <c r="P18" s="67">
        <f t="shared" si="2"/>
        <v>17</v>
      </c>
    </row>
    <row r="19" spans="1:17" s="24" customFormat="1">
      <c r="A19" s="67">
        <v>128094</v>
      </c>
      <c r="B19" s="67" t="s">
        <v>1188</v>
      </c>
      <c r="C19" s="67">
        <v>18</v>
      </c>
      <c r="D19" s="32">
        <f>VLOOKUP(A19,'1'!$J:$K,2,FALSE)</f>
        <v>113.2</v>
      </c>
      <c r="E19" s="17">
        <f>VLOOKUP(A19,'1'!$J:$L,3,FALSE)</f>
        <v>-2.5999999999999999E-3</v>
      </c>
      <c r="F19" s="24">
        <v>113.2</v>
      </c>
      <c r="H19" s="17">
        <f t="shared" ref="H19" si="4">(D19+G19)/F19-1</f>
        <v>0</v>
      </c>
      <c r="I19" s="67">
        <f t="shared" si="1"/>
        <v>18</v>
      </c>
      <c r="J19" s="67"/>
      <c r="K19" s="67">
        <v>128094</v>
      </c>
      <c r="L19" s="67" t="s">
        <v>1188</v>
      </c>
      <c r="M19" s="67">
        <v>18</v>
      </c>
      <c r="N19" s="24">
        <f>VLOOKUP(K19,'1'!$J:$K,2,FALSE)</f>
        <v>113.2</v>
      </c>
      <c r="O19" s="17">
        <f>VLOOKUP(K19,'1'!$J:$L,3,FALSE)</f>
        <v>-2.5999999999999999E-3</v>
      </c>
      <c r="P19" s="67">
        <f t="shared" si="2"/>
        <v>18</v>
      </c>
    </row>
    <row r="20" spans="1:17" s="24" customFormat="1">
      <c r="A20" s="67">
        <v>128081</v>
      </c>
      <c r="B20" s="67" t="s">
        <v>1230</v>
      </c>
      <c r="C20" s="67">
        <v>18</v>
      </c>
      <c r="D20" s="32">
        <f>VLOOKUP(A20,'1'!$J:$K,2,FALSE)</f>
        <v>106.886</v>
      </c>
      <c r="E20" s="17">
        <f>VLOOKUP(A20,'1'!$J:$L,3,FALSE)</f>
        <v>1.83E-2</v>
      </c>
      <c r="F20" s="24">
        <v>106.886</v>
      </c>
      <c r="H20" s="17">
        <f>(D20+G20)/F20-1</f>
        <v>0</v>
      </c>
      <c r="I20" s="67">
        <f t="shared" si="1"/>
        <v>18</v>
      </c>
      <c r="J20" s="67"/>
      <c r="K20" s="67">
        <v>128081</v>
      </c>
      <c r="L20" s="67" t="s">
        <v>1230</v>
      </c>
      <c r="M20" s="67">
        <v>18</v>
      </c>
      <c r="N20" s="24">
        <f>VLOOKUP(K20,'1'!$J:$K,2,FALSE)</f>
        <v>106.886</v>
      </c>
      <c r="O20" s="17">
        <f>VLOOKUP(K20,'1'!$J:$L,3,FALSE)</f>
        <v>1.83E-2</v>
      </c>
      <c r="P20" s="67">
        <f t="shared" si="2"/>
        <v>18</v>
      </c>
    </row>
    <row r="21" spans="1:17">
      <c r="A21" s="67">
        <v>127016</v>
      </c>
      <c r="B21" s="67" t="s">
        <v>1131</v>
      </c>
      <c r="C21" s="67">
        <v>18</v>
      </c>
      <c r="D21" s="32">
        <f>VLOOKUP(A21,'1'!$J:$K,2,FALSE)</f>
        <v>105.1</v>
      </c>
      <c r="E21" s="17">
        <f>VLOOKUP(A21,'1'!$J:$L,3,FALSE)</f>
        <v>2.8999999999999998E-3</v>
      </c>
      <c r="F21" s="24">
        <v>105.1</v>
      </c>
      <c r="G21" s="24"/>
      <c r="H21" s="17">
        <f t="shared" si="3"/>
        <v>0</v>
      </c>
      <c r="I21" s="67">
        <f t="shared" si="1"/>
        <v>18</v>
      </c>
      <c r="J21" s="103">
        <f>AVERAGE(H12:H21)</f>
        <v>0</v>
      </c>
      <c r="K21" s="67">
        <v>127016</v>
      </c>
      <c r="L21" s="67" t="s">
        <v>1131</v>
      </c>
      <c r="M21" s="67">
        <v>18</v>
      </c>
      <c r="N21" s="24">
        <f>VLOOKUP(K21,'1'!$J:$K,2,FALSE)</f>
        <v>105.1</v>
      </c>
      <c r="O21" s="17">
        <f>VLOOKUP(K21,'1'!$J:$L,3,FALSE)</f>
        <v>2.8999999999999998E-3</v>
      </c>
      <c r="P21" s="67">
        <f t="shared" si="2"/>
        <v>18</v>
      </c>
      <c r="Q21" s="103">
        <f>AVERAGE(O2:O21)</f>
        <v>6.264999999999998E-3</v>
      </c>
    </row>
    <row r="22" spans="1:17">
      <c r="B22" s="67" t="s">
        <v>810</v>
      </c>
      <c r="D22" s="32">
        <f>AVERAGE(D2:D21)</f>
        <v>104.94674999999999</v>
      </c>
      <c r="E22" s="17">
        <f>AVERAGE(E2:E21)</f>
        <v>6.264999999999998E-3</v>
      </c>
      <c r="F22" s="24">
        <v>109.84744999999995</v>
      </c>
      <c r="G22" s="24"/>
      <c r="H22" s="17">
        <f>AVERAGE(H2:H21)</f>
        <v>0</v>
      </c>
      <c r="J22" s="103"/>
      <c r="K22" s="67">
        <v>128056</v>
      </c>
      <c r="L22" s="67" t="s">
        <v>925</v>
      </c>
      <c r="M22" s="67">
        <v>18</v>
      </c>
      <c r="N22" s="24">
        <f>VLOOKUP(K22,'1'!$J:$K,2,FALSE)</f>
        <v>104.23</v>
      </c>
      <c r="O22" s="17">
        <f>VLOOKUP(K22,'1'!$J:$L,3,FALSE)</f>
        <v>8.0000000000000004E-4</v>
      </c>
      <c r="P22" s="67">
        <f t="shared" si="2"/>
        <v>18</v>
      </c>
    </row>
    <row r="23" spans="1:17">
      <c r="K23" s="67">
        <v>128018</v>
      </c>
      <c r="L23" s="67" t="s">
        <v>1037</v>
      </c>
      <c r="M23" s="67">
        <v>22</v>
      </c>
      <c r="N23" s="24">
        <f>VLOOKUP(K23,'1'!$J:$K,2,FALSE)</f>
        <v>100.2</v>
      </c>
      <c r="O23" s="17">
        <f>VLOOKUP(K23,'1'!$J:$L,3,FALSE)</f>
        <v>3.0999999999999999E-3</v>
      </c>
      <c r="P23" s="67">
        <f t="shared" si="2"/>
        <v>22</v>
      </c>
    </row>
    <row r="24" spans="1:17">
      <c r="A24" s="66" t="s">
        <v>1583</v>
      </c>
      <c r="K24" s="67">
        <v>128107</v>
      </c>
      <c r="L24" s="67" t="s">
        <v>1217</v>
      </c>
      <c r="M24" s="67">
        <v>23</v>
      </c>
      <c r="N24" s="24">
        <f>VLOOKUP(K24,'1'!$J:$K,2,FALSE)</f>
        <v>108.6</v>
      </c>
      <c r="O24" s="17">
        <f>VLOOKUP(K24,'1'!$J:$L,3,FALSE)</f>
        <v>6.4000000000000003E-3</v>
      </c>
      <c r="P24" s="67">
        <f t="shared" si="2"/>
        <v>23</v>
      </c>
    </row>
    <row r="25" spans="1:17">
      <c r="A25" s="66" t="s">
        <v>699</v>
      </c>
      <c r="K25" s="67">
        <v>128057</v>
      </c>
      <c r="L25" s="67" t="s">
        <v>1189</v>
      </c>
      <c r="M25" s="67">
        <v>23</v>
      </c>
      <c r="N25" s="24">
        <f>VLOOKUP(K25,'1'!$J:$K,2,FALSE)</f>
        <v>109.8</v>
      </c>
      <c r="O25" s="17">
        <f>VLOOKUP(K25,'1'!$J:$L,3,FALSE)</f>
        <v>1.3100000000000001E-2</v>
      </c>
      <c r="P25" s="67">
        <f t="shared" si="2"/>
        <v>23</v>
      </c>
    </row>
    <row r="26" spans="1:17">
      <c r="A26" s="67" t="s">
        <v>301</v>
      </c>
      <c r="B26" s="67" t="s">
        <v>302</v>
      </c>
      <c r="C26" s="67" t="s">
        <v>863</v>
      </c>
      <c r="D26" s="32" t="s">
        <v>303</v>
      </c>
      <c r="E26" s="112" t="s">
        <v>857</v>
      </c>
      <c r="F26" s="16">
        <f>F1</f>
        <v>43980</v>
      </c>
      <c r="G26" s="67" t="s">
        <v>845</v>
      </c>
      <c r="H26" s="66" t="s">
        <v>923</v>
      </c>
      <c r="K26" s="67">
        <v>128026</v>
      </c>
      <c r="L26" s="67" t="s">
        <v>930</v>
      </c>
      <c r="M26" s="67">
        <v>23</v>
      </c>
      <c r="N26" s="24">
        <f>VLOOKUP(K26,'1'!$J:$K,2,FALSE)</f>
        <v>101.19</v>
      </c>
      <c r="O26" s="17">
        <f>VLOOKUP(K26,'1'!$J:$L,3,FALSE)</f>
        <v>1.9E-3</v>
      </c>
      <c r="P26" s="67">
        <f t="shared" si="2"/>
        <v>23</v>
      </c>
    </row>
    <row r="27" spans="1:17">
      <c r="A27" s="67">
        <v>128056</v>
      </c>
      <c r="B27" s="67" t="s">
        <v>925</v>
      </c>
      <c r="C27" s="67">
        <v>18</v>
      </c>
      <c r="D27" s="32">
        <f>VLOOKUP(A27,'1'!$J:$K,2,FALSE)</f>
        <v>104.23</v>
      </c>
      <c r="E27" s="17">
        <f>VLOOKUP(A27,'1'!$J:$L,3,FALSE)</f>
        <v>8.0000000000000004E-4</v>
      </c>
      <c r="F27" s="24">
        <v>104.23</v>
      </c>
      <c r="H27" s="17">
        <f t="shared" ref="H27:H49" si="5">(D27+G27)/F27-1</f>
        <v>0</v>
      </c>
      <c r="I27" s="67">
        <f t="shared" ref="I27:I59" si="6">IFERROR(VLOOKUP(A27,K:M,3,FALSE),"")</f>
        <v>18</v>
      </c>
      <c r="K27" s="67">
        <v>113525</v>
      </c>
      <c r="L27" s="67" t="s">
        <v>935</v>
      </c>
      <c r="M27" s="67">
        <v>23</v>
      </c>
      <c r="N27" s="24">
        <f>VLOOKUP(K27,'1'!$J:$K,2,FALSE)</f>
        <v>104.55</v>
      </c>
      <c r="O27" s="17">
        <f>VLOOKUP(K27,'1'!$J:$L,3,FALSE)</f>
        <v>6.8999999999999999E-3</v>
      </c>
      <c r="P27" s="67">
        <f t="shared" si="2"/>
        <v>23</v>
      </c>
    </row>
    <row r="28" spans="1:17">
      <c r="A28" s="67">
        <v>128018</v>
      </c>
      <c r="B28" s="67" t="s">
        <v>1037</v>
      </c>
      <c r="C28" s="67">
        <v>22</v>
      </c>
      <c r="D28" s="32">
        <f>VLOOKUP(A28,'1'!$J:$K,2,FALSE)</f>
        <v>100.2</v>
      </c>
      <c r="E28" s="17">
        <f>VLOOKUP(A28,'1'!$J:$L,3,FALSE)</f>
        <v>3.0999999999999999E-3</v>
      </c>
      <c r="F28" s="24">
        <v>100.2</v>
      </c>
      <c r="H28" s="17">
        <f t="shared" si="5"/>
        <v>0</v>
      </c>
      <c r="I28" s="67">
        <f t="shared" si="6"/>
        <v>22</v>
      </c>
      <c r="K28" s="67">
        <v>113027</v>
      </c>
      <c r="L28" s="67" t="s">
        <v>1209</v>
      </c>
      <c r="M28" s="67">
        <v>27</v>
      </c>
      <c r="N28" s="24">
        <f>VLOOKUP(K28,'1'!$J:$K,2,FALSE)</f>
        <v>102.1</v>
      </c>
      <c r="O28" s="17">
        <f>VLOOKUP(K28,'1'!$J:$L,3,FALSE)</f>
        <v>1.6999999999999999E-3</v>
      </c>
      <c r="P28" s="67">
        <f t="shared" si="2"/>
        <v>27</v>
      </c>
    </row>
    <row r="29" spans="1:17">
      <c r="A29" s="67">
        <v>128107</v>
      </c>
      <c r="B29" s="67" t="s">
        <v>1217</v>
      </c>
      <c r="C29" s="67">
        <v>23</v>
      </c>
      <c r="D29" s="32">
        <f>VLOOKUP(A29,'1'!$J:$K,2,FALSE)</f>
        <v>108.6</v>
      </c>
      <c r="E29" s="17">
        <f>VLOOKUP(A29,'1'!$J:$L,3,FALSE)</f>
        <v>6.4000000000000003E-3</v>
      </c>
      <c r="F29" s="24">
        <v>108.6</v>
      </c>
      <c r="H29" s="17">
        <f t="shared" si="5"/>
        <v>0</v>
      </c>
      <c r="I29" s="67">
        <f t="shared" si="6"/>
        <v>23</v>
      </c>
      <c r="K29" s="67">
        <v>110064</v>
      </c>
      <c r="L29" s="67" t="s">
        <v>1014</v>
      </c>
      <c r="M29" s="67">
        <v>28</v>
      </c>
      <c r="N29" s="24">
        <f>VLOOKUP(K29,'1'!$J:$K,2,FALSE)</f>
        <v>106.12</v>
      </c>
      <c r="O29" s="17">
        <f>VLOOKUP(K29,'1'!$J:$L,3,FALSE)</f>
        <v>2.0999999999999999E-3</v>
      </c>
      <c r="P29" s="67">
        <f t="shared" si="2"/>
        <v>28</v>
      </c>
    </row>
    <row r="30" spans="1:17">
      <c r="A30" s="67">
        <v>128057</v>
      </c>
      <c r="B30" s="67" t="s">
        <v>1189</v>
      </c>
      <c r="C30" s="67">
        <v>23</v>
      </c>
      <c r="D30" s="32">
        <f>VLOOKUP(A30,'1'!$J:$K,2,FALSE)</f>
        <v>109.8</v>
      </c>
      <c r="E30" s="17">
        <f>VLOOKUP(A30,'1'!$J:$L,3,FALSE)</f>
        <v>1.3100000000000001E-2</v>
      </c>
      <c r="F30" s="24">
        <v>109.8</v>
      </c>
      <c r="H30" s="17">
        <f t="shared" si="5"/>
        <v>0</v>
      </c>
      <c r="I30" s="67">
        <f t="shared" si="6"/>
        <v>23</v>
      </c>
      <c r="K30" s="67">
        <v>110052</v>
      </c>
      <c r="L30" s="67" t="s">
        <v>1141</v>
      </c>
      <c r="M30" s="67">
        <v>29</v>
      </c>
      <c r="N30" s="24">
        <f>VLOOKUP(K30,'1'!$J:$K,2,FALSE)</f>
        <v>112.3</v>
      </c>
      <c r="O30" s="17">
        <f>VLOOKUP(K30,'1'!$J:$L,3,FALSE)</f>
        <v>3.0700000000000002E-2</v>
      </c>
      <c r="P30" s="67">
        <f t="shared" si="2"/>
        <v>29</v>
      </c>
    </row>
    <row r="31" spans="1:17">
      <c r="A31" s="67">
        <v>128026</v>
      </c>
      <c r="B31" s="67" t="s">
        <v>930</v>
      </c>
      <c r="C31" s="67">
        <v>23</v>
      </c>
      <c r="D31" s="32">
        <f>VLOOKUP(A31,'1'!$J:$K,2,FALSE)</f>
        <v>101.19</v>
      </c>
      <c r="E31" s="17">
        <f>VLOOKUP(A31,'1'!$J:$L,3,FALSE)</f>
        <v>1.9E-3</v>
      </c>
      <c r="F31" s="24">
        <v>101.19</v>
      </c>
      <c r="H31" s="17">
        <f t="shared" si="5"/>
        <v>0</v>
      </c>
      <c r="I31" s="67">
        <f t="shared" si="6"/>
        <v>23</v>
      </c>
      <c r="K31" s="67">
        <v>113545</v>
      </c>
      <c r="L31" s="67" t="s">
        <v>1029</v>
      </c>
      <c r="M31" s="67">
        <v>29</v>
      </c>
      <c r="N31" s="24">
        <f>VLOOKUP(K31,'1'!$J:$K,2,FALSE)</f>
        <v>107.52</v>
      </c>
      <c r="O31" s="17">
        <f>VLOOKUP(K31,'1'!$J:$L,3,FALSE)</f>
        <v>4.7999999999999996E-3</v>
      </c>
      <c r="P31" s="67">
        <f t="shared" si="2"/>
        <v>29</v>
      </c>
    </row>
    <row r="32" spans="1:17">
      <c r="A32" s="67">
        <v>113525</v>
      </c>
      <c r="B32" s="67" t="s">
        <v>935</v>
      </c>
      <c r="C32" s="67">
        <v>23</v>
      </c>
      <c r="D32" s="32">
        <f>VLOOKUP(A32,'1'!$J:$K,2,FALSE)</f>
        <v>104.55</v>
      </c>
      <c r="E32" s="17">
        <f>VLOOKUP(A32,'1'!$J:$L,3,FALSE)</f>
        <v>6.8999999999999999E-3</v>
      </c>
      <c r="F32" s="24">
        <v>104.55</v>
      </c>
      <c r="H32" s="17">
        <f t="shared" si="5"/>
        <v>0</v>
      </c>
      <c r="I32" s="67">
        <f t="shared" si="6"/>
        <v>23</v>
      </c>
      <c r="K32" s="67">
        <v>128103</v>
      </c>
      <c r="L32" s="67" t="s">
        <v>1190</v>
      </c>
      <c r="M32" s="67">
        <v>31</v>
      </c>
      <c r="N32" s="24">
        <f>VLOOKUP(K32,'1'!$J:$K,2,FALSE)</f>
        <v>112.25</v>
      </c>
      <c r="O32" s="17">
        <f>VLOOKUP(K32,'1'!$J:$L,3,FALSE)</f>
        <v>1.77E-2</v>
      </c>
      <c r="P32" s="67">
        <f t="shared" si="2"/>
        <v>31</v>
      </c>
    </row>
    <row r="33" spans="1:16">
      <c r="A33" s="67">
        <v>113027</v>
      </c>
      <c r="B33" s="67" t="s">
        <v>1209</v>
      </c>
      <c r="C33" s="67">
        <v>27</v>
      </c>
      <c r="D33" s="32">
        <f>VLOOKUP(A33,'1'!$J:$K,2,FALSE)</f>
        <v>102.1</v>
      </c>
      <c r="E33" s="17">
        <f>VLOOKUP(A33,'1'!$J:$L,3,FALSE)</f>
        <v>1.6999999999999999E-3</v>
      </c>
      <c r="F33" s="24">
        <v>102.1</v>
      </c>
      <c r="H33" s="17">
        <f t="shared" si="5"/>
        <v>0</v>
      </c>
      <c r="I33" s="67">
        <f t="shared" si="6"/>
        <v>27</v>
      </c>
      <c r="K33" s="67">
        <v>113537</v>
      </c>
      <c r="L33" s="67" t="s">
        <v>1030</v>
      </c>
      <c r="M33" s="67">
        <v>31</v>
      </c>
      <c r="N33" s="24">
        <f>VLOOKUP(K33,'1'!$J:$K,2,FALSE)</f>
        <v>112.55</v>
      </c>
      <c r="O33" s="17">
        <f>VLOOKUP(K33,'1'!$J:$L,3,FALSE)</f>
        <v>9.1999999999999998E-3</v>
      </c>
      <c r="P33" s="67">
        <f t="shared" si="2"/>
        <v>31</v>
      </c>
    </row>
    <row r="34" spans="1:16">
      <c r="A34" s="67">
        <v>110064</v>
      </c>
      <c r="B34" s="67" t="s">
        <v>1014</v>
      </c>
      <c r="C34" s="67">
        <v>28</v>
      </c>
      <c r="D34" s="32">
        <f>VLOOKUP(A34,'1'!$J:$K,2,FALSE)</f>
        <v>106.12</v>
      </c>
      <c r="E34" s="17">
        <f>VLOOKUP(A34,'1'!$J:$L,3,FALSE)</f>
        <v>2.0999999999999999E-3</v>
      </c>
      <c r="F34" s="24">
        <v>106.12</v>
      </c>
      <c r="H34" s="17">
        <f t="shared" si="5"/>
        <v>0</v>
      </c>
      <c r="I34" s="67">
        <f t="shared" si="6"/>
        <v>28</v>
      </c>
      <c r="K34" s="67">
        <v>123023</v>
      </c>
      <c r="L34" s="67" t="s">
        <v>929</v>
      </c>
      <c r="M34" s="67">
        <v>31</v>
      </c>
      <c r="N34" s="24">
        <f>VLOOKUP(K34,'1'!$J:$K,2,FALSE)</f>
        <v>99.8</v>
      </c>
      <c r="O34" s="17">
        <f>VLOOKUP(K34,'1'!$J:$L,3,FALSE)</f>
        <v>4.5999999999999999E-3</v>
      </c>
      <c r="P34" s="67">
        <f t="shared" ref="P34:P65" si="7">IFERROR(VLOOKUP(K34,A:J,3,FALSE),"")</f>
        <v>31</v>
      </c>
    </row>
    <row r="35" spans="1:16">
      <c r="A35" s="67">
        <v>110052</v>
      </c>
      <c r="B35" s="67" t="s">
        <v>1141</v>
      </c>
      <c r="C35" s="67">
        <v>29</v>
      </c>
      <c r="D35" s="32">
        <f>VLOOKUP(A35,'1'!$J:$K,2,FALSE)</f>
        <v>112.3</v>
      </c>
      <c r="E35" s="17">
        <f>VLOOKUP(A35,'1'!$J:$L,3,FALSE)</f>
        <v>3.0700000000000002E-2</v>
      </c>
      <c r="F35" s="24">
        <v>112.3</v>
      </c>
      <c r="H35" s="17">
        <f t="shared" si="5"/>
        <v>0</v>
      </c>
      <c r="I35" s="67">
        <f t="shared" si="6"/>
        <v>29</v>
      </c>
      <c r="K35" s="67">
        <v>128100</v>
      </c>
      <c r="L35" s="67" t="s">
        <v>1084</v>
      </c>
      <c r="M35" s="67">
        <v>31</v>
      </c>
      <c r="N35" s="24">
        <f>VLOOKUP(K35,'1'!$J:$K,2,FALSE)</f>
        <v>93.786000000000001</v>
      </c>
      <c r="O35" s="17">
        <f>VLOOKUP(K35,'1'!$J:$L,3,FALSE)</f>
        <v>9.4000000000000004E-3</v>
      </c>
      <c r="P35" s="67">
        <f t="shared" si="7"/>
        <v>31</v>
      </c>
    </row>
    <row r="36" spans="1:16">
      <c r="A36" s="67">
        <v>113545</v>
      </c>
      <c r="B36" s="67" t="s">
        <v>1029</v>
      </c>
      <c r="C36" s="67">
        <v>29</v>
      </c>
      <c r="D36" s="32">
        <f>VLOOKUP(A36,'1'!$J:$K,2,FALSE)</f>
        <v>107.52</v>
      </c>
      <c r="E36" s="17">
        <f>VLOOKUP(A36,'1'!$J:$L,3,FALSE)</f>
        <v>4.7999999999999996E-3</v>
      </c>
      <c r="F36" s="24">
        <v>107.52</v>
      </c>
      <c r="H36" s="17">
        <f t="shared" si="5"/>
        <v>0</v>
      </c>
      <c r="I36" s="67">
        <f t="shared" si="6"/>
        <v>29</v>
      </c>
      <c r="J36" s="103">
        <f>AVERAGE(H27:H36)</f>
        <v>0</v>
      </c>
      <c r="K36" s="67">
        <v>110063</v>
      </c>
      <c r="L36" s="67" t="s">
        <v>1135</v>
      </c>
      <c r="M36" s="67">
        <v>35</v>
      </c>
      <c r="N36" s="24">
        <f>VLOOKUP(K36,'1'!$J:$K,2,FALSE)</f>
        <v>107.9</v>
      </c>
      <c r="O36" s="17">
        <f>VLOOKUP(K36,'1'!$J:$L,3,FALSE)</f>
        <v>6.0000000000000001E-3</v>
      </c>
      <c r="P36" s="67">
        <f t="shared" si="7"/>
        <v>35</v>
      </c>
    </row>
    <row r="37" spans="1:16">
      <c r="A37" s="67">
        <v>128103</v>
      </c>
      <c r="B37" s="67" t="s">
        <v>1190</v>
      </c>
      <c r="C37" s="67">
        <v>31</v>
      </c>
      <c r="D37" s="32">
        <f>VLOOKUP(A37,'1'!$J:$K,2,FALSE)</f>
        <v>112.25</v>
      </c>
      <c r="E37" s="17">
        <f>VLOOKUP(A37,'1'!$J:$L,3,FALSE)</f>
        <v>1.77E-2</v>
      </c>
      <c r="F37" s="24">
        <v>112.25</v>
      </c>
      <c r="H37" s="17">
        <f t="shared" si="5"/>
        <v>0</v>
      </c>
      <c r="I37" s="67">
        <f t="shared" si="6"/>
        <v>31</v>
      </c>
      <c r="K37" s="67">
        <v>110047</v>
      </c>
      <c r="L37" s="67" t="s">
        <v>1035</v>
      </c>
      <c r="M37" s="67">
        <v>35</v>
      </c>
      <c r="N37" s="24">
        <f>VLOOKUP(K37,'1'!$J:$K,2,FALSE)</f>
        <v>109.4</v>
      </c>
      <c r="O37" s="17">
        <f>VLOOKUP(K37,'1'!$J:$L,3,FALSE)</f>
        <v>3.7000000000000002E-3</v>
      </c>
      <c r="P37" s="67">
        <f t="shared" si="7"/>
        <v>35</v>
      </c>
    </row>
    <row r="38" spans="1:16">
      <c r="A38" s="67">
        <v>113537</v>
      </c>
      <c r="B38" s="67" t="s">
        <v>1030</v>
      </c>
      <c r="C38" s="67">
        <v>31</v>
      </c>
      <c r="D38" s="32">
        <f>VLOOKUP(A38,'1'!$J:$K,2,FALSE)</f>
        <v>112.55</v>
      </c>
      <c r="E38" s="17">
        <f>VLOOKUP(A38,'1'!$J:$L,3,FALSE)</f>
        <v>9.1999999999999998E-3</v>
      </c>
      <c r="F38" s="24">
        <v>112.55</v>
      </c>
      <c r="H38" s="17">
        <f t="shared" si="5"/>
        <v>0</v>
      </c>
      <c r="I38" s="67">
        <f t="shared" si="6"/>
        <v>31</v>
      </c>
      <c r="K38" s="67">
        <v>128076</v>
      </c>
      <c r="L38" s="67" t="s">
        <v>1117</v>
      </c>
      <c r="M38" s="67">
        <v>37</v>
      </c>
      <c r="N38" s="24">
        <f>VLOOKUP(K38,'1'!$J:$K,2,FALSE)</f>
        <v>103.97</v>
      </c>
      <c r="O38" s="17">
        <f>VLOOKUP(K38,'1'!$J:$L,3,FALSE)</f>
        <v>3.7000000000000002E-3</v>
      </c>
      <c r="P38" s="67">
        <f t="shared" si="7"/>
        <v>37</v>
      </c>
    </row>
    <row r="39" spans="1:16">
      <c r="A39" s="67">
        <v>123023</v>
      </c>
      <c r="B39" s="67" t="s">
        <v>929</v>
      </c>
      <c r="C39" s="67">
        <v>31</v>
      </c>
      <c r="D39" s="32">
        <f>VLOOKUP(A39,'1'!$J:$K,2,FALSE)</f>
        <v>99.8</v>
      </c>
      <c r="E39" s="17">
        <f>VLOOKUP(A39,'1'!$J:$L,3,FALSE)</f>
        <v>4.5999999999999999E-3</v>
      </c>
      <c r="F39" s="24">
        <v>99.8</v>
      </c>
      <c r="H39" s="17">
        <f t="shared" si="5"/>
        <v>0</v>
      </c>
      <c r="I39" s="67">
        <f t="shared" si="6"/>
        <v>31</v>
      </c>
      <c r="K39" s="67">
        <v>128071</v>
      </c>
      <c r="L39" s="67" t="s">
        <v>966</v>
      </c>
      <c r="M39" s="67">
        <v>38</v>
      </c>
      <c r="N39" s="24">
        <f>VLOOKUP(K39,'1'!$J:$K,2,FALSE)</f>
        <v>109.32</v>
      </c>
      <c r="O39" s="17">
        <f>VLOOKUP(K39,'1'!$J:$L,3,FALSE)</f>
        <v>8.5000000000000006E-3</v>
      </c>
      <c r="P39" s="67">
        <f t="shared" si="7"/>
        <v>38</v>
      </c>
    </row>
    <row r="40" spans="1:16">
      <c r="A40" s="67">
        <v>128100</v>
      </c>
      <c r="B40" s="67" t="s">
        <v>1084</v>
      </c>
      <c r="C40" s="67">
        <v>31</v>
      </c>
      <c r="D40" s="32">
        <f>VLOOKUP(A40,'1'!$J:$K,2,FALSE)</f>
        <v>93.786000000000001</v>
      </c>
      <c r="E40" s="17">
        <f>VLOOKUP(A40,'1'!$J:$L,3,FALSE)</f>
        <v>9.4000000000000004E-3</v>
      </c>
      <c r="F40" s="24">
        <v>93.786000000000001</v>
      </c>
      <c r="H40" s="17">
        <f t="shared" si="5"/>
        <v>0</v>
      </c>
      <c r="I40" s="67">
        <f t="shared" si="6"/>
        <v>31</v>
      </c>
      <c r="K40" s="67">
        <v>113549</v>
      </c>
      <c r="L40" s="67" t="s">
        <v>1138</v>
      </c>
      <c r="M40" s="67">
        <v>38</v>
      </c>
      <c r="N40" s="24">
        <f>VLOOKUP(K40,'1'!$J:$K,2,FALSE)</f>
        <v>108.77</v>
      </c>
      <c r="O40" s="17">
        <f>VLOOKUP(K40,'1'!$J:$L,3,FALSE)</f>
        <v>1.4200000000000001E-2</v>
      </c>
      <c r="P40" s="67">
        <f t="shared" si="7"/>
        <v>38</v>
      </c>
    </row>
    <row r="41" spans="1:16">
      <c r="A41" s="67">
        <v>110063</v>
      </c>
      <c r="B41" s="67" t="s">
        <v>1135</v>
      </c>
      <c r="C41" s="67">
        <v>35</v>
      </c>
      <c r="D41" s="32">
        <f>VLOOKUP(A41,'1'!$J:$K,2,FALSE)</f>
        <v>107.9</v>
      </c>
      <c r="E41" s="17">
        <f>VLOOKUP(A41,'1'!$J:$L,3,FALSE)</f>
        <v>6.0000000000000001E-3</v>
      </c>
      <c r="F41" s="24">
        <v>107.9</v>
      </c>
      <c r="H41" s="17">
        <f t="shared" si="5"/>
        <v>0</v>
      </c>
      <c r="I41" s="67">
        <f t="shared" si="6"/>
        <v>35</v>
      </c>
      <c r="K41" s="67">
        <v>113033</v>
      </c>
      <c r="L41" s="67" t="s">
        <v>1080</v>
      </c>
      <c r="M41" s="67">
        <v>38</v>
      </c>
      <c r="N41" s="24">
        <f>VLOOKUP(K41,'1'!$J:$K,2,FALSE)</f>
        <v>103.13</v>
      </c>
      <c r="O41" s="17">
        <f>VLOOKUP(K41,'1'!$J:$L,3,FALSE)</f>
        <v>1.11E-2</v>
      </c>
      <c r="P41" s="67">
        <f t="shared" si="7"/>
        <v>38</v>
      </c>
    </row>
    <row r="42" spans="1:16">
      <c r="A42" s="67">
        <v>110047</v>
      </c>
      <c r="B42" s="67" t="s">
        <v>1035</v>
      </c>
      <c r="C42" s="67">
        <v>35</v>
      </c>
      <c r="D42" s="32">
        <f>VLOOKUP(A42,'1'!$J:$K,2,FALSE)</f>
        <v>109.4</v>
      </c>
      <c r="E42" s="17">
        <f>VLOOKUP(A42,'1'!$J:$L,3,FALSE)</f>
        <v>3.7000000000000002E-3</v>
      </c>
      <c r="F42" s="24">
        <v>109.4</v>
      </c>
      <c r="H42" s="17">
        <f t="shared" si="5"/>
        <v>0</v>
      </c>
      <c r="I42" s="67">
        <f t="shared" si="6"/>
        <v>35</v>
      </c>
      <c r="K42" s="67">
        <v>128064</v>
      </c>
      <c r="L42" s="67" t="s">
        <v>927</v>
      </c>
      <c r="M42" s="67">
        <v>38</v>
      </c>
      <c r="N42" s="24">
        <f>VLOOKUP(K42,'1'!$J:$K,2,FALSE)</f>
        <v>104.348</v>
      </c>
      <c r="O42" s="17">
        <f>VLOOKUP(K42,'1'!$J:$L,3,FALSE)</f>
        <v>1.6999999999999999E-3</v>
      </c>
      <c r="P42" s="67">
        <f t="shared" si="7"/>
        <v>38</v>
      </c>
    </row>
    <row r="43" spans="1:16">
      <c r="A43" s="67">
        <v>128076</v>
      </c>
      <c r="B43" s="67" t="s">
        <v>1117</v>
      </c>
      <c r="C43" s="67">
        <v>37</v>
      </c>
      <c r="D43" s="32">
        <f>VLOOKUP(A43,'1'!$J:$K,2,FALSE)</f>
        <v>103.97</v>
      </c>
      <c r="E43" s="17">
        <f>VLOOKUP(A43,'1'!$J:$L,3,FALSE)</f>
        <v>3.7000000000000002E-3</v>
      </c>
      <c r="F43" s="24">
        <v>103.97</v>
      </c>
      <c r="H43" s="17">
        <f t="shared" si="5"/>
        <v>0</v>
      </c>
      <c r="I43" s="67">
        <f t="shared" si="6"/>
        <v>37</v>
      </c>
      <c r="K43" s="67">
        <v>128044</v>
      </c>
      <c r="L43" s="67" t="s">
        <v>1085</v>
      </c>
      <c r="M43" s="67">
        <v>42</v>
      </c>
      <c r="N43" s="24">
        <f>VLOOKUP(K43,'1'!$J:$K,2,FALSE)</f>
        <v>105.801</v>
      </c>
      <c r="O43" s="17">
        <f>VLOOKUP(K43,'1'!$J:$L,3,FALSE)</f>
        <v>1.4E-3</v>
      </c>
      <c r="P43" s="67">
        <f t="shared" si="7"/>
        <v>42</v>
      </c>
    </row>
    <row r="44" spans="1:16">
      <c r="A44" s="67">
        <v>128071</v>
      </c>
      <c r="B44" s="67" t="s">
        <v>966</v>
      </c>
      <c r="C44" s="67">
        <v>38</v>
      </c>
      <c r="D44" s="32">
        <f>VLOOKUP(A44,'1'!$J:$K,2,FALSE)</f>
        <v>109.32</v>
      </c>
      <c r="E44" s="17">
        <f>VLOOKUP(A44,'1'!$J:$L,3,FALSE)</f>
        <v>8.5000000000000006E-3</v>
      </c>
      <c r="F44" s="24">
        <v>109.32</v>
      </c>
      <c r="H44" s="17">
        <f t="shared" si="5"/>
        <v>0</v>
      </c>
      <c r="I44" s="67">
        <f t="shared" si="6"/>
        <v>38</v>
      </c>
      <c r="K44" s="67">
        <v>113516</v>
      </c>
      <c r="L44" s="67" t="s">
        <v>1064</v>
      </c>
      <c r="M44" s="67">
        <v>42</v>
      </c>
      <c r="N44" s="24">
        <f>VLOOKUP(K44,'1'!$J:$K,2,FALSE)</f>
        <v>104.38</v>
      </c>
      <c r="O44" s="17">
        <f>VLOOKUP(K44,'1'!$J:$L,3,FALSE)</f>
        <v>-2.0000000000000001E-4</v>
      </c>
      <c r="P44" s="67">
        <f t="shared" si="7"/>
        <v>42</v>
      </c>
    </row>
    <row r="45" spans="1:16">
      <c r="A45" s="67">
        <v>113549</v>
      </c>
      <c r="B45" s="67" t="s">
        <v>1138</v>
      </c>
      <c r="C45" s="67">
        <v>38</v>
      </c>
      <c r="D45" s="32">
        <f>VLOOKUP(A45,'1'!$J:$K,2,FALSE)</f>
        <v>108.77</v>
      </c>
      <c r="E45" s="17">
        <f>VLOOKUP(A45,'1'!$J:$L,3,FALSE)</f>
        <v>1.4200000000000001E-2</v>
      </c>
      <c r="F45" s="24">
        <v>108.77</v>
      </c>
      <c r="H45" s="17">
        <f t="shared" si="5"/>
        <v>0</v>
      </c>
      <c r="I45" s="67">
        <f t="shared" si="6"/>
        <v>38</v>
      </c>
      <c r="K45" s="67">
        <v>113016</v>
      </c>
      <c r="L45" s="67" t="s">
        <v>975</v>
      </c>
      <c r="M45" s="67">
        <v>42</v>
      </c>
      <c r="N45" s="24">
        <f>VLOOKUP(K45,'1'!$J:$K,2,FALSE)</f>
        <v>98.56</v>
      </c>
      <c r="O45" s="17">
        <f>VLOOKUP(K45,'1'!$J:$L,3,FALSE)</f>
        <v>1.0800000000000001E-2</v>
      </c>
      <c r="P45" s="67">
        <f t="shared" si="7"/>
        <v>42</v>
      </c>
    </row>
    <row r="46" spans="1:16">
      <c r="A46" s="67">
        <v>113033</v>
      </c>
      <c r="B46" s="67" t="s">
        <v>1080</v>
      </c>
      <c r="C46" s="67">
        <v>38</v>
      </c>
      <c r="D46" s="32">
        <f>VLOOKUP(A46,'1'!$J:$K,2,FALSE)</f>
        <v>103.13</v>
      </c>
      <c r="E46" s="17">
        <f>VLOOKUP(A46,'1'!$J:$L,3,FALSE)</f>
        <v>1.11E-2</v>
      </c>
      <c r="F46" s="24">
        <v>103.13</v>
      </c>
      <c r="H46" s="17">
        <f t="shared" si="5"/>
        <v>0</v>
      </c>
      <c r="I46" s="67">
        <f t="shared" si="6"/>
        <v>38</v>
      </c>
      <c r="J46" s="103">
        <f>AVERAGE(H37:H46)</f>
        <v>0</v>
      </c>
      <c r="K46" s="67">
        <v>128097</v>
      </c>
      <c r="L46" s="67" t="s">
        <v>1083</v>
      </c>
      <c r="M46" s="67">
        <v>45</v>
      </c>
      <c r="N46" s="24">
        <f>VLOOKUP(K46,'1'!$J:$K,2,FALSE)</f>
        <v>104.85</v>
      </c>
      <c r="O46" s="17">
        <f>VLOOKUP(K46,'1'!$J:$L,3,FALSE)</f>
        <v>3.8999999999999998E-3</v>
      </c>
      <c r="P46" s="67">
        <f t="shared" si="7"/>
        <v>45</v>
      </c>
    </row>
    <row r="47" spans="1:16">
      <c r="A47" s="67">
        <v>128064</v>
      </c>
      <c r="B47" s="67" t="s">
        <v>927</v>
      </c>
      <c r="C47" s="67">
        <v>38</v>
      </c>
      <c r="D47" s="32">
        <f>VLOOKUP(A47,'1'!$J:$K,2,FALSE)</f>
        <v>104.348</v>
      </c>
      <c r="E47" s="17">
        <f>VLOOKUP(A47,'1'!$J:$L,3,FALSE)</f>
        <v>1.6999999999999999E-3</v>
      </c>
      <c r="F47" s="24">
        <v>104.348</v>
      </c>
      <c r="H47" s="17">
        <f t="shared" si="5"/>
        <v>0</v>
      </c>
      <c r="I47" s="67">
        <f t="shared" si="6"/>
        <v>38</v>
      </c>
      <c r="K47" s="67">
        <v>113532</v>
      </c>
      <c r="L47" s="67" t="s">
        <v>934</v>
      </c>
      <c r="M47" s="67">
        <v>45</v>
      </c>
      <c r="N47" s="24">
        <f>VLOOKUP(K47,'1'!$J:$K,2,FALSE)</f>
        <v>103.73</v>
      </c>
      <c r="O47" s="17">
        <f>VLOOKUP(K47,'1'!$J:$L,3,FALSE)</f>
        <v>5.7000000000000002E-3</v>
      </c>
      <c r="P47" s="67">
        <f t="shared" si="7"/>
        <v>45</v>
      </c>
    </row>
    <row r="48" spans="1:16">
      <c r="A48" s="67">
        <v>128044</v>
      </c>
      <c r="B48" s="67" t="s">
        <v>1085</v>
      </c>
      <c r="C48" s="67">
        <v>42</v>
      </c>
      <c r="D48" s="32">
        <f>VLOOKUP(A48,'1'!$J:$K,2,FALSE)</f>
        <v>105.801</v>
      </c>
      <c r="E48" s="17">
        <f>VLOOKUP(A48,'1'!$J:$L,3,FALSE)</f>
        <v>1.4E-3</v>
      </c>
      <c r="F48" s="24">
        <v>105.801</v>
      </c>
      <c r="H48" s="17">
        <f t="shared" si="5"/>
        <v>0</v>
      </c>
      <c r="I48" s="67">
        <f t="shared" si="6"/>
        <v>42</v>
      </c>
      <c r="K48" s="67">
        <v>128033</v>
      </c>
      <c r="L48" s="67" t="s">
        <v>974</v>
      </c>
      <c r="M48" s="67">
        <v>45</v>
      </c>
      <c r="N48" s="24">
        <f>VLOOKUP(K48,'1'!$J:$K,2,FALSE)</f>
        <v>100.56</v>
      </c>
      <c r="O48" s="17">
        <f>VLOOKUP(K48,'1'!$J:$L,3,FALSE)</f>
        <v>1.6000000000000001E-3</v>
      </c>
      <c r="P48" s="67">
        <f t="shared" si="7"/>
        <v>45</v>
      </c>
    </row>
    <row r="49" spans="1:16">
      <c r="A49" s="67">
        <v>113516</v>
      </c>
      <c r="B49" s="67" t="s">
        <v>1064</v>
      </c>
      <c r="C49" s="67">
        <v>42</v>
      </c>
      <c r="D49" s="32">
        <f>VLOOKUP(A49,'1'!$J:$K,2,FALSE)</f>
        <v>104.38</v>
      </c>
      <c r="E49" s="17">
        <f>VLOOKUP(A49,'1'!$J:$L,3,FALSE)</f>
        <v>-2.0000000000000001E-4</v>
      </c>
      <c r="F49" s="24">
        <v>104.38</v>
      </c>
      <c r="H49" s="17">
        <f t="shared" si="5"/>
        <v>0</v>
      </c>
      <c r="I49" s="67">
        <f t="shared" si="6"/>
        <v>42</v>
      </c>
      <c r="K49" s="67">
        <v>128023</v>
      </c>
      <c r="L49" s="67" t="s">
        <v>932</v>
      </c>
      <c r="M49" s="67">
        <v>45</v>
      </c>
      <c r="N49" s="24">
        <f>VLOOKUP(K49,'1'!$J:$K,2,FALSE)</f>
        <v>99</v>
      </c>
      <c r="O49" s="17">
        <f>VLOOKUP(K49,'1'!$J:$L,3,FALSE)</f>
        <v>1.6400000000000001E-2</v>
      </c>
      <c r="P49" s="67">
        <f t="shared" si="7"/>
        <v>45</v>
      </c>
    </row>
    <row r="50" spans="1:16">
      <c r="A50" s="67">
        <v>113016</v>
      </c>
      <c r="B50" s="67" t="s">
        <v>975</v>
      </c>
      <c r="C50" s="67">
        <v>42</v>
      </c>
      <c r="D50" s="32">
        <f>VLOOKUP(A50,'1'!$J:$K,2,FALSE)</f>
        <v>98.56</v>
      </c>
      <c r="E50" s="17">
        <f>VLOOKUP(A50,'1'!$J:$L,3,FALSE)</f>
        <v>1.0800000000000001E-2</v>
      </c>
      <c r="F50" s="24">
        <v>98.56</v>
      </c>
      <c r="H50" s="17">
        <f>(D50+G50)/F50-1</f>
        <v>0</v>
      </c>
      <c r="I50" s="67">
        <f t="shared" si="6"/>
        <v>42</v>
      </c>
      <c r="K50" s="67">
        <v>127003</v>
      </c>
      <c r="L50" s="67" t="s">
        <v>1527</v>
      </c>
      <c r="M50" s="67">
        <v>49</v>
      </c>
      <c r="N50" s="24">
        <f>VLOOKUP(K50,'1'!$J:$K,2,FALSE)</f>
        <v>110.60299999999999</v>
      </c>
      <c r="O50" s="17">
        <f>VLOOKUP(K50,'1'!$J:$L,3,FALSE)</f>
        <v>-4.4999999999999997E-3</v>
      </c>
      <c r="P50" s="67">
        <f t="shared" si="7"/>
        <v>49</v>
      </c>
    </row>
    <row r="51" spans="1:16">
      <c r="A51" s="67">
        <v>128097</v>
      </c>
      <c r="B51" s="67" t="s">
        <v>1083</v>
      </c>
      <c r="C51" s="67">
        <v>45</v>
      </c>
      <c r="D51" s="32">
        <f>VLOOKUP(A51,'1'!$J:$K,2,FALSE)</f>
        <v>104.85</v>
      </c>
      <c r="E51" s="17">
        <f>VLOOKUP(A51,'1'!$J:$L,3,FALSE)</f>
        <v>3.8999999999999998E-3</v>
      </c>
      <c r="F51" s="24">
        <v>104.85</v>
      </c>
      <c r="H51" s="17">
        <f t="shared" ref="H51:H59" si="8">(D51+G51)/F51-1</f>
        <v>0</v>
      </c>
      <c r="I51" s="67">
        <f t="shared" si="6"/>
        <v>45</v>
      </c>
      <c r="K51" s="67">
        <v>128013</v>
      </c>
      <c r="L51" s="67" t="s">
        <v>933</v>
      </c>
      <c r="M51" s="67">
        <v>50</v>
      </c>
      <c r="N51" s="24">
        <f>VLOOKUP(K51,'1'!$J:$K,2,FALSE)</f>
        <v>101.571</v>
      </c>
      <c r="O51" s="17">
        <f>VLOOKUP(K51,'1'!$J:$L,3,FALSE)</f>
        <v>1.9E-3</v>
      </c>
      <c r="P51" s="67">
        <f t="shared" si="7"/>
        <v>50</v>
      </c>
    </row>
    <row r="52" spans="1:16">
      <c r="A52" s="67">
        <v>113532</v>
      </c>
      <c r="B52" s="67" t="s">
        <v>934</v>
      </c>
      <c r="C52" s="67">
        <v>45</v>
      </c>
      <c r="D52" s="32">
        <f>VLOOKUP(A52,'1'!$J:$K,2,FALSE)</f>
        <v>103.73</v>
      </c>
      <c r="E52" s="17">
        <f>VLOOKUP(A52,'1'!$J:$L,3,FALSE)</f>
        <v>5.7000000000000002E-3</v>
      </c>
      <c r="F52" s="24">
        <v>103.73</v>
      </c>
      <c r="H52" s="17">
        <f t="shared" si="8"/>
        <v>0</v>
      </c>
      <c r="I52" s="67">
        <f t="shared" si="6"/>
        <v>45</v>
      </c>
      <c r="K52" s="67">
        <v>113535</v>
      </c>
      <c r="L52" s="67" t="s">
        <v>931</v>
      </c>
      <c r="M52" s="67">
        <v>51</v>
      </c>
      <c r="N52" s="24">
        <f>VLOOKUP(K52,'1'!$J:$K,2,FALSE)</f>
        <v>101.43</v>
      </c>
      <c r="O52" s="17">
        <f>VLOOKUP(K52,'1'!$J:$L,3,FALSE)</f>
        <v>9.1999999999999998E-3</v>
      </c>
      <c r="P52" s="67">
        <f t="shared" si="7"/>
        <v>51</v>
      </c>
    </row>
    <row r="53" spans="1:16">
      <c r="A53" s="67">
        <v>128033</v>
      </c>
      <c r="B53" s="67" t="s">
        <v>974</v>
      </c>
      <c r="C53" s="67">
        <v>45</v>
      </c>
      <c r="D53" s="32">
        <f>VLOOKUP(A53,'1'!$J:$K,2,FALSE)</f>
        <v>100.56</v>
      </c>
      <c r="E53" s="17">
        <f>VLOOKUP(A53,'1'!$J:$L,3,FALSE)</f>
        <v>1.6000000000000001E-3</v>
      </c>
      <c r="F53" s="24">
        <v>100.56</v>
      </c>
      <c r="H53" s="17">
        <f t="shared" si="8"/>
        <v>0</v>
      </c>
      <c r="I53" s="67">
        <f t="shared" si="6"/>
        <v>45</v>
      </c>
      <c r="K53" s="67">
        <v>128037</v>
      </c>
      <c r="L53" s="67" t="s">
        <v>937</v>
      </c>
      <c r="M53" s="67">
        <v>51</v>
      </c>
      <c r="N53" s="24">
        <f>VLOOKUP(K53,'1'!$J:$K,2,FALSE)</f>
        <v>100.199</v>
      </c>
      <c r="O53" s="17">
        <f>VLOOKUP(K53,'1'!$J:$L,3,FALSE)</f>
        <v>7.6E-3</v>
      </c>
      <c r="P53" s="67">
        <f t="shared" si="7"/>
        <v>51</v>
      </c>
    </row>
    <row r="54" spans="1:16">
      <c r="A54" s="67">
        <v>128023</v>
      </c>
      <c r="B54" s="67" t="s">
        <v>932</v>
      </c>
      <c r="C54" s="67">
        <v>45</v>
      </c>
      <c r="D54" s="32">
        <f>VLOOKUP(A54,'1'!$J:$K,2,FALSE)</f>
        <v>99</v>
      </c>
      <c r="E54" s="17">
        <f>VLOOKUP(A54,'1'!$J:$L,3,FALSE)</f>
        <v>1.6400000000000001E-2</v>
      </c>
      <c r="F54" s="24">
        <v>99</v>
      </c>
      <c r="H54" s="17">
        <f t="shared" si="8"/>
        <v>0</v>
      </c>
      <c r="I54" s="67">
        <f t="shared" si="6"/>
        <v>45</v>
      </c>
      <c r="K54" s="67">
        <v>128014</v>
      </c>
      <c r="L54" s="67" t="s">
        <v>936</v>
      </c>
      <c r="M54" s="67">
        <v>53</v>
      </c>
      <c r="N54" s="24">
        <f>VLOOKUP(K54,'1'!$J:$K,2,FALSE)</f>
        <v>103.098</v>
      </c>
      <c r="O54" s="17">
        <f>VLOOKUP(K54,'1'!$J:$L,3,FALSE)</f>
        <v>1E-3</v>
      </c>
      <c r="P54" s="67">
        <f t="shared" si="7"/>
        <v>53</v>
      </c>
    </row>
    <row r="55" spans="1:16">
      <c r="A55" s="67">
        <v>127003</v>
      </c>
      <c r="B55" s="67" t="s">
        <v>1527</v>
      </c>
      <c r="C55" s="67">
        <v>49</v>
      </c>
      <c r="D55" s="32">
        <f>VLOOKUP(A55,'1'!$J:$K,2,FALSE)</f>
        <v>110.60299999999999</v>
      </c>
      <c r="E55" s="17">
        <f>VLOOKUP(A55,'1'!$J:$L,3,FALSE)</f>
        <v>-4.4999999999999997E-3</v>
      </c>
      <c r="F55" s="24">
        <v>110.60299999999999</v>
      </c>
      <c r="H55" s="17">
        <f t="shared" si="8"/>
        <v>0</v>
      </c>
      <c r="I55" s="67">
        <f t="shared" si="6"/>
        <v>49</v>
      </c>
      <c r="K55" s="67">
        <v>128032</v>
      </c>
      <c r="L55" s="67" t="s">
        <v>940</v>
      </c>
      <c r="M55" s="67">
        <v>53</v>
      </c>
      <c r="N55" s="24">
        <f>VLOOKUP(K55,'1'!$J:$K,2,FALSE)</f>
        <v>99.885000000000005</v>
      </c>
      <c r="O55" s="17">
        <f>VLOOKUP(K55,'1'!$J:$L,3,FALSE)</f>
        <v>7.0000000000000001E-3</v>
      </c>
      <c r="P55" s="67">
        <f t="shared" si="7"/>
        <v>53</v>
      </c>
    </row>
    <row r="56" spans="1:16">
      <c r="A56" s="67">
        <v>128013</v>
      </c>
      <c r="B56" s="67" t="s">
        <v>933</v>
      </c>
      <c r="C56" s="67">
        <v>50</v>
      </c>
      <c r="D56" s="32">
        <f>VLOOKUP(A56,'1'!$J:$K,2,FALSE)</f>
        <v>101.571</v>
      </c>
      <c r="E56" s="17">
        <f>VLOOKUP(A56,'1'!$J:$L,3,FALSE)</f>
        <v>1.9E-3</v>
      </c>
      <c r="F56" s="24">
        <v>101.571</v>
      </c>
      <c r="H56" s="17">
        <f t="shared" si="8"/>
        <v>0</v>
      </c>
      <c r="I56" s="67">
        <f t="shared" si="6"/>
        <v>50</v>
      </c>
      <c r="J56" s="103">
        <f>AVERAGE(H47:H56)</f>
        <v>0</v>
      </c>
      <c r="K56" s="67">
        <v>113025</v>
      </c>
      <c r="L56" s="67" t="s">
        <v>1110</v>
      </c>
      <c r="M56" s="67">
        <v>55</v>
      </c>
      <c r="N56" s="24">
        <f>VLOOKUP(K56,'1'!$J:$K,2,FALSE)</f>
        <v>105.15</v>
      </c>
      <c r="O56" s="17">
        <f>VLOOKUP(K56,'1'!$J:$L,3,FALSE)</f>
        <v>6.1999999999999998E-3</v>
      </c>
      <c r="P56" s="67">
        <f t="shared" si="7"/>
        <v>55</v>
      </c>
    </row>
    <row r="57" spans="1:16">
      <c r="A57" s="67">
        <v>113535</v>
      </c>
      <c r="B57" s="67" t="s">
        <v>931</v>
      </c>
      <c r="C57" s="67">
        <v>51</v>
      </c>
      <c r="D57" s="32">
        <f>VLOOKUP(A57,'1'!$J:$K,2,FALSE)</f>
        <v>101.43</v>
      </c>
      <c r="E57" s="17">
        <f>VLOOKUP(A57,'1'!$J:$L,3,FALSE)</f>
        <v>9.1999999999999998E-3</v>
      </c>
      <c r="F57" s="24">
        <v>101.43</v>
      </c>
      <c r="H57" s="17">
        <f t="shared" si="8"/>
        <v>0</v>
      </c>
      <c r="I57" s="67">
        <f t="shared" si="6"/>
        <v>51</v>
      </c>
      <c r="K57" s="67">
        <v>123004</v>
      </c>
      <c r="L57" s="67" t="s">
        <v>1105</v>
      </c>
      <c r="M57" s="67">
        <v>55</v>
      </c>
      <c r="N57" s="24">
        <f>VLOOKUP(K57,'1'!$J:$K,2,FALSE)</f>
        <v>100.61</v>
      </c>
      <c r="O57" s="17">
        <f>VLOOKUP(K57,'1'!$J:$L,3,FALSE)</f>
        <v>4.5999999999999999E-3</v>
      </c>
      <c r="P57" s="67">
        <f t="shared" si="7"/>
        <v>55</v>
      </c>
    </row>
    <row r="58" spans="1:16">
      <c r="A58" s="67">
        <v>128037</v>
      </c>
      <c r="B58" s="67" t="s">
        <v>937</v>
      </c>
      <c r="C58" s="67">
        <v>51</v>
      </c>
      <c r="D58" s="32">
        <f>VLOOKUP(A58,'1'!$J:$K,2,FALSE)</f>
        <v>100.199</v>
      </c>
      <c r="E58" s="17">
        <f>VLOOKUP(A58,'1'!$J:$L,3,FALSE)</f>
        <v>7.6E-3</v>
      </c>
      <c r="F58" s="24">
        <v>100.199</v>
      </c>
      <c r="H58" s="17">
        <f t="shared" si="8"/>
        <v>0</v>
      </c>
      <c r="I58" s="67">
        <f t="shared" si="6"/>
        <v>51</v>
      </c>
      <c r="K58" s="67">
        <v>110059</v>
      </c>
      <c r="L58" s="67" t="s">
        <v>938</v>
      </c>
      <c r="M58" s="67">
        <v>57</v>
      </c>
      <c r="N58" s="24">
        <f>VLOOKUP(K58,'1'!$J:$K,2,FALSE)</f>
        <v>104.87</v>
      </c>
      <c r="O58" s="17">
        <f>VLOOKUP(K58,'1'!$J:$L,3,FALSE)</f>
        <v>-2.9999999999999997E-4</v>
      </c>
      <c r="P58" s="67">
        <f t="shared" si="7"/>
        <v>57</v>
      </c>
    </row>
    <row r="59" spans="1:16">
      <c r="A59" s="67">
        <v>128014</v>
      </c>
      <c r="B59" s="67" t="s">
        <v>936</v>
      </c>
      <c r="C59" s="67">
        <v>53</v>
      </c>
      <c r="D59" s="32">
        <f>VLOOKUP(A59,'1'!$J:$K,2,FALSE)</f>
        <v>103.098</v>
      </c>
      <c r="E59" s="17">
        <f>VLOOKUP(A59,'1'!$J:$L,3,FALSE)</f>
        <v>1E-3</v>
      </c>
      <c r="F59" s="24">
        <v>103.098</v>
      </c>
      <c r="H59" s="17">
        <f t="shared" si="8"/>
        <v>0</v>
      </c>
      <c r="I59" s="67">
        <f t="shared" si="6"/>
        <v>53</v>
      </c>
      <c r="K59" s="67">
        <v>113030</v>
      </c>
      <c r="L59" s="67" t="s">
        <v>1134</v>
      </c>
      <c r="M59" s="67">
        <v>58</v>
      </c>
      <c r="N59" s="24">
        <f>VLOOKUP(K59,'1'!$J:$K,2,FALSE)</f>
        <v>109.21</v>
      </c>
      <c r="O59" s="17">
        <f>VLOOKUP(K59,'1'!$J:$L,3,FALSE)</f>
        <v>1.0999999999999999E-2</v>
      </c>
      <c r="P59" s="67">
        <f t="shared" si="7"/>
        <v>58</v>
      </c>
    </row>
    <row r="60" spans="1:16">
      <c r="A60" s="67">
        <v>128032</v>
      </c>
      <c r="B60" s="67" t="s">
        <v>940</v>
      </c>
      <c r="C60" s="67">
        <v>53</v>
      </c>
      <c r="D60" s="32">
        <f>VLOOKUP(A60,'1'!$J:$K,2,FALSE)</f>
        <v>99.885000000000005</v>
      </c>
      <c r="E60" s="17">
        <f>VLOOKUP(A60,'1'!$J:$L,3,FALSE)</f>
        <v>7.0000000000000001E-3</v>
      </c>
      <c r="F60" s="24">
        <v>99.885000000000005</v>
      </c>
      <c r="H60" s="17">
        <f t="shared" ref="H60:H89" si="9">(D60+G60)/F60-1</f>
        <v>0</v>
      </c>
      <c r="I60" s="67">
        <f t="shared" ref="I60:I89" si="10">IFERROR(VLOOKUP(A60,K:M,3,FALSE),"")</f>
        <v>53</v>
      </c>
      <c r="K60" s="67">
        <v>128034</v>
      </c>
      <c r="L60" s="67" t="s">
        <v>1210</v>
      </c>
      <c r="M60" s="67">
        <v>59</v>
      </c>
      <c r="N60" s="24">
        <f>VLOOKUP(K60,'1'!$J:$K,2,FALSE)</f>
        <v>105.834</v>
      </c>
      <c r="O60" s="17">
        <f>VLOOKUP(K60,'1'!$J:$L,3,FALSE)</f>
        <v>2.0999999999999999E-3</v>
      </c>
      <c r="P60" s="67">
        <f t="shared" si="7"/>
        <v>59</v>
      </c>
    </row>
    <row r="61" spans="1:16">
      <c r="A61" s="67">
        <v>113025</v>
      </c>
      <c r="B61" s="67" t="s">
        <v>1110</v>
      </c>
      <c r="C61" s="67">
        <v>55</v>
      </c>
      <c r="D61" s="32">
        <f>VLOOKUP(A61,'1'!$J:$K,2,FALSE)</f>
        <v>105.15</v>
      </c>
      <c r="E61" s="17">
        <f>VLOOKUP(A61,'1'!$J:$L,3,FALSE)</f>
        <v>6.1999999999999998E-3</v>
      </c>
      <c r="F61" s="24">
        <v>105.15</v>
      </c>
      <c r="H61" s="17">
        <f t="shared" si="9"/>
        <v>0</v>
      </c>
      <c r="I61" s="67">
        <f t="shared" si="10"/>
        <v>55</v>
      </c>
      <c r="K61" s="67">
        <v>110065</v>
      </c>
      <c r="L61" s="67" t="s">
        <v>1136</v>
      </c>
      <c r="M61" s="67">
        <v>59</v>
      </c>
      <c r="N61" s="24">
        <f>VLOOKUP(K61,'1'!$J:$K,2,FALSE)</f>
        <v>108.52</v>
      </c>
      <c r="O61" s="17">
        <f>VLOOKUP(K61,'1'!$J:$L,3,FALSE)</f>
        <v>6.4000000000000003E-3</v>
      </c>
      <c r="P61" s="67">
        <f t="shared" si="7"/>
        <v>59</v>
      </c>
    </row>
    <row r="62" spans="1:16">
      <c r="A62" s="67">
        <v>123004</v>
      </c>
      <c r="B62" s="67" t="s">
        <v>1105</v>
      </c>
      <c r="C62" s="67">
        <v>55</v>
      </c>
      <c r="D62" s="32">
        <f>VLOOKUP(A62,'1'!$J:$K,2,FALSE)</f>
        <v>100.61</v>
      </c>
      <c r="E62" s="17">
        <f>VLOOKUP(A62,'1'!$J:$L,3,FALSE)</f>
        <v>4.5999999999999999E-3</v>
      </c>
      <c r="F62" s="24">
        <v>100.61</v>
      </c>
      <c r="H62" s="17">
        <f t="shared" si="9"/>
        <v>0</v>
      </c>
      <c r="I62" s="67">
        <f t="shared" si="10"/>
        <v>55</v>
      </c>
      <c r="K62" s="67">
        <v>110068</v>
      </c>
      <c r="L62" s="67" t="s">
        <v>1063</v>
      </c>
      <c r="M62" s="67">
        <v>61</v>
      </c>
      <c r="N62" s="24">
        <f>VLOOKUP(K62,'1'!$J:$K,2,FALSE)</f>
        <v>106.34</v>
      </c>
      <c r="O62" s="17">
        <f>VLOOKUP(K62,'1'!$J:$L,3,FALSE)</f>
        <v>8.8000000000000005E-3</v>
      </c>
      <c r="P62" s="67">
        <f t="shared" si="7"/>
        <v>61</v>
      </c>
    </row>
    <row r="63" spans="1:16">
      <c r="A63" s="67">
        <v>110059</v>
      </c>
      <c r="B63" s="67" t="s">
        <v>938</v>
      </c>
      <c r="C63" s="67">
        <v>57</v>
      </c>
      <c r="D63" s="32">
        <f>VLOOKUP(A63,'1'!$J:$K,2,FALSE)</f>
        <v>104.87</v>
      </c>
      <c r="E63" s="17">
        <f>VLOOKUP(A63,'1'!$J:$L,3,FALSE)</f>
        <v>-2.9999999999999997E-4</v>
      </c>
      <c r="F63" s="24">
        <v>104.87</v>
      </c>
      <c r="H63" s="17">
        <f t="shared" si="9"/>
        <v>0</v>
      </c>
      <c r="I63" s="67">
        <f t="shared" si="10"/>
        <v>57</v>
      </c>
      <c r="K63" s="67">
        <v>113534</v>
      </c>
      <c r="L63" s="67" t="s">
        <v>1213</v>
      </c>
      <c r="M63" s="67">
        <v>62</v>
      </c>
      <c r="N63" s="24">
        <f>VLOOKUP(K63,'1'!$J:$K,2,FALSE)</f>
        <v>111.05</v>
      </c>
      <c r="O63" s="17">
        <f>VLOOKUP(K63,'1'!$J:$L,3,FALSE)</f>
        <v>9.4999999999999998E-3</v>
      </c>
      <c r="P63" s="67">
        <f t="shared" si="7"/>
        <v>62</v>
      </c>
    </row>
    <row r="64" spans="1:16">
      <c r="A64" s="67">
        <v>113030</v>
      </c>
      <c r="B64" s="67" t="s">
        <v>1134</v>
      </c>
      <c r="C64" s="67">
        <v>58</v>
      </c>
      <c r="D64" s="32">
        <f>VLOOKUP(A64,'1'!$J:$K,2,FALSE)</f>
        <v>109.21</v>
      </c>
      <c r="E64" s="17">
        <f>VLOOKUP(A64,'1'!$J:$L,3,FALSE)</f>
        <v>1.0999999999999999E-2</v>
      </c>
      <c r="F64" s="24">
        <v>109.21</v>
      </c>
      <c r="H64" s="17">
        <f t="shared" si="9"/>
        <v>0</v>
      </c>
      <c r="I64" s="67">
        <f t="shared" si="10"/>
        <v>58</v>
      </c>
      <c r="K64" s="67">
        <v>113017</v>
      </c>
      <c r="L64" s="67" t="s">
        <v>972</v>
      </c>
      <c r="M64" s="67">
        <v>63</v>
      </c>
      <c r="N64" s="24">
        <f>VLOOKUP(K64,'1'!$J:$K,2,FALSE)</f>
        <v>102.8</v>
      </c>
      <c r="O64" s="17">
        <f>VLOOKUP(K64,'1'!$J:$L,3,FALSE)</f>
        <v>1.09E-2</v>
      </c>
      <c r="P64" s="67">
        <f t="shared" si="7"/>
        <v>63</v>
      </c>
    </row>
    <row r="65" spans="1:16">
      <c r="A65" s="67">
        <v>128034</v>
      </c>
      <c r="B65" s="67" t="s">
        <v>1210</v>
      </c>
      <c r="C65" s="67">
        <v>59</v>
      </c>
      <c r="D65" s="32">
        <f>VLOOKUP(A65,'1'!$J:$K,2,FALSE)</f>
        <v>105.834</v>
      </c>
      <c r="E65" s="17">
        <f>VLOOKUP(A65,'1'!$J:$L,3,FALSE)</f>
        <v>2.0999999999999999E-3</v>
      </c>
      <c r="F65" s="24">
        <v>105.834</v>
      </c>
      <c r="H65" s="17">
        <f t="shared" si="9"/>
        <v>0</v>
      </c>
      <c r="I65" s="67">
        <f t="shared" si="10"/>
        <v>59</v>
      </c>
      <c r="K65" s="67">
        <v>113505</v>
      </c>
      <c r="L65" s="67" t="s">
        <v>1139</v>
      </c>
      <c r="M65" s="67">
        <v>64</v>
      </c>
      <c r="N65" s="24">
        <f>VLOOKUP(K65,'1'!$J:$K,2,FALSE)</f>
        <v>105.69</v>
      </c>
      <c r="O65" s="17">
        <f>VLOOKUP(K65,'1'!$J:$L,3,FALSE)</f>
        <v>1.15E-2</v>
      </c>
      <c r="P65" s="67">
        <f t="shared" si="7"/>
        <v>64</v>
      </c>
    </row>
    <row r="66" spans="1:16">
      <c r="A66" s="67">
        <v>110065</v>
      </c>
      <c r="B66" s="67" t="s">
        <v>1136</v>
      </c>
      <c r="C66" s="67">
        <v>59</v>
      </c>
      <c r="D66" s="32">
        <f>VLOOKUP(A66,'1'!$J:$K,2,FALSE)</f>
        <v>108.52</v>
      </c>
      <c r="E66" s="17">
        <f>VLOOKUP(A66,'1'!$J:$L,3,FALSE)</f>
        <v>6.4000000000000003E-3</v>
      </c>
      <c r="F66" s="24">
        <v>108.52</v>
      </c>
      <c r="H66" s="17">
        <f t="shared" si="9"/>
        <v>0</v>
      </c>
      <c r="I66" s="67">
        <f t="shared" si="10"/>
        <v>59</v>
      </c>
      <c r="K66" s="67">
        <v>113021</v>
      </c>
      <c r="L66" s="67" t="s">
        <v>964</v>
      </c>
      <c r="M66" s="67">
        <v>64</v>
      </c>
      <c r="N66" s="24">
        <f>VLOOKUP(K66,'1'!$J:$K,2,FALSE)</f>
        <v>106.9</v>
      </c>
      <c r="O66" s="17">
        <f>VLOOKUP(K66,'1'!$J:$L,3,FALSE)</f>
        <v>5.9999999999999995E-4</v>
      </c>
      <c r="P66" s="67">
        <f t="shared" ref="P66:P84" si="11">IFERROR(VLOOKUP(K66,A:J,3,FALSE),"")</f>
        <v>64</v>
      </c>
    </row>
    <row r="67" spans="1:16">
      <c r="A67" s="67">
        <v>110068</v>
      </c>
      <c r="B67" s="67" t="s">
        <v>1063</v>
      </c>
      <c r="C67" s="67">
        <v>61</v>
      </c>
      <c r="D67" s="32">
        <f>VLOOKUP(A67,'1'!$J:$K,2,FALSE)</f>
        <v>106.34</v>
      </c>
      <c r="E67" s="17">
        <f>VLOOKUP(A67,'1'!$J:$L,3,FALSE)</f>
        <v>8.8000000000000005E-3</v>
      </c>
      <c r="F67" s="24">
        <v>106.34</v>
      </c>
      <c r="H67" s="17">
        <f t="shared" si="9"/>
        <v>0</v>
      </c>
      <c r="I67" s="67">
        <f t="shared" si="10"/>
        <v>61</v>
      </c>
      <c r="K67" s="67">
        <v>110043</v>
      </c>
      <c r="L67" s="67" t="s">
        <v>1140</v>
      </c>
      <c r="M67" s="67">
        <v>66</v>
      </c>
      <c r="N67" s="24">
        <f>VLOOKUP(K67,'1'!$J:$K,2,FALSE)</f>
        <v>106.36</v>
      </c>
      <c r="O67" s="17">
        <f>VLOOKUP(K67,'1'!$J:$L,3,FALSE)</f>
        <v>5.7999999999999996E-3</v>
      </c>
      <c r="P67" s="67">
        <f t="shared" si="11"/>
        <v>66</v>
      </c>
    </row>
    <row r="68" spans="1:16">
      <c r="A68" s="67">
        <v>113534</v>
      </c>
      <c r="B68" s="67" t="s">
        <v>1213</v>
      </c>
      <c r="C68" s="67">
        <v>62</v>
      </c>
      <c r="D68" s="32">
        <f>VLOOKUP(A68,'1'!$J:$K,2,FALSE)</f>
        <v>111.05</v>
      </c>
      <c r="E68" s="17">
        <f>VLOOKUP(A68,'1'!$J:$L,3,FALSE)</f>
        <v>9.4999999999999998E-3</v>
      </c>
      <c r="F68" s="24">
        <v>111.05</v>
      </c>
      <c r="H68" s="17">
        <f t="shared" si="9"/>
        <v>0</v>
      </c>
      <c r="I68" s="67">
        <f t="shared" si="10"/>
        <v>62</v>
      </c>
      <c r="K68" s="67">
        <v>128096</v>
      </c>
      <c r="L68" s="67" t="s">
        <v>1123</v>
      </c>
      <c r="M68" s="67">
        <v>67</v>
      </c>
      <c r="N68" s="24">
        <f>VLOOKUP(K68,'1'!$J:$K,2,FALSE)</f>
        <v>110.5</v>
      </c>
      <c r="O68" s="17">
        <f>VLOOKUP(K68,'1'!$J:$L,3,FALSE)</f>
        <v>1.21E-2</v>
      </c>
      <c r="P68" s="67">
        <f t="shared" si="11"/>
        <v>67</v>
      </c>
    </row>
    <row r="69" spans="1:16">
      <c r="A69" s="67">
        <v>113017</v>
      </c>
      <c r="B69" s="67" t="s">
        <v>972</v>
      </c>
      <c r="C69" s="67">
        <v>63</v>
      </c>
      <c r="D69" s="32">
        <f>VLOOKUP(A69,'1'!$J:$K,2,FALSE)</f>
        <v>102.8</v>
      </c>
      <c r="E69" s="17">
        <f>VLOOKUP(A69,'1'!$J:$L,3,FALSE)</f>
        <v>1.09E-2</v>
      </c>
      <c r="F69" s="24">
        <v>102.8</v>
      </c>
      <c r="H69" s="17">
        <f t="shared" si="9"/>
        <v>0</v>
      </c>
      <c r="I69" s="67">
        <f t="shared" si="10"/>
        <v>63</v>
      </c>
      <c r="K69" s="67">
        <v>128083</v>
      </c>
      <c r="L69" s="67" t="s">
        <v>1235</v>
      </c>
      <c r="M69" s="67">
        <v>67</v>
      </c>
      <c r="N69" s="24">
        <f>VLOOKUP(K69,'1'!$J:$K,2,FALSE)</f>
        <v>110.56699999999999</v>
      </c>
      <c r="O69" s="17">
        <f>VLOOKUP(K69,'1'!$J:$L,3,FALSE)</f>
        <v>1.06E-2</v>
      </c>
      <c r="P69" s="67">
        <f t="shared" si="11"/>
        <v>67</v>
      </c>
    </row>
    <row r="70" spans="1:16">
      <c r="A70" s="67">
        <v>113505</v>
      </c>
      <c r="B70" s="67" t="s">
        <v>1139</v>
      </c>
      <c r="C70" s="67">
        <v>64</v>
      </c>
      <c r="D70" s="32">
        <f>VLOOKUP(A70,'1'!$J:$K,2,FALSE)</f>
        <v>105.69</v>
      </c>
      <c r="E70" s="17">
        <f>VLOOKUP(A70,'1'!$J:$L,3,FALSE)</f>
        <v>1.15E-2</v>
      </c>
      <c r="F70" s="24">
        <v>105.69</v>
      </c>
      <c r="H70" s="17">
        <f t="shared" si="9"/>
        <v>0</v>
      </c>
      <c r="I70" s="67">
        <f t="shared" si="10"/>
        <v>64</v>
      </c>
      <c r="K70" s="67">
        <v>110053</v>
      </c>
      <c r="L70" s="67" t="s">
        <v>1065</v>
      </c>
      <c r="M70" s="67">
        <v>67</v>
      </c>
      <c r="N70" s="24">
        <f>VLOOKUP(K70,'1'!$J:$K,2,FALSE)</f>
        <v>109.35</v>
      </c>
      <c r="O70" s="17">
        <f>VLOOKUP(K70,'1'!$J:$L,3,FALSE)</f>
        <v>1.1000000000000001E-3</v>
      </c>
      <c r="P70" s="67">
        <f t="shared" si="11"/>
        <v>67</v>
      </c>
    </row>
    <row r="71" spans="1:16">
      <c r="A71" s="67">
        <v>113021</v>
      </c>
      <c r="B71" s="67" t="s">
        <v>964</v>
      </c>
      <c r="C71" s="67">
        <v>64</v>
      </c>
      <c r="D71" s="32">
        <f>VLOOKUP(A71,'1'!$J:$K,2,FALSE)</f>
        <v>106.9</v>
      </c>
      <c r="E71" s="17">
        <f>VLOOKUP(A71,'1'!$J:$L,3,FALSE)</f>
        <v>5.9999999999999995E-4</v>
      </c>
      <c r="F71" s="24">
        <v>106.9</v>
      </c>
      <c r="H71" s="17">
        <f t="shared" si="9"/>
        <v>0</v>
      </c>
      <c r="I71" s="67">
        <f t="shared" si="10"/>
        <v>64</v>
      </c>
      <c r="K71" s="67">
        <v>113014</v>
      </c>
      <c r="L71" s="67" t="s">
        <v>977</v>
      </c>
      <c r="M71" s="67">
        <v>67</v>
      </c>
      <c r="N71" s="24">
        <f>VLOOKUP(K71,'1'!$J:$K,2,FALSE)</f>
        <v>102.6</v>
      </c>
      <c r="O71" s="17">
        <f>VLOOKUP(K71,'1'!$J:$L,3,FALSE)</f>
        <v>3.8999999999999998E-3</v>
      </c>
      <c r="P71" s="67">
        <f t="shared" si="11"/>
        <v>67</v>
      </c>
    </row>
    <row r="72" spans="1:16">
      <c r="A72" s="67">
        <v>110043</v>
      </c>
      <c r="B72" s="67" t="s">
        <v>1140</v>
      </c>
      <c r="C72" s="67">
        <v>66</v>
      </c>
      <c r="D72" s="32">
        <f>VLOOKUP(A72,'1'!$J:$K,2,FALSE)</f>
        <v>106.36</v>
      </c>
      <c r="E72" s="17">
        <f>VLOOKUP(A72,'1'!$J:$L,3,FALSE)</f>
        <v>5.7999999999999996E-3</v>
      </c>
      <c r="F72" s="24">
        <v>106.36</v>
      </c>
      <c r="H72" s="17">
        <f t="shared" si="9"/>
        <v>0</v>
      </c>
      <c r="I72" s="67">
        <f t="shared" si="10"/>
        <v>66</v>
      </c>
      <c r="K72" s="67">
        <v>110048</v>
      </c>
      <c r="L72" s="67" t="s">
        <v>1208</v>
      </c>
      <c r="M72" s="67">
        <v>71</v>
      </c>
      <c r="N72" s="24">
        <f>VLOOKUP(K72,'1'!$J:$K,2,FALSE)</f>
        <v>109.71</v>
      </c>
      <c r="O72" s="17">
        <f>VLOOKUP(K72,'1'!$J:$L,3,FALSE)</f>
        <v>4.4000000000000003E-3</v>
      </c>
      <c r="P72" s="67">
        <f t="shared" si="11"/>
        <v>71</v>
      </c>
    </row>
    <row r="73" spans="1:16">
      <c r="A73" s="67">
        <v>128096</v>
      </c>
      <c r="B73" s="67" t="s">
        <v>1123</v>
      </c>
      <c r="C73" s="67">
        <v>67</v>
      </c>
      <c r="D73" s="32">
        <f>VLOOKUP(A73,'1'!$J:$K,2,FALSE)</f>
        <v>110.5</v>
      </c>
      <c r="E73" s="17">
        <f>VLOOKUP(A73,'1'!$J:$L,3,FALSE)</f>
        <v>1.21E-2</v>
      </c>
      <c r="F73" s="24">
        <v>110.5</v>
      </c>
      <c r="H73" s="17">
        <f t="shared" si="9"/>
        <v>0</v>
      </c>
      <c r="I73" s="67">
        <f t="shared" si="10"/>
        <v>67</v>
      </c>
      <c r="K73" s="67">
        <v>113508</v>
      </c>
      <c r="L73" s="67" t="s">
        <v>941</v>
      </c>
      <c r="M73" s="67">
        <v>72</v>
      </c>
      <c r="N73" s="24">
        <f>VLOOKUP(K73,'1'!$J:$K,2,FALSE)</f>
        <v>103.35</v>
      </c>
      <c r="O73" s="17">
        <f>VLOOKUP(K73,'1'!$J:$L,3,FALSE)</f>
        <v>5.4000000000000003E-3</v>
      </c>
      <c r="P73" s="67">
        <f t="shared" si="11"/>
        <v>72</v>
      </c>
    </row>
    <row r="74" spans="1:16">
      <c r="A74" s="67">
        <v>128083</v>
      </c>
      <c r="B74" s="67" t="s">
        <v>1235</v>
      </c>
      <c r="C74" s="67">
        <v>67</v>
      </c>
      <c r="D74" s="32">
        <f>VLOOKUP(A74,'1'!$J:$K,2,FALSE)</f>
        <v>110.56699999999999</v>
      </c>
      <c r="E74" s="17">
        <f>VLOOKUP(A74,'1'!$J:$L,3,FALSE)</f>
        <v>1.06E-2</v>
      </c>
      <c r="F74" s="24">
        <v>110.56699999999999</v>
      </c>
      <c r="H74" s="17">
        <f t="shared" si="9"/>
        <v>0</v>
      </c>
      <c r="I74" s="67">
        <f t="shared" si="10"/>
        <v>67</v>
      </c>
      <c r="K74" s="67">
        <v>128012</v>
      </c>
      <c r="L74" s="67" t="s">
        <v>939</v>
      </c>
      <c r="M74" s="67">
        <v>72</v>
      </c>
      <c r="N74" s="24">
        <f>VLOOKUP(K74,'1'!$J:$K,2,FALSE)</f>
        <v>99.998999999999995</v>
      </c>
      <c r="O74" s="17" t="str">
        <f>VLOOKUP(K74,'1'!$J:$L,3,FALSE)</f>
        <v>停牌</v>
      </c>
      <c r="P74" s="67">
        <f t="shared" si="11"/>
        <v>72</v>
      </c>
    </row>
    <row r="75" spans="1:16">
      <c r="A75" s="67">
        <v>110053</v>
      </c>
      <c r="B75" s="67" t="s">
        <v>1065</v>
      </c>
      <c r="C75" s="67">
        <v>67</v>
      </c>
      <c r="D75" s="32">
        <f>VLOOKUP(A75,'1'!$J:$K,2,FALSE)</f>
        <v>109.35</v>
      </c>
      <c r="E75" s="17">
        <f>VLOOKUP(A75,'1'!$J:$L,3,FALSE)</f>
        <v>1.1000000000000001E-3</v>
      </c>
      <c r="F75" s="24">
        <v>109.35</v>
      </c>
      <c r="H75" s="17">
        <f t="shared" si="9"/>
        <v>0</v>
      </c>
      <c r="I75" s="67">
        <f t="shared" si="10"/>
        <v>67</v>
      </c>
      <c r="K75" s="67">
        <v>127011</v>
      </c>
      <c r="L75" s="67" t="s">
        <v>1066</v>
      </c>
      <c r="M75" s="67">
        <v>74</v>
      </c>
      <c r="N75" s="24">
        <f>VLOOKUP(K75,'1'!$J:$K,2,FALSE)</f>
        <v>105</v>
      </c>
      <c r="O75" s="17">
        <f>VLOOKUP(K75,'1'!$J:$L,3,FALSE)</f>
        <v>3.8E-3</v>
      </c>
      <c r="P75" s="67">
        <f t="shared" si="11"/>
        <v>74</v>
      </c>
    </row>
    <row r="76" spans="1:16">
      <c r="A76" s="67">
        <v>113014</v>
      </c>
      <c r="B76" s="67" t="s">
        <v>977</v>
      </c>
      <c r="C76" s="67">
        <v>67</v>
      </c>
      <c r="D76" s="32">
        <f>VLOOKUP(A76,'1'!$J:$K,2,FALSE)</f>
        <v>102.6</v>
      </c>
      <c r="E76" s="17">
        <f>VLOOKUP(A76,'1'!$J:$L,3,FALSE)</f>
        <v>3.8999999999999998E-3</v>
      </c>
      <c r="F76" s="24">
        <v>102.6</v>
      </c>
      <c r="H76" s="17">
        <f t="shared" si="9"/>
        <v>0</v>
      </c>
      <c r="I76" s="67">
        <f t="shared" si="10"/>
        <v>67</v>
      </c>
      <c r="K76" s="67">
        <v>113026</v>
      </c>
      <c r="L76" s="67" t="s">
        <v>962</v>
      </c>
      <c r="M76" s="67">
        <v>75</v>
      </c>
      <c r="N76" s="24">
        <f>VLOOKUP(K76,'1'!$J:$K,2,FALSE)</f>
        <v>101.79</v>
      </c>
      <c r="O76" s="17">
        <f>VLOOKUP(K76,'1'!$J:$L,3,FALSE)</f>
        <v>1.1999999999999999E-3</v>
      </c>
      <c r="P76" s="67">
        <f t="shared" si="11"/>
        <v>75</v>
      </c>
    </row>
    <row r="77" spans="1:16">
      <c r="A77" s="67">
        <v>110048</v>
      </c>
      <c r="B77" s="67" t="s">
        <v>1208</v>
      </c>
      <c r="C77" s="67">
        <v>71</v>
      </c>
      <c r="D77" s="32">
        <f>VLOOKUP(A77,'1'!$J:$K,2,FALSE)</f>
        <v>109.71</v>
      </c>
      <c r="E77" s="17">
        <f>VLOOKUP(A77,'1'!$J:$L,3,FALSE)</f>
        <v>4.4000000000000003E-3</v>
      </c>
      <c r="F77" s="24">
        <v>109.71</v>
      </c>
      <c r="H77" s="17">
        <f t="shared" si="9"/>
        <v>0</v>
      </c>
      <c r="I77" s="67">
        <f t="shared" si="10"/>
        <v>71</v>
      </c>
      <c r="K77" s="67">
        <v>113012</v>
      </c>
      <c r="L77" s="67" t="s">
        <v>1192</v>
      </c>
      <c r="M77" s="67">
        <v>76</v>
      </c>
      <c r="N77" s="24">
        <f>VLOOKUP(K77,'1'!$J:$K,2,FALSE)</f>
        <v>103.44</v>
      </c>
      <c r="O77" s="17">
        <f>VLOOKUP(K77,'1'!$J:$L,3,FALSE)</f>
        <v>4.1999999999999997E-3</v>
      </c>
      <c r="P77" s="67">
        <f t="shared" si="11"/>
        <v>76</v>
      </c>
    </row>
    <row r="78" spans="1:16">
      <c r="A78" s="67">
        <v>113508</v>
      </c>
      <c r="B78" s="67" t="s">
        <v>941</v>
      </c>
      <c r="C78" s="67">
        <v>72</v>
      </c>
      <c r="D78" s="32">
        <f>VLOOKUP(A78,'1'!$J:$K,2,FALSE)</f>
        <v>103.35</v>
      </c>
      <c r="E78" s="17">
        <f>VLOOKUP(A78,'1'!$J:$L,3,FALSE)</f>
        <v>5.4000000000000003E-3</v>
      </c>
      <c r="F78" s="24">
        <v>103.35</v>
      </c>
      <c r="H78" s="17">
        <f t="shared" si="9"/>
        <v>0</v>
      </c>
      <c r="I78" s="67">
        <f t="shared" si="10"/>
        <v>72</v>
      </c>
      <c r="K78" s="67">
        <v>127012</v>
      </c>
      <c r="L78" s="67" t="s">
        <v>1191</v>
      </c>
      <c r="M78" s="67">
        <v>77</v>
      </c>
      <c r="N78" s="24">
        <f>VLOOKUP(K78,'1'!$J:$K,2,FALSE)</f>
        <v>103.25</v>
      </c>
      <c r="O78" s="17">
        <f>VLOOKUP(K78,'1'!$J:$L,3,FALSE)</f>
        <v>3.5000000000000001E-3</v>
      </c>
      <c r="P78" s="67">
        <f t="shared" si="11"/>
        <v>77</v>
      </c>
    </row>
    <row r="79" spans="1:16">
      <c r="A79" s="67">
        <v>128012</v>
      </c>
      <c r="B79" s="67" t="s">
        <v>939</v>
      </c>
      <c r="C79" s="67">
        <v>72</v>
      </c>
      <c r="D79" s="32">
        <f>VLOOKUP(A79,'1'!$J:$K,2,FALSE)</f>
        <v>99.998999999999995</v>
      </c>
      <c r="E79" s="17" t="str">
        <f>VLOOKUP(A79,'1'!$J:$L,3,FALSE)</f>
        <v>停牌</v>
      </c>
      <c r="F79" s="24">
        <v>99.998999999999995</v>
      </c>
      <c r="H79" s="17">
        <f t="shared" si="9"/>
        <v>0</v>
      </c>
      <c r="I79" s="67">
        <f t="shared" si="10"/>
        <v>72</v>
      </c>
      <c r="K79" s="67">
        <v>127006</v>
      </c>
      <c r="L79" s="67" t="s">
        <v>1193</v>
      </c>
      <c r="M79" s="67">
        <v>78</v>
      </c>
      <c r="N79" s="24">
        <f>VLOOKUP(K79,'1'!$J:$K,2,FALSE)</f>
        <v>103.79</v>
      </c>
      <c r="O79" s="17">
        <f>VLOOKUP(K79,'1'!$J:$L,3,FALSE)</f>
        <v>3.7000000000000002E-3</v>
      </c>
      <c r="P79" s="67">
        <f t="shared" si="11"/>
        <v>78</v>
      </c>
    </row>
    <row r="80" spans="1:16">
      <c r="A80" s="67">
        <v>127011</v>
      </c>
      <c r="B80" s="67" t="s">
        <v>1066</v>
      </c>
      <c r="C80" s="67">
        <v>74</v>
      </c>
      <c r="D80" s="32">
        <f>VLOOKUP(A80,'1'!$J:$K,2,FALSE)</f>
        <v>105</v>
      </c>
      <c r="E80" s="17">
        <f>VLOOKUP(A80,'1'!$J:$L,3,FALSE)</f>
        <v>3.8E-3</v>
      </c>
      <c r="F80" s="24">
        <v>105</v>
      </c>
      <c r="H80" s="17">
        <f t="shared" si="9"/>
        <v>0</v>
      </c>
      <c r="I80" s="67">
        <f t="shared" si="10"/>
        <v>74</v>
      </c>
      <c r="K80" s="67">
        <v>110067</v>
      </c>
      <c r="L80" s="67" t="s">
        <v>1220</v>
      </c>
      <c r="M80" s="67">
        <v>79</v>
      </c>
      <c r="N80" s="24">
        <f>VLOOKUP(K80,'1'!$J:$K,2,FALSE)</f>
        <v>108.28</v>
      </c>
      <c r="O80" s="17">
        <f>VLOOKUP(K80,'1'!$J:$L,3,FALSE)</f>
        <v>1E-3</v>
      </c>
      <c r="P80" s="67">
        <f t="shared" si="11"/>
        <v>79</v>
      </c>
    </row>
    <row r="81" spans="1:16">
      <c r="A81" s="67">
        <v>113026</v>
      </c>
      <c r="B81" s="67" t="s">
        <v>962</v>
      </c>
      <c r="C81" s="67">
        <v>75</v>
      </c>
      <c r="D81" s="32">
        <f>VLOOKUP(A81,'1'!$J:$K,2,FALSE)</f>
        <v>101.79</v>
      </c>
      <c r="E81" s="17">
        <f>VLOOKUP(A81,'1'!$J:$L,3,FALSE)</f>
        <v>1.1999999999999999E-3</v>
      </c>
      <c r="F81" s="24">
        <v>101.79</v>
      </c>
      <c r="H81" s="17">
        <f t="shared" si="9"/>
        <v>0</v>
      </c>
      <c r="I81" s="67">
        <f t="shared" si="10"/>
        <v>75</v>
      </c>
      <c r="K81" s="67">
        <v>113024</v>
      </c>
      <c r="L81" s="67" t="s">
        <v>976</v>
      </c>
      <c r="M81" s="67">
        <v>79</v>
      </c>
      <c r="N81" s="24">
        <f>VLOOKUP(K81,'1'!$J:$K,2,FALSE)</f>
        <v>102.82</v>
      </c>
      <c r="O81" s="17">
        <f>VLOOKUP(K81,'1'!$J:$L,3,FALSE)</f>
        <v>1.1999999999999999E-3</v>
      </c>
      <c r="P81" s="67">
        <f t="shared" si="11"/>
        <v>79</v>
      </c>
    </row>
    <row r="82" spans="1:16">
      <c r="A82" s="67">
        <v>113012</v>
      </c>
      <c r="B82" s="67" t="s">
        <v>1192</v>
      </c>
      <c r="C82" s="67">
        <v>76</v>
      </c>
      <c r="D82" s="32">
        <f>VLOOKUP(A82,'1'!$J:$K,2,FALSE)</f>
        <v>103.44</v>
      </c>
      <c r="E82" s="17">
        <f>VLOOKUP(A82,'1'!$J:$L,3,FALSE)</f>
        <v>4.1999999999999997E-3</v>
      </c>
      <c r="F82" s="24">
        <v>103.44</v>
      </c>
      <c r="H82" s="17">
        <f t="shared" si="9"/>
        <v>0</v>
      </c>
      <c r="I82" s="67">
        <f t="shared" si="10"/>
        <v>76</v>
      </c>
      <c r="K82" s="67">
        <v>127014</v>
      </c>
      <c r="L82" s="67" t="s">
        <v>1216</v>
      </c>
      <c r="M82" s="67">
        <v>81</v>
      </c>
      <c r="N82" s="24">
        <f>VLOOKUP(K82,'1'!$J:$K,2,FALSE)</f>
        <v>111.452</v>
      </c>
      <c r="O82" s="17">
        <f>VLOOKUP(K82,'1'!$J:$L,3,FALSE)</f>
        <v>4.1000000000000003E-3</v>
      </c>
      <c r="P82" s="67">
        <f t="shared" si="11"/>
        <v>81</v>
      </c>
    </row>
    <row r="83" spans="1:16">
      <c r="A83" s="67">
        <v>127012</v>
      </c>
      <c r="B83" s="67" t="s">
        <v>1191</v>
      </c>
      <c r="C83" s="67">
        <v>77</v>
      </c>
      <c r="D83" s="32">
        <f>VLOOKUP(A83,'1'!$J:$K,2,FALSE)</f>
        <v>103.25</v>
      </c>
      <c r="E83" s="17">
        <f>VLOOKUP(A83,'1'!$J:$L,3,FALSE)</f>
        <v>3.5000000000000001E-3</v>
      </c>
      <c r="F83" s="24">
        <v>103.25</v>
      </c>
      <c r="H83" s="17">
        <f t="shared" si="9"/>
        <v>0</v>
      </c>
      <c r="I83" s="67">
        <f t="shared" si="10"/>
        <v>77</v>
      </c>
      <c r="K83" s="67">
        <v>123035</v>
      </c>
      <c r="L83" s="67" t="s">
        <v>1221</v>
      </c>
      <c r="M83" s="67">
        <v>81</v>
      </c>
      <c r="N83" s="24">
        <f>VLOOKUP(K83,'1'!$J:$K,2,FALSE)</f>
        <v>111.301</v>
      </c>
      <c r="O83" s="17">
        <f>VLOOKUP(K83,'1'!$J:$L,3,FALSE)</f>
        <v>4.4000000000000003E-3</v>
      </c>
      <c r="P83" s="67">
        <f t="shared" si="11"/>
        <v>81</v>
      </c>
    </row>
    <row r="84" spans="1:16">
      <c r="A84" s="67">
        <v>127006</v>
      </c>
      <c r="B84" s="67" t="s">
        <v>1193</v>
      </c>
      <c r="C84" s="67">
        <v>78</v>
      </c>
      <c r="D84" s="32">
        <f>VLOOKUP(A84,'1'!$J:$K,2,FALSE)</f>
        <v>103.79</v>
      </c>
      <c r="E84" s="17">
        <f>VLOOKUP(A84,'1'!$J:$L,3,FALSE)</f>
        <v>3.7000000000000002E-3</v>
      </c>
      <c r="F84" s="24">
        <v>103.79</v>
      </c>
      <c r="H84" s="17">
        <f t="shared" si="9"/>
        <v>0</v>
      </c>
      <c r="I84" s="67">
        <f t="shared" si="10"/>
        <v>78</v>
      </c>
      <c r="K84" s="67">
        <v>128010</v>
      </c>
      <c r="L84" s="67" t="s">
        <v>1031</v>
      </c>
      <c r="M84" s="67">
        <v>83</v>
      </c>
      <c r="N84" s="24">
        <f>VLOOKUP(K84,'1'!$J:$K,2,FALSE)</f>
        <v>105.654</v>
      </c>
      <c r="O84" s="17">
        <f>VLOOKUP(K84,'1'!$J:$L,3,FALSE)</f>
        <v>2.5000000000000001E-3</v>
      </c>
      <c r="P84" s="67">
        <f t="shared" si="11"/>
        <v>83</v>
      </c>
    </row>
    <row r="85" spans="1:16">
      <c r="A85" s="67">
        <v>110067</v>
      </c>
      <c r="B85" s="67" t="s">
        <v>1220</v>
      </c>
      <c r="C85" s="67">
        <v>79</v>
      </c>
      <c r="D85" s="32">
        <f>VLOOKUP(A85,'1'!$J:$K,2,FALSE)</f>
        <v>108.28</v>
      </c>
      <c r="E85" s="17">
        <f>VLOOKUP(A85,'1'!$J:$L,3,FALSE)</f>
        <v>1E-3</v>
      </c>
      <c r="F85" s="24">
        <v>108.28</v>
      </c>
      <c r="H85" s="17">
        <f t="shared" si="9"/>
        <v>0</v>
      </c>
      <c r="I85" s="67">
        <f t="shared" si="10"/>
        <v>79</v>
      </c>
      <c r="L85" s="123" t="s">
        <v>1108</v>
      </c>
      <c r="N85" s="24">
        <f>AVERAGE(N2:N84)</f>
        <v>105.18822891566266</v>
      </c>
      <c r="O85" s="17">
        <f>AVERAGE(O2:O84)</f>
        <v>6.0073170731707298E-3</v>
      </c>
    </row>
    <row r="86" spans="1:16">
      <c r="A86" s="67">
        <v>113024</v>
      </c>
      <c r="B86" s="67" t="s">
        <v>976</v>
      </c>
      <c r="C86" s="67">
        <v>79</v>
      </c>
      <c r="D86" s="32">
        <f>VLOOKUP(A86,'1'!$J:$K,2,FALSE)</f>
        <v>102.82</v>
      </c>
      <c r="E86" s="17">
        <f>VLOOKUP(A86,'1'!$J:$L,3,FALSE)</f>
        <v>1.1999999999999999E-3</v>
      </c>
      <c r="F86" s="24">
        <v>102.82</v>
      </c>
      <c r="H86" s="17">
        <f t="shared" si="9"/>
        <v>0</v>
      </c>
      <c r="I86" s="67">
        <f t="shared" si="10"/>
        <v>79</v>
      </c>
    </row>
    <row r="87" spans="1:16">
      <c r="A87" s="67">
        <v>127014</v>
      </c>
      <c r="B87" s="67" t="s">
        <v>1216</v>
      </c>
      <c r="C87" s="67">
        <v>81</v>
      </c>
      <c r="D87" s="32">
        <f>VLOOKUP(A87,'1'!$J:$K,2,FALSE)</f>
        <v>111.452</v>
      </c>
      <c r="E87" s="17">
        <f>VLOOKUP(A87,'1'!$J:$L,3,FALSE)</f>
        <v>4.1000000000000003E-3</v>
      </c>
      <c r="F87" s="24">
        <v>111.452</v>
      </c>
      <c r="H87" s="17">
        <f t="shared" si="9"/>
        <v>0</v>
      </c>
      <c r="I87" s="67">
        <f t="shared" si="10"/>
        <v>81</v>
      </c>
    </row>
    <row r="88" spans="1:16">
      <c r="A88" s="67">
        <v>123035</v>
      </c>
      <c r="B88" s="67" t="s">
        <v>1221</v>
      </c>
      <c r="C88" s="67">
        <v>81</v>
      </c>
      <c r="D88" s="32">
        <f>VLOOKUP(A88,'1'!$J:$K,2,FALSE)</f>
        <v>111.301</v>
      </c>
      <c r="E88" s="17">
        <f>VLOOKUP(A88,'1'!$J:$L,3,FALSE)</f>
        <v>4.4000000000000003E-3</v>
      </c>
      <c r="F88" s="24">
        <v>111.301</v>
      </c>
      <c r="H88" s="17">
        <f t="shared" si="9"/>
        <v>0</v>
      </c>
      <c r="I88" s="67">
        <f t="shared" si="10"/>
        <v>81</v>
      </c>
    </row>
    <row r="89" spans="1:16">
      <c r="A89" s="67">
        <v>128010</v>
      </c>
      <c r="B89" s="67" t="s">
        <v>1031</v>
      </c>
      <c r="C89" s="67">
        <v>83</v>
      </c>
      <c r="D89" s="32">
        <f>VLOOKUP(A89,'1'!$J:$K,2,FALSE)</f>
        <v>105.654</v>
      </c>
      <c r="E89" s="17">
        <f>VLOOKUP(A89,'1'!$J:$L,3,FALSE)</f>
        <v>2.5000000000000001E-3</v>
      </c>
      <c r="F89" s="24">
        <v>105.654</v>
      </c>
      <c r="H89" s="17">
        <f t="shared" si="9"/>
        <v>0</v>
      </c>
      <c r="I89" s="67">
        <f t="shared" si="10"/>
        <v>83</v>
      </c>
    </row>
  </sheetData>
  <autoFilter ref="K1:P85"/>
  <phoneticPr fontId="18"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dimension ref="A1:T133"/>
  <sheetViews>
    <sheetView workbookViewId="0">
      <selection activeCell="F26" sqref="F26"/>
    </sheetView>
  </sheetViews>
  <sheetFormatPr defaultColWidth="8.88671875" defaultRowHeight="14.4"/>
  <cols>
    <col min="1" max="2" width="9.5546875" style="67" customWidth="1"/>
    <col min="3" max="3" width="8.88671875" style="34"/>
    <col min="4" max="4" width="9.5546875" style="67" customWidth="1"/>
    <col min="5" max="5" width="9.5546875" style="25" customWidth="1"/>
    <col min="6" max="6" width="9.5546875" style="17" customWidth="1"/>
    <col min="7" max="7" width="15.21875" style="67" customWidth="1"/>
    <col min="8" max="11" width="9.5546875" style="67" customWidth="1"/>
    <col min="12" max="12" width="8.88671875" style="67"/>
    <col min="13" max="13" width="9" style="67" customWidth="1"/>
    <col min="14" max="14" width="8.88671875" style="34"/>
    <col min="15" max="19" width="9.5546875" style="67" customWidth="1"/>
    <col min="20" max="16384" width="8.88671875" style="67"/>
  </cols>
  <sheetData>
    <row r="1" spans="1:20">
      <c r="A1" s="67" t="s">
        <v>301</v>
      </c>
      <c r="B1" s="67" t="s">
        <v>302</v>
      </c>
      <c r="C1" s="179" t="s">
        <v>295</v>
      </c>
      <c r="D1" s="67" t="s">
        <v>863</v>
      </c>
      <c r="E1" s="25" t="s">
        <v>303</v>
      </c>
      <c r="F1" s="112" t="s">
        <v>857</v>
      </c>
      <c r="G1" s="152">
        <v>43830</v>
      </c>
      <c r="H1" s="67" t="s">
        <v>845</v>
      </c>
      <c r="I1" s="66" t="s">
        <v>923</v>
      </c>
      <c r="J1" s="66" t="s">
        <v>1043</v>
      </c>
      <c r="L1" s="67" t="s">
        <v>864</v>
      </c>
      <c r="M1" s="67" t="s">
        <v>302</v>
      </c>
      <c r="N1" s="34" t="s">
        <v>1470</v>
      </c>
      <c r="O1" s="67" t="s">
        <v>863</v>
      </c>
      <c r="P1" s="25" t="s">
        <v>303</v>
      </c>
      <c r="Q1" s="112" t="s">
        <v>857</v>
      </c>
      <c r="R1" s="168" t="s">
        <v>1046</v>
      </c>
    </row>
    <row r="2" spans="1:20" s="24" customFormat="1">
      <c r="A2" s="67">
        <v>128010</v>
      </c>
      <c r="B2" s="67" t="s">
        <v>1469</v>
      </c>
      <c r="C2" s="34">
        <v>2.0629705681040384</v>
      </c>
      <c r="D2" s="67">
        <v>1</v>
      </c>
      <c r="E2" s="24">
        <f>VLOOKUP(A2,'1'!$J:$K,2,FALSE)</f>
        <v>105.654</v>
      </c>
      <c r="F2" s="17">
        <f>VLOOKUP(A2,'1'!$J:$L,3,FALSE)</f>
        <v>2.5000000000000001E-3</v>
      </c>
      <c r="G2" s="24">
        <v>105.001</v>
      </c>
      <c r="H2" s="24">
        <v>1.6000000000000085</v>
      </c>
      <c r="I2" s="17">
        <f t="shared" ref="I2:I21" si="0">(E2+H2)/G2-1</f>
        <v>2.1456938505347578E-2</v>
      </c>
      <c r="J2" s="67">
        <f>IFERROR(VLOOKUP(A2,L:O,4,FALSE),"")</f>
        <v>1</v>
      </c>
      <c r="K2" s="67"/>
      <c r="L2" s="67">
        <v>128010</v>
      </c>
      <c r="M2" s="67" t="s">
        <v>1031</v>
      </c>
      <c r="N2" s="34">
        <v>1.65</v>
      </c>
      <c r="O2" s="67">
        <v>1</v>
      </c>
      <c r="P2" s="24">
        <f>VLOOKUP(L2,'1'!$J:$K,2,FALSE)</f>
        <v>105.654</v>
      </c>
      <c r="Q2" s="17">
        <f>VLOOKUP(L2,'1'!$J:$L,3,FALSE)</f>
        <v>2.5000000000000001E-3</v>
      </c>
      <c r="R2" s="67">
        <f>IFERROR(VLOOKUP(L2,A:K,4,FALSE),"")</f>
        <v>1</v>
      </c>
      <c r="S2" s="20" t="s">
        <v>1581</v>
      </c>
    </row>
    <row r="3" spans="1:20" s="24" customFormat="1">
      <c r="A3" s="67">
        <v>128012</v>
      </c>
      <c r="B3" s="66" t="s">
        <v>1468</v>
      </c>
      <c r="C3" s="34">
        <v>2.31</v>
      </c>
      <c r="D3" s="67">
        <v>2</v>
      </c>
      <c r="E3" s="24">
        <f>VLOOKUP(A3,'1'!$J:$K,2,FALSE)</f>
        <v>99.998999999999995</v>
      </c>
      <c r="F3" s="17" t="str">
        <f>VLOOKUP(A3,'1'!$J:$L,3,FALSE)</f>
        <v>停牌</v>
      </c>
      <c r="G3" s="24">
        <v>99.27</v>
      </c>
      <c r="H3" s="24">
        <v>1.2999999999999972</v>
      </c>
      <c r="I3" s="17">
        <f t="shared" si="0"/>
        <v>2.043920620529871E-2</v>
      </c>
      <c r="J3" s="67">
        <f t="shared" ref="J3:J21" si="1">IFERROR(VLOOKUP(A3,L:O,4,FALSE),"")</f>
        <v>2</v>
      </c>
      <c r="K3" s="67"/>
      <c r="L3" s="67">
        <v>128012</v>
      </c>
      <c r="M3" s="67" t="s">
        <v>939</v>
      </c>
      <c r="N3" s="34">
        <v>1.89</v>
      </c>
      <c r="O3" s="67">
        <v>2</v>
      </c>
      <c r="P3" s="24">
        <f>VLOOKUP(L3,'1'!$J:$K,2,FALSE)</f>
        <v>99.998999999999995</v>
      </c>
      <c r="Q3" s="17" t="str">
        <f>VLOOKUP(L3,'1'!$J:$L,3,FALSE)</f>
        <v>停牌</v>
      </c>
      <c r="R3" s="67">
        <f t="shared" ref="R3:R66" si="2">IFERROR(VLOOKUP(L3,A:K,4,FALSE),"")</f>
        <v>2</v>
      </c>
    </row>
    <row r="4" spans="1:20" s="24" customFormat="1">
      <c r="A4" s="67">
        <v>127003</v>
      </c>
      <c r="B4" s="67" t="s">
        <v>1467</v>
      </c>
      <c r="C4" s="34">
        <v>2.44</v>
      </c>
      <c r="D4" s="67">
        <v>3</v>
      </c>
      <c r="E4" s="24">
        <f>VLOOKUP(A4,'1'!$J:$K,2,FALSE)</f>
        <v>110.60299999999999</v>
      </c>
      <c r="F4" s="17">
        <f>VLOOKUP(A4,'1'!$J:$L,3,FALSE)</f>
        <v>-4.4999999999999997E-3</v>
      </c>
      <c r="G4" s="24">
        <v>103.9</v>
      </c>
      <c r="I4" s="17">
        <f t="shared" si="0"/>
        <v>6.4513955726660077E-2</v>
      </c>
      <c r="J4" s="67">
        <f t="shared" si="1"/>
        <v>3</v>
      </c>
      <c r="K4" s="67"/>
      <c r="L4" s="67">
        <v>127003</v>
      </c>
      <c r="M4" s="67" t="s">
        <v>1527</v>
      </c>
      <c r="N4" s="34">
        <v>2.0246406570841891</v>
      </c>
      <c r="O4" s="67">
        <v>3</v>
      </c>
      <c r="P4" s="24">
        <f>VLOOKUP(L4,'1'!$J:$K,2,FALSE)</f>
        <v>110.60299999999999</v>
      </c>
      <c r="Q4" s="17">
        <f>VLOOKUP(L4,'1'!$J:$L,3,FALSE)</f>
        <v>-4.4999999999999997E-3</v>
      </c>
      <c r="R4" s="67">
        <f t="shared" si="2"/>
        <v>3</v>
      </c>
    </row>
    <row r="5" spans="1:20" s="24" customFormat="1">
      <c r="A5" s="67">
        <v>128013</v>
      </c>
      <c r="B5" s="67" t="s">
        <v>1466</v>
      </c>
      <c r="C5" s="34">
        <v>2.58</v>
      </c>
      <c r="D5" s="67">
        <v>4</v>
      </c>
      <c r="E5" s="24">
        <f>VLOOKUP(A5,'1'!$J:$K,2,FALSE)</f>
        <v>101.571</v>
      </c>
      <c r="F5" s="17">
        <f>VLOOKUP(A5,'1'!$J:$L,3,FALSE)</f>
        <v>1.9E-3</v>
      </c>
      <c r="G5" s="24">
        <v>96.878</v>
      </c>
      <c r="I5" s="17">
        <f t="shared" si="0"/>
        <v>4.8442370816903724E-2</v>
      </c>
      <c r="J5" s="67">
        <f t="shared" si="1"/>
        <v>4</v>
      </c>
      <c r="K5" s="67"/>
      <c r="L5" s="67">
        <v>128013</v>
      </c>
      <c r="M5" s="67" t="s">
        <v>933</v>
      </c>
      <c r="N5" s="34">
        <v>2.17</v>
      </c>
      <c r="O5" s="67">
        <v>4</v>
      </c>
      <c r="P5" s="24">
        <f>VLOOKUP(L5,'1'!$J:$K,2,FALSE)</f>
        <v>101.571</v>
      </c>
      <c r="Q5" s="17">
        <f>VLOOKUP(L5,'1'!$J:$L,3,FALSE)</f>
        <v>1.9E-3</v>
      </c>
      <c r="R5" s="67">
        <f t="shared" si="2"/>
        <v>4</v>
      </c>
    </row>
    <row r="6" spans="1:20" s="24" customFormat="1">
      <c r="A6" s="67">
        <v>113012</v>
      </c>
      <c r="B6" s="67" t="s">
        <v>1465</v>
      </c>
      <c r="C6" s="34">
        <v>3.23</v>
      </c>
      <c r="D6" s="67">
        <v>5</v>
      </c>
      <c r="E6" s="24">
        <f>VLOOKUP(A6,'1'!$J:$K,2,FALSE)</f>
        <v>103.44</v>
      </c>
      <c r="F6" s="17">
        <f>VLOOKUP(A6,'1'!$J:$L,3,FALSE)</f>
        <v>4.1999999999999997E-3</v>
      </c>
      <c r="G6" s="24">
        <v>105.95</v>
      </c>
      <c r="H6" s="24">
        <v>1</v>
      </c>
      <c r="I6" s="17">
        <f t="shared" si="0"/>
        <v>-1.4252005663048628E-2</v>
      </c>
      <c r="J6" s="67">
        <f t="shared" si="1"/>
        <v>5</v>
      </c>
      <c r="K6" s="67"/>
      <c r="L6" s="67">
        <v>113012</v>
      </c>
      <c r="M6" s="67" t="s">
        <v>1192</v>
      </c>
      <c r="N6" s="34">
        <v>2.82</v>
      </c>
      <c r="O6" s="67">
        <v>5</v>
      </c>
      <c r="P6" s="24">
        <f>VLOOKUP(L6,'1'!$J:$K,2,FALSE)</f>
        <v>103.44</v>
      </c>
      <c r="Q6" s="17">
        <f>VLOOKUP(L6,'1'!$J:$L,3,FALSE)</f>
        <v>4.1999999999999997E-3</v>
      </c>
      <c r="R6" s="67">
        <f t="shared" si="2"/>
        <v>5</v>
      </c>
    </row>
    <row r="7" spans="1:20" s="24" customFormat="1">
      <c r="A7" s="67">
        <v>128014</v>
      </c>
      <c r="B7" s="67" t="s">
        <v>1464</v>
      </c>
      <c r="C7" s="34">
        <v>3.3</v>
      </c>
      <c r="D7" s="67">
        <v>6</v>
      </c>
      <c r="E7" s="24">
        <f>VLOOKUP(A7,'1'!$J:$K,2,FALSE)</f>
        <v>103.098</v>
      </c>
      <c r="F7" s="17">
        <f>VLOOKUP(A7,'1'!$J:$L,3,FALSE)</f>
        <v>1E-3</v>
      </c>
      <c r="G7" s="24">
        <v>100.1</v>
      </c>
      <c r="H7" s="24">
        <v>1</v>
      </c>
      <c r="I7" s="17">
        <f t="shared" si="0"/>
        <v>3.9940059940059891E-2</v>
      </c>
      <c r="J7" s="67">
        <f t="shared" si="1"/>
        <v>6</v>
      </c>
      <c r="K7" s="67"/>
      <c r="L7" s="67">
        <v>128014</v>
      </c>
      <c r="M7" s="67" t="s">
        <v>936</v>
      </c>
      <c r="N7" s="34">
        <v>2.88</v>
      </c>
      <c r="O7" s="67">
        <v>6</v>
      </c>
      <c r="P7" s="24">
        <f>VLOOKUP(L7,'1'!$J:$K,2,FALSE)</f>
        <v>103.098</v>
      </c>
      <c r="Q7" s="17">
        <f>VLOOKUP(L7,'1'!$J:$L,3,FALSE)</f>
        <v>1E-3</v>
      </c>
      <c r="R7" s="67">
        <f t="shared" si="2"/>
        <v>6</v>
      </c>
    </row>
    <row r="8" spans="1:20" s="24" customFormat="1">
      <c r="A8" s="67">
        <v>127004</v>
      </c>
      <c r="B8" s="67" t="s">
        <v>1463</v>
      </c>
      <c r="C8" s="34">
        <v>3.42</v>
      </c>
      <c r="D8" s="67">
        <v>7</v>
      </c>
      <c r="E8" s="24">
        <f>VLOOKUP(A8,'1'!$J:$K,2,FALSE)</f>
        <v>215</v>
      </c>
      <c r="F8" s="17">
        <f>VLOOKUP(A8,'1'!$J:$L,3,FALSE)</f>
        <v>-5.7000000000000002E-2</v>
      </c>
      <c r="G8" s="24">
        <v>95.459000000000003</v>
      </c>
      <c r="I8" s="17">
        <f t="shared" si="0"/>
        <v>1.2522758461747974</v>
      </c>
      <c r="J8" s="67" t="str">
        <f t="shared" si="1"/>
        <v/>
      </c>
      <c r="K8" s="67"/>
      <c r="L8" s="67">
        <v>128015</v>
      </c>
      <c r="M8" s="67" t="s">
        <v>1526</v>
      </c>
      <c r="N8" s="34">
        <v>3.0246406570841891</v>
      </c>
      <c r="O8" s="67">
        <v>7</v>
      </c>
      <c r="P8" s="24">
        <f>VLOOKUP(L8,'1'!$J:$K,2,FALSE)</f>
        <v>102.21</v>
      </c>
      <c r="Q8" s="17">
        <f>VLOOKUP(L8,'1'!$J:$L,3,FALSE)</f>
        <v>5.4999999999999997E-3</v>
      </c>
      <c r="R8" s="67">
        <f t="shared" si="2"/>
        <v>8</v>
      </c>
    </row>
    <row r="9" spans="1:20" s="24" customFormat="1">
      <c r="A9" s="67">
        <v>128015</v>
      </c>
      <c r="B9" s="67" t="s">
        <v>1462</v>
      </c>
      <c r="C9" s="34">
        <v>3.44</v>
      </c>
      <c r="D9" s="67">
        <v>8</v>
      </c>
      <c r="E9" s="24">
        <f>VLOOKUP(A9,'1'!$J:$K,2,FALSE)</f>
        <v>102.21</v>
      </c>
      <c r="F9" s="17">
        <f>VLOOKUP(A9,'1'!$J:$L,3,FALSE)</f>
        <v>5.4999999999999997E-3</v>
      </c>
      <c r="G9" s="24">
        <v>98.864999999999995</v>
      </c>
      <c r="I9" s="17">
        <f t="shared" si="0"/>
        <v>3.3834016082536778E-2</v>
      </c>
      <c r="J9" s="67">
        <f t="shared" si="1"/>
        <v>7</v>
      </c>
      <c r="K9" s="67"/>
      <c r="L9" s="67">
        <v>113014</v>
      </c>
      <c r="M9" s="67" t="s">
        <v>977</v>
      </c>
      <c r="N9" s="34">
        <v>3.41</v>
      </c>
      <c r="O9" s="67">
        <v>8</v>
      </c>
      <c r="P9" s="24">
        <f>VLOOKUP(L9,'1'!$J:$K,2,FALSE)</f>
        <v>102.6</v>
      </c>
      <c r="Q9" s="17">
        <f>VLOOKUP(L9,'1'!$J:$L,3,FALSE)</f>
        <v>3.8999999999999998E-3</v>
      </c>
      <c r="R9" s="67">
        <f t="shared" si="2"/>
        <v>9</v>
      </c>
    </row>
    <row r="10" spans="1:20" s="24" customFormat="1">
      <c r="A10" s="67">
        <v>113014</v>
      </c>
      <c r="B10" s="67" t="s">
        <v>1461</v>
      </c>
      <c r="C10" s="34">
        <v>3.83</v>
      </c>
      <c r="D10" s="67">
        <v>9</v>
      </c>
      <c r="E10" s="24">
        <f>VLOOKUP(A10,'1'!$J:$K,2,FALSE)</f>
        <v>102.6</v>
      </c>
      <c r="F10" s="17">
        <f>VLOOKUP(A10,'1'!$J:$L,3,FALSE)</f>
        <v>3.8999999999999998E-3</v>
      </c>
      <c r="G10" s="24">
        <v>101.8</v>
      </c>
      <c r="I10" s="17">
        <f t="shared" si="0"/>
        <v>7.8585461689586467E-3</v>
      </c>
      <c r="J10" s="67">
        <f t="shared" si="1"/>
        <v>8</v>
      </c>
      <c r="K10" s="67"/>
      <c r="L10" s="67">
        <v>128018</v>
      </c>
      <c r="M10" s="67" t="s">
        <v>1037</v>
      </c>
      <c r="N10" s="34">
        <v>3.44</v>
      </c>
      <c r="O10" s="67">
        <v>9</v>
      </c>
      <c r="P10" s="24">
        <f>VLOOKUP(L10,'1'!$J:$K,2,FALSE)</f>
        <v>100.2</v>
      </c>
      <c r="Q10" s="17">
        <f>VLOOKUP(L10,'1'!$J:$L,3,FALSE)</f>
        <v>3.0999999999999999E-3</v>
      </c>
      <c r="R10" s="67">
        <f t="shared" si="2"/>
        <v>10</v>
      </c>
    </row>
    <row r="11" spans="1:20" s="24" customFormat="1">
      <c r="A11" s="67">
        <v>128018</v>
      </c>
      <c r="B11" s="67" t="s">
        <v>1459</v>
      </c>
      <c r="C11" s="34">
        <v>3.85</v>
      </c>
      <c r="D11" s="67">
        <v>10</v>
      </c>
      <c r="E11" s="24">
        <f>VLOOKUP(A11,'1'!$J:$K,2,FALSE)</f>
        <v>100.2</v>
      </c>
      <c r="F11" s="17">
        <f>VLOOKUP(A11,'1'!$J:$L,3,FALSE)</f>
        <v>3.0999999999999999E-3</v>
      </c>
      <c r="G11" s="24">
        <v>99.2</v>
      </c>
      <c r="I11" s="17">
        <f t="shared" si="0"/>
        <v>1.0080645161290258E-2</v>
      </c>
      <c r="J11" s="67">
        <f t="shared" si="1"/>
        <v>9</v>
      </c>
      <c r="K11" s="103">
        <f>AVERAGE(I2:I11)</f>
        <v>0.14845895791188043</v>
      </c>
      <c r="L11" s="67">
        <v>113016</v>
      </c>
      <c r="M11" s="67" t="s">
        <v>975</v>
      </c>
      <c r="N11" s="34">
        <v>3.44</v>
      </c>
      <c r="O11" s="67">
        <v>10</v>
      </c>
      <c r="P11" s="24">
        <f>VLOOKUP(L11,'1'!$J:$K,2,FALSE)</f>
        <v>98.56</v>
      </c>
      <c r="Q11" s="17">
        <f>VLOOKUP(L11,'1'!$J:$L,3,FALSE)</f>
        <v>1.0800000000000001E-2</v>
      </c>
      <c r="R11" s="67">
        <f t="shared" si="2"/>
        <v>11</v>
      </c>
    </row>
    <row r="12" spans="1:20" s="24" customFormat="1">
      <c r="A12" s="67">
        <v>113016</v>
      </c>
      <c r="B12" s="67" t="s">
        <v>1460</v>
      </c>
      <c r="C12" s="34">
        <v>3.85</v>
      </c>
      <c r="D12" s="67">
        <v>11</v>
      </c>
      <c r="E12" s="24">
        <f>VLOOKUP(A12,'1'!$J:$K,2,FALSE)</f>
        <v>98.56</v>
      </c>
      <c r="F12" s="17">
        <f>VLOOKUP(A12,'1'!$J:$L,3,FALSE)</f>
        <v>1.0800000000000001E-2</v>
      </c>
      <c r="G12" s="24">
        <v>99.5</v>
      </c>
      <c r="I12" s="17">
        <f t="shared" si="0"/>
        <v>-9.4472361809044836E-3</v>
      </c>
      <c r="J12" s="67">
        <f t="shared" si="1"/>
        <v>10</v>
      </c>
      <c r="K12" s="67"/>
      <c r="L12" s="67">
        <v>113502</v>
      </c>
      <c r="M12" s="67" t="s">
        <v>1525</v>
      </c>
      <c r="N12" s="34">
        <v>3.45</v>
      </c>
      <c r="O12" s="67">
        <v>11</v>
      </c>
      <c r="P12" s="24">
        <f>VLOOKUP(L12,'1'!$J:$K,2,FALSE)</f>
        <v>103.8</v>
      </c>
      <c r="Q12" s="17">
        <f>VLOOKUP(L12,'1'!$J:$L,3,FALSE)</f>
        <v>1.29E-2</v>
      </c>
      <c r="R12" s="67">
        <f t="shared" si="2"/>
        <v>12</v>
      </c>
    </row>
    <row r="13" spans="1:20" s="24" customFormat="1">
      <c r="A13" s="67">
        <v>113502</v>
      </c>
      <c r="B13" s="67" t="s">
        <v>1458</v>
      </c>
      <c r="C13" s="34">
        <v>3.86</v>
      </c>
      <c r="D13" s="67">
        <v>12</v>
      </c>
      <c r="E13" s="24">
        <f>VLOOKUP(A13,'1'!$J:$K,2,FALSE)</f>
        <v>103.8</v>
      </c>
      <c r="F13" s="17">
        <f>VLOOKUP(A13,'1'!$J:$L,3,FALSE)</f>
        <v>1.29E-2</v>
      </c>
      <c r="G13" s="24">
        <v>99.2</v>
      </c>
      <c r="I13" s="17">
        <f t="shared" si="0"/>
        <v>4.6370967741935498E-2</v>
      </c>
      <c r="J13" s="67">
        <f t="shared" si="1"/>
        <v>11</v>
      </c>
      <c r="K13" s="67"/>
      <c r="L13" s="67">
        <v>128025</v>
      </c>
      <c r="M13" s="67" t="s">
        <v>1524</v>
      </c>
      <c r="N13" s="34">
        <v>3.52</v>
      </c>
      <c r="O13" s="67">
        <v>12</v>
      </c>
      <c r="P13" s="24">
        <f>VLOOKUP(L13,'1'!$J:$K,2,FALSE)</f>
        <v>106.881</v>
      </c>
      <c r="Q13" s="17">
        <f>VLOOKUP(L13,'1'!$J:$L,3,FALSE)</f>
        <v>7.4000000000000003E-3</v>
      </c>
      <c r="R13" s="67" t="str">
        <f t="shared" si="2"/>
        <v/>
      </c>
      <c r="S13" s="17"/>
    </row>
    <row r="14" spans="1:20" s="24" customFormat="1">
      <c r="A14" s="67">
        <v>128022</v>
      </c>
      <c r="B14" s="67" t="s">
        <v>1457</v>
      </c>
      <c r="C14" s="34">
        <v>3.92</v>
      </c>
      <c r="D14" s="67">
        <v>13</v>
      </c>
      <c r="E14" s="24">
        <f>VLOOKUP(A14,'1'!$J:$K,2,FALSE)</f>
        <v>108.46</v>
      </c>
      <c r="F14" s="17">
        <f>VLOOKUP(A14,'1'!$J:$L,3,FALSE)</f>
        <v>3.2000000000000001E-2</v>
      </c>
      <c r="G14" s="24">
        <v>105.02200000000001</v>
      </c>
      <c r="I14" s="17">
        <f t="shared" si="0"/>
        <v>3.2735998171811609E-2</v>
      </c>
      <c r="J14" s="67" t="str">
        <f t="shared" si="1"/>
        <v/>
      </c>
      <c r="K14" s="67"/>
      <c r="L14" s="67">
        <v>128023</v>
      </c>
      <c r="M14" s="67" t="s">
        <v>932</v>
      </c>
      <c r="N14" s="34">
        <v>3.52</v>
      </c>
      <c r="O14" s="67">
        <v>13</v>
      </c>
      <c r="P14" s="24">
        <f>VLOOKUP(L14,'1'!$J:$K,2,FALSE)</f>
        <v>99</v>
      </c>
      <c r="Q14" s="17">
        <f>VLOOKUP(L14,'1'!$J:$L,3,FALSE)</f>
        <v>1.6400000000000001E-2</v>
      </c>
      <c r="R14" s="67">
        <f t="shared" si="2"/>
        <v>13</v>
      </c>
    </row>
    <row r="15" spans="1:20" s="24" customFormat="1">
      <c r="A15" s="67">
        <v>128023</v>
      </c>
      <c r="B15" s="67" t="s">
        <v>1456</v>
      </c>
      <c r="C15" s="34">
        <v>3.93</v>
      </c>
      <c r="D15" s="67">
        <v>13</v>
      </c>
      <c r="E15" s="24">
        <f>VLOOKUP(A15,'1'!$J:$K,2,FALSE)</f>
        <v>99</v>
      </c>
      <c r="F15" s="17">
        <f>VLOOKUP(A15,'1'!$J:$L,3,FALSE)</f>
        <v>1.6400000000000001E-2</v>
      </c>
      <c r="G15" s="24">
        <v>94.052000000000007</v>
      </c>
      <c r="I15" s="17">
        <f t="shared" si="0"/>
        <v>5.2609194913451951E-2</v>
      </c>
      <c r="J15" s="67">
        <f t="shared" si="1"/>
        <v>13</v>
      </c>
      <c r="K15" s="67"/>
      <c r="L15" s="67">
        <v>128026</v>
      </c>
      <c r="M15" s="67" t="s">
        <v>930</v>
      </c>
      <c r="N15" s="34">
        <v>3.54</v>
      </c>
      <c r="O15" s="67">
        <v>14</v>
      </c>
      <c r="P15" s="24">
        <f>VLOOKUP(L15,'1'!$J:$K,2,FALSE)</f>
        <v>101.19</v>
      </c>
      <c r="Q15" s="17">
        <f>VLOOKUP(L15,'1'!$J:$L,3,FALSE)</f>
        <v>1.9E-3</v>
      </c>
      <c r="R15" s="67">
        <f t="shared" si="2"/>
        <v>15</v>
      </c>
    </row>
    <row r="16" spans="1:20" s="24" customFormat="1">
      <c r="A16" s="67">
        <v>128026</v>
      </c>
      <c r="B16" s="67" t="s">
        <v>1455</v>
      </c>
      <c r="C16" s="34">
        <v>3.96</v>
      </c>
      <c r="D16" s="67">
        <v>15</v>
      </c>
      <c r="E16" s="24">
        <f>VLOOKUP(A16,'1'!$J:$K,2,FALSE)</f>
        <v>101.19</v>
      </c>
      <c r="F16" s="17">
        <f>VLOOKUP(A16,'1'!$J:$L,3,FALSE)</f>
        <v>1.9E-3</v>
      </c>
      <c r="G16" s="24">
        <v>93.027000000000001</v>
      </c>
      <c r="I16" s="17">
        <f t="shared" si="0"/>
        <v>8.7748718114095903E-2</v>
      </c>
      <c r="J16" s="67">
        <f t="shared" si="1"/>
        <v>14</v>
      </c>
      <c r="K16" s="67"/>
      <c r="L16" s="67">
        <v>123004</v>
      </c>
      <c r="M16" s="67" t="s">
        <v>1105</v>
      </c>
      <c r="N16" s="34">
        <v>3.55</v>
      </c>
      <c r="O16" s="67">
        <v>15</v>
      </c>
      <c r="P16" s="24">
        <f>VLOOKUP(L16,'1'!$J:$K,2,FALSE)</f>
        <v>100.61</v>
      </c>
      <c r="Q16" s="17">
        <f>VLOOKUP(L16,'1'!$J:$L,3,FALSE)</f>
        <v>4.5999999999999999E-3</v>
      </c>
      <c r="R16" s="67">
        <f t="shared" si="2"/>
        <v>15</v>
      </c>
      <c r="T16" s="17"/>
    </row>
    <row r="17" spans="1:19" s="24" customFormat="1">
      <c r="A17" s="67">
        <v>123004</v>
      </c>
      <c r="B17" s="67" t="s">
        <v>1454</v>
      </c>
      <c r="C17" s="34">
        <v>3.97</v>
      </c>
      <c r="D17" s="67">
        <v>15</v>
      </c>
      <c r="E17" s="24">
        <f>VLOOKUP(A17,'1'!$J:$K,2,FALSE)</f>
        <v>100.61</v>
      </c>
      <c r="F17" s="17">
        <f>VLOOKUP(A17,'1'!$J:$L,3,FALSE)</f>
        <v>4.5999999999999999E-3</v>
      </c>
      <c r="G17" s="24">
        <v>101.001</v>
      </c>
      <c r="I17" s="17">
        <f t="shared" si="0"/>
        <v>-3.8712487995168354E-3</v>
      </c>
      <c r="J17" s="67">
        <f t="shared" si="1"/>
        <v>15</v>
      </c>
      <c r="K17" s="67"/>
      <c r="L17" s="67">
        <v>128032</v>
      </c>
      <c r="M17" s="67" t="s">
        <v>940</v>
      </c>
      <c r="N17" s="34">
        <v>3.57</v>
      </c>
      <c r="O17" s="67">
        <v>16</v>
      </c>
      <c r="P17" s="24">
        <f>VLOOKUP(L17,'1'!$J:$K,2,FALSE)</f>
        <v>99.885000000000005</v>
      </c>
      <c r="Q17" s="17">
        <f>VLOOKUP(L17,'1'!$J:$L,3,FALSE)</f>
        <v>7.0000000000000001E-3</v>
      </c>
      <c r="R17" s="67">
        <f t="shared" si="2"/>
        <v>19</v>
      </c>
    </row>
    <row r="18" spans="1:19" s="24" customFormat="1">
      <c r="A18" s="67">
        <v>128033</v>
      </c>
      <c r="B18" s="67" t="s">
        <v>1451</v>
      </c>
      <c r="C18" s="34">
        <v>3.99</v>
      </c>
      <c r="D18" s="67">
        <v>17</v>
      </c>
      <c r="E18" s="24">
        <f>VLOOKUP(A18,'1'!$J:$K,2,FALSE)</f>
        <v>100.56</v>
      </c>
      <c r="F18" s="17">
        <f>VLOOKUP(A18,'1'!$J:$L,3,FALSE)</f>
        <v>1.6000000000000001E-3</v>
      </c>
      <c r="G18" s="24">
        <v>103.5</v>
      </c>
      <c r="I18" s="17">
        <f t="shared" si="0"/>
        <v>-2.8405797101449304E-2</v>
      </c>
      <c r="J18" s="67">
        <f t="shared" si="1"/>
        <v>18</v>
      </c>
      <c r="K18" s="67"/>
      <c r="L18" s="67">
        <v>123007</v>
      </c>
      <c r="M18" s="67" t="s">
        <v>1523</v>
      </c>
      <c r="N18" s="34">
        <v>3.58</v>
      </c>
      <c r="O18" s="67">
        <v>17</v>
      </c>
      <c r="P18" s="24">
        <f>VLOOKUP(L18,'1'!$J:$K,2,FALSE)</f>
        <v>106.97</v>
      </c>
      <c r="Q18" s="17">
        <f>VLOOKUP(L18,'1'!$J:$L,3,FALSE)</f>
        <v>7.1999999999999998E-3</v>
      </c>
      <c r="R18" s="67" t="str">
        <f t="shared" si="2"/>
        <v/>
      </c>
    </row>
    <row r="19" spans="1:19" s="24" customFormat="1">
      <c r="A19" s="67">
        <v>113017</v>
      </c>
      <c r="B19" s="67" t="s">
        <v>1452</v>
      </c>
      <c r="C19" s="34">
        <v>3.99</v>
      </c>
      <c r="D19" s="67">
        <v>17</v>
      </c>
      <c r="E19" s="24">
        <f>VLOOKUP(A19,'1'!$J:$K,2,FALSE)</f>
        <v>102.8</v>
      </c>
      <c r="F19" s="17">
        <f>VLOOKUP(A19,'1'!$J:$L,3,FALSE)</f>
        <v>1.09E-2</v>
      </c>
      <c r="G19" s="24">
        <v>100.27</v>
      </c>
      <c r="I19" s="17">
        <f t="shared" si="0"/>
        <v>2.5231873940360972E-2</v>
      </c>
      <c r="J19" s="67">
        <f t="shared" si="1"/>
        <v>19</v>
      </c>
      <c r="K19" s="67"/>
      <c r="L19" s="67">
        <v>128033</v>
      </c>
      <c r="M19" s="67" t="s">
        <v>974</v>
      </c>
      <c r="N19" s="34">
        <v>3.58</v>
      </c>
      <c r="O19" s="67">
        <v>18</v>
      </c>
      <c r="P19" s="24">
        <f>VLOOKUP(L19,'1'!$J:$K,2,FALSE)</f>
        <v>100.56</v>
      </c>
      <c r="Q19" s="17">
        <f>VLOOKUP(L19,'1'!$J:$L,3,FALSE)</f>
        <v>1.6000000000000001E-3</v>
      </c>
      <c r="R19" s="67">
        <f t="shared" si="2"/>
        <v>17</v>
      </c>
    </row>
    <row r="20" spans="1:19" s="24" customFormat="1">
      <c r="A20" s="67">
        <v>128032</v>
      </c>
      <c r="B20" s="67" t="s">
        <v>1453</v>
      </c>
      <c r="C20" s="34">
        <v>3.99</v>
      </c>
      <c r="D20" s="67">
        <v>19</v>
      </c>
      <c r="E20" s="24">
        <f>VLOOKUP(A20,'1'!$J:$K,2,FALSE)</f>
        <v>99.885000000000005</v>
      </c>
      <c r="F20" s="17">
        <f>VLOOKUP(A20,'1'!$J:$L,3,FALSE)</f>
        <v>7.0000000000000001E-3</v>
      </c>
      <c r="G20" s="24">
        <v>100.5</v>
      </c>
      <c r="I20" s="17">
        <f>(E20+H20)/G20-1</f>
        <v>-6.119402985074629E-3</v>
      </c>
      <c r="J20" s="67">
        <f t="shared" si="1"/>
        <v>16</v>
      </c>
      <c r="K20" s="67"/>
      <c r="L20" s="67">
        <v>113017</v>
      </c>
      <c r="M20" s="67" t="s">
        <v>972</v>
      </c>
      <c r="N20" s="34">
        <v>3.58</v>
      </c>
      <c r="O20" s="67">
        <v>19</v>
      </c>
      <c r="P20" s="24">
        <f>VLOOKUP(L20,'1'!$J:$K,2,FALSE)</f>
        <v>102.8</v>
      </c>
      <c r="Q20" s="17">
        <f>VLOOKUP(L20,'1'!$J:$L,3,FALSE)</f>
        <v>1.09E-2</v>
      </c>
      <c r="R20" s="67">
        <f t="shared" si="2"/>
        <v>17</v>
      </c>
    </row>
    <row r="21" spans="1:19">
      <c r="A21" s="67">
        <v>113505</v>
      </c>
      <c r="B21" s="67" t="s">
        <v>1450</v>
      </c>
      <c r="C21" s="34">
        <v>4.18</v>
      </c>
      <c r="D21" s="67">
        <v>19</v>
      </c>
      <c r="E21" s="24">
        <f>VLOOKUP(A21,'1'!$J:$K,2,FALSE)</f>
        <v>105.69</v>
      </c>
      <c r="F21" s="17">
        <f>VLOOKUP(A21,'1'!$J:$L,3,FALSE)</f>
        <v>1.15E-2</v>
      </c>
      <c r="G21" s="24">
        <v>102.83</v>
      </c>
      <c r="H21" s="24">
        <v>0.5</v>
      </c>
      <c r="I21" s="17">
        <f t="shared" si="0"/>
        <v>3.2675289312457556E-2</v>
      </c>
      <c r="J21" s="67">
        <f t="shared" si="1"/>
        <v>23</v>
      </c>
      <c r="K21" s="103">
        <f>AVERAGE(I11:I21)</f>
        <v>2.1782636571678046E-2</v>
      </c>
      <c r="L21" s="67">
        <v>128034</v>
      </c>
      <c r="M21" s="67" t="s">
        <v>1210</v>
      </c>
      <c r="N21" s="34">
        <v>3.66</v>
      </c>
      <c r="O21" s="67">
        <v>20</v>
      </c>
      <c r="P21" s="24">
        <f>VLOOKUP(L21,'1'!$J:$K,2,FALSE)</f>
        <v>105.834</v>
      </c>
      <c r="Q21" s="17">
        <f>VLOOKUP(L21,'1'!$J:$L,3,FALSE)</f>
        <v>2.0999999999999999E-3</v>
      </c>
      <c r="R21" s="67" t="str">
        <f t="shared" si="2"/>
        <v/>
      </c>
      <c r="S21" s="103">
        <f>AVERAGE(Q2:Q21)</f>
        <v>5.2842105263157897E-3</v>
      </c>
    </row>
    <row r="22" spans="1:19">
      <c r="B22" s="67" t="s">
        <v>179</v>
      </c>
      <c r="C22" s="24">
        <f>AVERAGE(C2:C21)</f>
        <v>3.505148528405202</v>
      </c>
      <c r="E22" s="24">
        <f>AVERAGE(E2:E21)</f>
        <v>108.2465</v>
      </c>
      <c r="F22" s="17">
        <f>AVERAGE(F2:F21)</f>
        <v>3.6947368421052624E-3</v>
      </c>
      <c r="G22" s="24">
        <f>AVERAGE(G2:G21)</f>
        <v>100.26624999999999</v>
      </c>
      <c r="H22" s="24"/>
      <c r="I22" s="17">
        <f>AVERAGE(I2:I21)</f>
        <v>8.5705896812298621E-2</v>
      </c>
      <c r="K22" s="103"/>
      <c r="L22" s="67">
        <v>110043</v>
      </c>
      <c r="M22" s="67" t="s">
        <v>1140</v>
      </c>
      <c r="N22" s="34">
        <v>3.67</v>
      </c>
      <c r="O22" s="67">
        <v>21</v>
      </c>
      <c r="P22" s="24">
        <f>VLOOKUP(L22,'1'!$J:$K,2,FALSE)</f>
        <v>106.36</v>
      </c>
      <c r="Q22" s="17">
        <f>VLOOKUP(L22,'1'!$J:$L,3,FALSE)</f>
        <v>5.7999999999999996E-3</v>
      </c>
      <c r="R22" s="67" t="str">
        <f t="shared" si="2"/>
        <v/>
      </c>
    </row>
    <row r="23" spans="1:19">
      <c r="L23" s="67">
        <v>128035</v>
      </c>
      <c r="M23" s="67" t="s">
        <v>1522</v>
      </c>
      <c r="N23" s="34">
        <v>3.69</v>
      </c>
      <c r="O23" s="67">
        <v>22</v>
      </c>
      <c r="P23" s="24">
        <f>VLOOKUP(L23,'1'!$J:$K,2,FALSE)</f>
        <v>105.803</v>
      </c>
      <c r="Q23" s="17">
        <f>VLOOKUP(L23,'1'!$J:$L,3,FALSE)</f>
        <v>6.7000000000000002E-3</v>
      </c>
      <c r="R23" s="67" t="str">
        <f t="shared" si="2"/>
        <v/>
      </c>
    </row>
    <row r="24" spans="1:19">
      <c r="A24" s="66" t="s">
        <v>1582</v>
      </c>
      <c r="L24" s="67">
        <v>113505</v>
      </c>
      <c r="M24" s="67" t="s">
        <v>1139</v>
      </c>
      <c r="N24" s="34">
        <v>3.77</v>
      </c>
      <c r="O24" s="67">
        <v>23</v>
      </c>
      <c r="P24" s="24">
        <f>VLOOKUP(L24,'1'!$J:$K,2,FALSE)</f>
        <v>105.69</v>
      </c>
      <c r="Q24" s="17">
        <f>VLOOKUP(L24,'1'!$J:$L,3,FALSE)</f>
        <v>1.15E-2</v>
      </c>
      <c r="R24" s="67">
        <f t="shared" si="2"/>
        <v>19</v>
      </c>
    </row>
    <row r="25" spans="1:19">
      <c r="A25" s="66"/>
      <c r="L25" s="67">
        <v>128037</v>
      </c>
      <c r="M25" s="67" t="s">
        <v>937</v>
      </c>
      <c r="N25" s="34">
        <v>3.79</v>
      </c>
      <c r="O25" s="67">
        <v>24</v>
      </c>
      <c r="P25" s="24">
        <f>VLOOKUP(L25,'1'!$J:$K,2,FALSE)</f>
        <v>100.199</v>
      </c>
      <c r="Q25" s="17">
        <f>VLOOKUP(L25,'1'!$J:$L,3,FALSE)</f>
        <v>7.6E-3</v>
      </c>
      <c r="R25" s="67" t="str">
        <f t="shared" si="2"/>
        <v/>
      </c>
    </row>
    <row r="26" spans="1:19">
      <c r="F26" s="112"/>
      <c r="G26" s="152"/>
      <c r="I26" s="66"/>
      <c r="L26" s="67">
        <v>127006</v>
      </c>
      <c r="M26" s="67" t="s">
        <v>1193</v>
      </c>
      <c r="N26" s="34">
        <v>3.79</v>
      </c>
      <c r="O26" s="67">
        <v>25</v>
      </c>
      <c r="P26" s="24">
        <f>VLOOKUP(L26,'1'!$J:$K,2,FALSE)</f>
        <v>103.79</v>
      </c>
      <c r="Q26" s="17">
        <f>VLOOKUP(L26,'1'!$J:$L,3,FALSE)</f>
        <v>3.7000000000000002E-3</v>
      </c>
      <c r="R26" s="67" t="str">
        <f t="shared" si="2"/>
        <v/>
      </c>
    </row>
    <row r="27" spans="1:19">
      <c r="E27" s="24"/>
      <c r="G27" s="115"/>
      <c r="I27" s="17"/>
      <c r="L27" s="67">
        <v>123024</v>
      </c>
      <c r="M27" s="67" t="s">
        <v>1512</v>
      </c>
      <c r="N27" s="34">
        <v>3.81</v>
      </c>
      <c r="O27" s="67">
        <v>26</v>
      </c>
      <c r="P27" s="24">
        <f>VLOOKUP(L27,'1'!$J:$K,2,FALSE)</f>
        <v>103.6</v>
      </c>
      <c r="Q27" s="17">
        <f>VLOOKUP(L27,'1'!$J:$L,3,FALSE)</f>
        <v>-1.9E-3</v>
      </c>
      <c r="R27" s="67" t="str">
        <f t="shared" si="2"/>
        <v/>
      </c>
    </row>
    <row r="28" spans="1:19">
      <c r="E28" s="24"/>
      <c r="G28" s="115"/>
      <c r="I28" s="17"/>
      <c r="L28" s="67">
        <v>113508</v>
      </c>
      <c r="M28" s="67" t="s">
        <v>941</v>
      </c>
      <c r="N28" s="34">
        <v>3.91</v>
      </c>
      <c r="O28" s="67">
        <v>27</v>
      </c>
      <c r="P28" s="24">
        <f>VLOOKUP(L28,'1'!$J:$K,2,FALSE)</f>
        <v>103.35</v>
      </c>
      <c r="Q28" s="17">
        <f>VLOOKUP(L28,'1'!$J:$L,3,FALSE)</f>
        <v>5.4000000000000003E-3</v>
      </c>
      <c r="R28" s="67" t="str">
        <f t="shared" si="2"/>
        <v/>
      </c>
    </row>
    <row r="29" spans="1:19">
      <c r="E29" s="24"/>
      <c r="G29" s="115"/>
      <c r="I29" s="17"/>
      <c r="L29" s="67">
        <v>113535</v>
      </c>
      <c r="M29" s="67" t="s">
        <v>931</v>
      </c>
      <c r="N29" s="34">
        <v>3.94</v>
      </c>
      <c r="O29" s="67">
        <v>28</v>
      </c>
      <c r="P29" s="24">
        <f>VLOOKUP(L29,'1'!$J:$K,2,FALSE)</f>
        <v>101.43</v>
      </c>
      <c r="Q29" s="17">
        <f>VLOOKUP(L29,'1'!$J:$L,3,FALSE)</f>
        <v>9.1999999999999998E-3</v>
      </c>
      <c r="R29" s="67" t="str">
        <f t="shared" si="2"/>
        <v/>
      </c>
    </row>
    <row r="30" spans="1:19">
      <c r="E30" s="24"/>
      <c r="G30" s="115"/>
      <c r="I30" s="17"/>
      <c r="L30" s="67">
        <v>123010</v>
      </c>
      <c r="M30" s="67" t="s">
        <v>1521</v>
      </c>
      <c r="N30" s="34">
        <v>4.0985626283367553</v>
      </c>
      <c r="O30" s="67">
        <v>29</v>
      </c>
      <c r="P30" s="24">
        <f>VLOOKUP(L30,'1'!$J:$K,2,FALSE)</f>
        <v>108.78</v>
      </c>
      <c r="Q30" s="17">
        <f>VLOOKUP(L30,'1'!$J:$L,3,FALSE)</f>
        <v>2.5999999999999999E-3</v>
      </c>
      <c r="R30" s="67" t="str">
        <f t="shared" si="2"/>
        <v/>
      </c>
    </row>
    <row r="31" spans="1:19">
      <c r="E31" s="24"/>
      <c r="G31" s="115"/>
      <c r="I31" s="17"/>
      <c r="L31" s="67">
        <v>110045</v>
      </c>
      <c r="M31" s="67" t="s">
        <v>1520</v>
      </c>
      <c r="N31" s="34">
        <v>4.1204654346338128</v>
      </c>
      <c r="O31" s="67">
        <v>30</v>
      </c>
      <c r="P31" s="24">
        <f>VLOOKUP(L31,'1'!$J:$K,2,FALSE)</f>
        <v>99.8</v>
      </c>
      <c r="Q31" s="17">
        <f>VLOOKUP(L31,'1'!$J:$L,3,FALSE)</f>
        <v>8.9999999999999998E-4</v>
      </c>
      <c r="R31" s="67" t="str">
        <f t="shared" si="2"/>
        <v/>
      </c>
    </row>
    <row r="32" spans="1:19">
      <c r="E32" s="24"/>
      <c r="G32" s="115"/>
      <c r="I32" s="17"/>
      <c r="L32" s="67">
        <v>123011</v>
      </c>
      <c r="M32" s="67" t="s">
        <v>968</v>
      </c>
      <c r="N32" s="34">
        <v>4.1341546885694731</v>
      </c>
      <c r="O32" s="67">
        <v>31</v>
      </c>
      <c r="P32" s="24">
        <f>VLOOKUP(L32,'1'!$J:$K,2,FALSE)</f>
        <v>102.752</v>
      </c>
      <c r="Q32" s="17">
        <f>VLOOKUP(L32,'1'!$J:$L,3,FALSE)</f>
        <v>5.4000000000000003E-3</v>
      </c>
      <c r="R32" s="67" t="str">
        <f t="shared" si="2"/>
        <v/>
      </c>
    </row>
    <row r="33" spans="5:18">
      <c r="E33" s="24"/>
      <c r="G33" s="115"/>
      <c r="I33" s="17"/>
      <c r="L33" s="67">
        <v>128042</v>
      </c>
      <c r="M33" s="67" t="s">
        <v>1519</v>
      </c>
      <c r="N33" s="34">
        <v>4.17</v>
      </c>
      <c r="O33" s="67">
        <v>32</v>
      </c>
      <c r="P33" s="24">
        <f>VLOOKUP(L33,'1'!$J:$K,2,FALSE)</f>
        <v>108.3</v>
      </c>
      <c r="Q33" s="17">
        <f>VLOOKUP(L33,'1'!$J:$L,3,FALSE)</f>
        <v>2.2700000000000001E-2</v>
      </c>
      <c r="R33" s="67" t="str">
        <f t="shared" si="2"/>
        <v/>
      </c>
    </row>
    <row r="34" spans="5:18">
      <c r="E34" s="24"/>
      <c r="G34" s="115"/>
      <c r="I34" s="17"/>
      <c r="L34" s="67">
        <v>113516</v>
      </c>
      <c r="M34" s="67" t="s">
        <v>1064</v>
      </c>
      <c r="N34" s="34">
        <v>4.18</v>
      </c>
      <c r="O34" s="67">
        <v>33</v>
      </c>
      <c r="P34" s="24">
        <f>VLOOKUP(L34,'1'!$J:$K,2,FALSE)</f>
        <v>104.38</v>
      </c>
      <c r="Q34" s="17">
        <f>VLOOKUP(L34,'1'!$J:$L,3,FALSE)</f>
        <v>-2.0000000000000001E-4</v>
      </c>
      <c r="R34" s="67" t="str">
        <f t="shared" si="2"/>
        <v/>
      </c>
    </row>
    <row r="35" spans="5:18">
      <c r="E35" s="24"/>
      <c r="G35" s="115"/>
      <c r="I35" s="17"/>
      <c r="L35" s="67">
        <v>128044</v>
      </c>
      <c r="M35" s="67" t="s">
        <v>1085</v>
      </c>
      <c r="N35" s="34">
        <v>4.21</v>
      </c>
      <c r="O35" s="67">
        <v>34</v>
      </c>
      <c r="P35" s="24">
        <f>VLOOKUP(L35,'1'!$J:$K,2,FALSE)</f>
        <v>105.801</v>
      </c>
      <c r="Q35" s="17">
        <f>VLOOKUP(L35,'1'!$J:$L,3,FALSE)</f>
        <v>1.4E-3</v>
      </c>
      <c r="R35" s="67" t="str">
        <f t="shared" si="2"/>
        <v/>
      </c>
    </row>
    <row r="36" spans="5:18">
      <c r="E36" s="24"/>
      <c r="G36" s="115"/>
      <c r="I36" s="17"/>
      <c r="K36" s="103"/>
      <c r="L36" s="67">
        <v>128073</v>
      </c>
      <c r="M36" s="67" t="s">
        <v>1503</v>
      </c>
      <c r="N36" s="34">
        <v>4.2300000000000004</v>
      </c>
      <c r="O36" s="67">
        <v>35</v>
      </c>
      <c r="P36" s="24">
        <f>VLOOKUP(L36,'1'!$J:$K,2,FALSE)</f>
        <v>105.84</v>
      </c>
      <c r="Q36" s="17">
        <f>VLOOKUP(L36,'1'!$J:$L,3,FALSE)</f>
        <v>1E-3</v>
      </c>
      <c r="R36" s="67" t="str">
        <f t="shared" si="2"/>
        <v/>
      </c>
    </row>
    <row r="37" spans="5:18">
      <c r="E37" s="24"/>
      <c r="G37" s="115"/>
      <c r="I37" s="17"/>
      <c r="L37" s="67">
        <v>113519</v>
      </c>
      <c r="M37" s="67" t="s">
        <v>1518</v>
      </c>
      <c r="N37" s="34">
        <v>4.4400000000000004</v>
      </c>
      <c r="O37" s="67">
        <v>36</v>
      </c>
      <c r="P37" s="24">
        <f>VLOOKUP(L37,'1'!$J:$K,2,FALSE)</f>
        <v>108.24</v>
      </c>
      <c r="Q37" s="17">
        <f>VLOOKUP(L37,'1'!$J:$L,3,FALSE)</f>
        <v>1.0500000000000001E-2</v>
      </c>
      <c r="R37" s="67" t="str">
        <f t="shared" si="2"/>
        <v/>
      </c>
    </row>
    <row r="38" spans="5:18">
      <c r="E38" s="24"/>
      <c r="G38" s="115"/>
      <c r="I38" s="17"/>
      <c r="L38" s="67">
        <v>110047</v>
      </c>
      <c r="M38" s="67" t="s">
        <v>1035</v>
      </c>
      <c r="N38" s="34">
        <v>4.4800000000000004</v>
      </c>
      <c r="O38" s="67">
        <v>37</v>
      </c>
      <c r="P38" s="24">
        <f>VLOOKUP(L38,'1'!$J:$K,2,FALSE)</f>
        <v>109.4</v>
      </c>
      <c r="Q38" s="17">
        <f>VLOOKUP(L38,'1'!$J:$L,3,FALSE)</f>
        <v>3.7000000000000002E-3</v>
      </c>
      <c r="R38" s="67" t="str">
        <f t="shared" si="2"/>
        <v/>
      </c>
    </row>
    <row r="39" spans="5:18">
      <c r="E39" s="24"/>
      <c r="G39" s="115"/>
      <c r="I39" s="17"/>
      <c r="L39" s="67">
        <v>128049</v>
      </c>
      <c r="M39" s="67" t="s">
        <v>1120</v>
      </c>
      <c r="N39" s="34">
        <v>4.5</v>
      </c>
      <c r="O39" s="67">
        <v>38</v>
      </c>
      <c r="P39" s="24">
        <f>VLOOKUP(L39,'1'!$J:$K,2,FALSE)</f>
        <v>106.5</v>
      </c>
      <c r="Q39" s="17">
        <f>VLOOKUP(L39,'1'!$J:$L,3,FALSE)</f>
        <v>8.0000000000000004E-4</v>
      </c>
      <c r="R39" s="67" t="str">
        <f t="shared" si="2"/>
        <v/>
      </c>
    </row>
    <row r="40" spans="5:18">
      <c r="E40" s="24"/>
      <c r="G40" s="115"/>
      <c r="I40" s="17"/>
      <c r="L40" s="67">
        <v>110048</v>
      </c>
      <c r="M40" s="67" t="s">
        <v>1517</v>
      </c>
      <c r="N40" s="34">
        <v>4.5199999999999996</v>
      </c>
      <c r="O40" s="67">
        <v>39</v>
      </c>
      <c r="P40" s="24">
        <f>VLOOKUP(L40,'1'!$J:$K,2,FALSE)</f>
        <v>109.71</v>
      </c>
      <c r="Q40" s="17">
        <f>VLOOKUP(L40,'1'!$J:$L,3,FALSE)</f>
        <v>4.4000000000000003E-3</v>
      </c>
      <c r="R40" s="67" t="str">
        <f t="shared" si="2"/>
        <v/>
      </c>
    </row>
    <row r="41" spans="5:18">
      <c r="E41" s="24"/>
      <c r="G41" s="115"/>
      <c r="I41" s="17"/>
      <c r="L41" s="67">
        <v>128050</v>
      </c>
      <c r="M41" s="67" t="s">
        <v>1059</v>
      </c>
      <c r="N41" s="34">
        <v>4.53</v>
      </c>
      <c r="O41" s="67">
        <v>40</v>
      </c>
      <c r="P41" s="24">
        <f>VLOOKUP(L41,'1'!$J:$K,2,FALSE)</f>
        <v>112.81100000000001</v>
      </c>
      <c r="Q41" s="17">
        <f>VLOOKUP(L41,'1'!$J:$L,3,FALSE)</f>
        <v>2.98E-2</v>
      </c>
      <c r="R41" s="67" t="str">
        <f t="shared" si="2"/>
        <v/>
      </c>
    </row>
    <row r="42" spans="5:18">
      <c r="E42" s="24"/>
      <c r="G42" s="115"/>
      <c r="I42" s="17"/>
      <c r="L42" s="67">
        <v>113524</v>
      </c>
      <c r="M42" s="67" t="s">
        <v>1036</v>
      </c>
      <c r="N42" s="34">
        <v>4.54</v>
      </c>
      <c r="O42" s="67">
        <v>41</v>
      </c>
      <c r="P42" s="24">
        <f>VLOOKUP(L42,'1'!$J:$K,2,FALSE)</f>
        <v>102.4</v>
      </c>
      <c r="Q42" s="17">
        <f>VLOOKUP(L42,'1'!$J:$L,3,FALSE)</f>
        <v>1.0800000000000001E-2</v>
      </c>
      <c r="R42" s="67" t="str">
        <f t="shared" si="2"/>
        <v/>
      </c>
    </row>
    <row r="43" spans="5:18">
      <c r="E43" s="24"/>
      <c r="G43" s="115"/>
      <c r="I43" s="17"/>
      <c r="L43" s="67">
        <v>128051</v>
      </c>
      <c r="M43" s="67" t="s">
        <v>1516</v>
      </c>
      <c r="N43" s="34">
        <v>4.54</v>
      </c>
      <c r="O43" s="67">
        <v>42</v>
      </c>
      <c r="P43" s="24">
        <f>VLOOKUP(L43,'1'!$J:$K,2,FALSE)</f>
        <v>111.65</v>
      </c>
      <c r="Q43" s="17">
        <f>VLOOKUP(L43,'1'!$J:$L,3,FALSE)</f>
        <v>4.0000000000000001E-3</v>
      </c>
      <c r="R43" s="67" t="str">
        <f t="shared" si="2"/>
        <v/>
      </c>
    </row>
    <row r="44" spans="5:18">
      <c r="E44" s="24"/>
      <c r="G44" s="115"/>
      <c r="I44" s="17"/>
      <c r="L44" s="67">
        <v>113525</v>
      </c>
      <c r="M44" s="67" t="s">
        <v>935</v>
      </c>
      <c r="N44" s="34">
        <v>4.55</v>
      </c>
      <c r="O44" s="67">
        <v>43</v>
      </c>
      <c r="P44" s="24">
        <f>VLOOKUP(L44,'1'!$J:$K,2,FALSE)</f>
        <v>104.55</v>
      </c>
      <c r="Q44" s="17">
        <f>VLOOKUP(L44,'1'!$J:$L,3,FALSE)</f>
        <v>6.8999999999999999E-3</v>
      </c>
      <c r="R44" s="67" t="str">
        <f t="shared" si="2"/>
        <v/>
      </c>
    </row>
    <row r="45" spans="5:18">
      <c r="E45" s="24"/>
      <c r="G45" s="115"/>
      <c r="I45" s="17"/>
      <c r="L45" s="67">
        <v>113527</v>
      </c>
      <c r="M45" s="67" t="s">
        <v>926</v>
      </c>
      <c r="N45" s="34">
        <v>4.66</v>
      </c>
      <c r="O45" s="67">
        <v>44</v>
      </c>
      <c r="P45" s="24">
        <f>VLOOKUP(L45,'1'!$J:$K,2,FALSE)</f>
        <v>92.21</v>
      </c>
      <c r="Q45" s="17">
        <f>VLOOKUP(L45,'1'!$J:$L,3,FALSE)</f>
        <v>5.5999999999999999E-3</v>
      </c>
      <c r="R45" s="67" t="str">
        <f t="shared" si="2"/>
        <v/>
      </c>
    </row>
    <row r="46" spans="5:18">
      <c r="E46" s="24"/>
      <c r="G46" s="115"/>
      <c r="I46" s="17"/>
      <c r="K46" s="103"/>
      <c r="L46" s="67">
        <v>113528</v>
      </c>
      <c r="M46" s="67" t="s">
        <v>928</v>
      </c>
      <c r="N46" s="34">
        <v>4.75</v>
      </c>
      <c r="O46" s="67">
        <v>45</v>
      </c>
      <c r="P46" s="24">
        <f>VLOOKUP(L46,'1'!$J:$K,2,FALSE)</f>
        <v>102.62</v>
      </c>
      <c r="Q46" s="17">
        <f>VLOOKUP(L46,'1'!$J:$L,3,FALSE)</f>
        <v>1.8E-3</v>
      </c>
      <c r="R46" s="67" t="str">
        <f t="shared" si="2"/>
        <v/>
      </c>
    </row>
    <row r="47" spans="5:18">
      <c r="E47" s="24"/>
      <c r="G47" s="115"/>
      <c r="I47" s="17"/>
      <c r="L47" s="67">
        <v>128056</v>
      </c>
      <c r="M47" s="67" t="s">
        <v>925</v>
      </c>
      <c r="N47" s="34">
        <v>4.75</v>
      </c>
      <c r="O47" s="67">
        <v>46</v>
      </c>
      <c r="P47" s="24">
        <f>VLOOKUP(L47,'1'!$J:$K,2,FALSE)</f>
        <v>104.23</v>
      </c>
      <c r="Q47" s="17">
        <f>VLOOKUP(L47,'1'!$J:$L,3,FALSE)</f>
        <v>8.0000000000000004E-4</v>
      </c>
      <c r="R47" s="67" t="str">
        <f t="shared" si="2"/>
        <v/>
      </c>
    </row>
    <row r="48" spans="5:18">
      <c r="E48" s="24"/>
      <c r="G48" s="115"/>
      <c r="I48" s="17"/>
      <c r="L48" s="67">
        <v>113021</v>
      </c>
      <c r="M48" s="67" t="s">
        <v>964</v>
      </c>
      <c r="N48" s="34">
        <v>4.76</v>
      </c>
      <c r="O48" s="67">
        <v>47</v>
      </c>
      <c r="P48" s="24">
        <f>VLOOKUP(L48,'1'!$J:$K,2,FALSE)</f>
        <v>106.9</v>
      </c>
      <c r="Q48" s="17">
        <f>VLOOKUP(L48,'1'!$J:$L,3,FALSE)</f>
        <v>5.9999999999999995E-4</v>
      </c>
      <c r="R48" s="67" t="str">
        <f t="shared" si="2"/>
        <v/>
      </c>
    </row>
    <row r="49" spans="5:18">
      <c r="E49" s="24"/>
      <c r="G49" s="115"/>
      <c r="I49" s="17"/>
      <c r="L49" s="67">
        <v>127011</v>
      </c>
      <c r="M49" s="67" t="s">
        <v>1066</v>
      </c>
      <c r="N49" s="34">
        <v>4.7699999999999996</v>
      </c>
      <c r="O49" s="67">
        <v>48</v>
      </c>
      <c r="P49" s="24">
        <f>VLOOKUP(L49,'1'!$J:$K,2,FALSE)</f>
        <v>105</v>
      </c>
      <c r="Q49" s="17">
        <f>VLOOKUP(L49,'1'!$J:$L,3,FALSE)</f>
        <v>3.8E-3</v>
      </c>
      <c r="R49" s="67" t="str">
        <f t="shared" si="2"/>
        <v/>
      </c>
    </row>
    <row r="50" spans="5:18">
      <c r="E50" s="24"/>
      <c r="G50" s="115"/>
      <c r="I50" s="17"/>
      <c r="L50" s="67">
        <v>128058</v>
      </c>
      <c r="M50" s="67" t="s">
        <v>1514</v>
      </c>
      <c r="N50" s="34">
        <v>4.7699999999999996</v>
      </c>
      <c r="O50" s="67">
        <v>49</v>
      </c>
      <c r="P50" s="24">
        <f>VLOOKUP(L50,'1'!$J:$K,2,FALSE)</f>
        <v>116.622</v>
      </c>
      <c r="Q50" s="17">
        <f>VLOOKUP(L50,'1'!$J:$L,3,FALSE)</f>
        <v>9.7000000000000003E-3</v>
      </c>
      <c r="R50" s="67" t="str">
        <f t="shared" si="2"/>
        <v/>
      </c>
    </row>
    <row r="51" spans="5:18">
      <c r="E51" s="24"/>
      <c r="G51" s="115"/>
      <c r="I51" s="17"/>
      <c r="L51" s="67">
        <v>128057</v>
      </c>
      <c r="M51" s="67" t="s">
        <v>1189</v>
      </c>
      <c r="N51" s="34">
        <v>4.7699999999999996</v>
      </c>
      <c r="O51" s="67">
        <v>50</v>
      </c>
      <c r="P51" s="24">
        <f>VLOOKUP(L51,'1'!$J:$K,2,FALSE)</f>
        <v>109.8</v>
      </c>
      <c r="Q51" s="17">
        <f>VLOOKUP(L51,'1'!$J:$L,3,FALSE)</f>
        <v>1.3100000000000001E-2</v>
      </c>
      <c r="R51" s="67" t="str">
        <f t="shared" si="2"/>
        <v/>
      </c>
    </row>
    <row r="52" spans="5:18">
      <c r="E52" s="24"/>
      <c r="G52" s="115"/>
      <c r="I52" s="17"/>
      <c r="L52" s="67">
        <v>110052</v>
      </c>
      <c r="M52" s="67" t="s">
        <v>1515</v>
      </c>
      <c r="N52" s="34">
        <v>4.7699999999999996</v>
      </c>
      <c r="O52" s="67">
        <v>51</v>
      </c>
      <c r="P52" s="24">
        <f>VLOOKUP(L52,'1'!$J:$K,2,FALSE)</f>
        <v>112.3</v>
      </c>
      <c r="Q52" s="17">
        <f>VLOOKUP(L52,'1'!$J:$L,3,FALSE)</f>
        <v>3.0700000000000002E-2</v>
      </c>
      <c r="R52" s="67" t="str">
        <f t="shared" si="2"/>
        <v/>
      </c>
    </row>
    <row r="53" spans="5:18">
      <c r="E53" s="24"/>
      <c r="G53" s="115"/>
      <c r="I53" s="17"/>
      <c r="L53" s="67">
        <v>110055</v>
      </c>
      <c r="M53" s="67" t="s">
        <v>1513</v>
      </c>
      <c r="N53" s="34">
        <v>4.79</v>
      </c>
      <c r="O53" s="67">
        <v>52</v>
      </c>
      <c r="P53" s="24">
        <f>VLOOKUP(L53,'1'!$J:$K,2,FALSE)</f>
        <v>110.2</v>
      </c>
      <c r="Q53" s="17">
        <f>VLOOKUP(L53,'1'!$J:$L,3,FALSE)</f>
        <v>6.8999999999999999E-3</v>
      </c>
      <c r="R53" s="67" t="str">
        <f t="shared" si="2"/>
        <v/>
      </c>
    </row>
    <row r="54" spans="5:18">
      <c r="E54" s="24"/>
      <c r="G54" s="115"/>
      <c r="I54" s="17"/>
      <c r="L54" s="67">
        <v>110053</v>
      </c>
      <c r="M54" s="67" t="s">
        <v>1065</v>
      </c>
      <c r="N54" s="34">
        <v>4.79</v>
      </c>
      <c r="O54" s="67">
        <v>53</v>
      </c>
      <c r="P54" s="24">
        <f>VLOOKUP(L54,'1'!$J:$K,2,FALSE)</f>
        <v>109.35</v>
      </c>
      <c r="Q54" s="17">
        <f>VLOOKUP(L54,'1'!$J:$L,3,FALSE)</f>
        <v>1.1000000000000001E-3</v>
      </c>
      <c r="R54" s="67" t="str">
        <f t="shared" si="2"/>
        <v/>
      </c>
    </row>
    <row r="55" spans="5:18">
      <c r="E55" s="24"/>
      <c r="G55" s="115"/>
      <c r="I55" s="17"/>
      <c r="L55" s="67">
        <v>127012</v>
      </c>
      <c r="M55" s="67" t="s">
        <v>1191</v>
      </c>
      <c r="N55" s="34">
        <v>4.8099999999999996</v>
      </c>
      <c r="O55" s="67">
        <v>54</v>
      </c>
      <c r="P55" s="24">
        <f>VLOOKUP(L55,'1'!$J:$K,2,FALSE)</f>
        <v>103.25</v>
      </c>
      <c r="Q55" s="17">
        <f>VLOOKUP(L55,'1'!$J:$L,3,FALSE)</f>
        <v>3.5000000000000001E-3</v>
      </c>
      <c r="R55" s="67" t="str">
        <f t="shared" si="2"/>
        <v/>
      </c>
    </row>
    <row r="56" spans="5:18">
      <c r="E56" s="24"/>
      <c r="G56" s="115"/>
      <c r="I56" s="17"/>
      <c r="K56" s="103"/>
      <c r="L56" s="67">
        <v>123023</v>
      </c>
      <c r="M56" s="67" t="s">
        <v>929</v>
      </c>
      <c r="N56" s="34">
        <v>4.8099999999999996</v>
      </c>
      <c r="O56" s="67">
        <v>55</v>
      </c>
      <c r="P56" s="24">
        <f>VLOOKUP(L56,'1'!$J:$K,2,FALSE)</f>
        <v>99.8</v>
      </c>
      <c r="Q56" s="17">
        <f>VLOOKUP(L56,'1'!$J:$L,3,FALSE)</f>
        <v>4.5999999999999999E-3</v>
      </c>
      <c r="R56" s="67" t="str">
        <f t="shared" si="2"/>
        <v/>
      </c>
    </row>
    <row r="57" spans="5:18">
      <c r="E57" s="24"/>
      <c r="G57" s="115"/>
      <c r="I57" s="17"/>
      <c r="L57" s="67">
        <v>113530</v>
      </c>
      <c r="M57" s="67" t="s">
        <v>1511</v>
      </c>
      <c r="N57" s="34">
        <v>4.83</v>
      </c>
      <c r="O57" s="67">
        <v>56</v>
      </c>
      <c r="P57" s="24">
        <f>VLOOKUP(L57,'1'!$J:$K,2,FALSE)</f>
        <v>103.6</v>
      </c>
      <c r="Q57" s="17">
        <f>VLOOKUP(L57,'1'!$J:$L,3,FALSE)</f>
        <v>6.7000000000000002E-3</v>
      </c>
      <c r="R57" s="67" t="str">
        <f t="shared" si="2"/>
        <v/>
      </c>
    </row>
    <row r="58" spans="5:18">
      <c r="E58" s="24"/>
      <c r="G58" s="115"/>
      <c r="I58" s="17"/>
      <c r="L58" s="67">
        <v>128063</v>
      </c>
      <c r="M58" s="67" t="s">
        <v>1509</v>
      </c>
      <c r="N58" s="34">
        <v>4.84</v>
      </c>
      <c r="O58" s="67">
        <v>57</v>
      </c>
      <c r="P58" s="24">
        <f>VLOOKUP(L58,'1'!$J:$K,2,FALSE)</f>
        <v>110.5</v>
      </c>
      <c r="Q58" s="17">
        <f>VLOOKUP(L58,'1'!$J:$L,3,FALSE)</f>
        <v>4.0000000000000001E-3</v>
      </c>
      <c r="R58" s="67" t="str">
        <f t="shared" si="2"/>
        <v/>
      </c>
    </row>
    <row r="59" spans="5:18">
      <c r="E59" s="24"/>
      <c r="G59" s="115"/>
      <c r="I59" s="17"/>
      <c r="L59" s="67">
        <v>113532</v>
      </c>
      <c r="M59" s="67" t="s">
        <v>934</v>
      </c>
      <c r="N59" s="34">
        <v>4.84</v>
      </c>
      <c r="O59" s="67">
        <v>58</v>
      </c>
      <c r="P59" s="24">
        <f>VLOOKUP(L59,'1'!$J:$K,2,FALSE)</f>
        <v>103.73</v>
      </c>
      <c r="Q59" s="17">
        <f>VLOOKUP(L59,'1'!$J:$L,3,FALSE)</f>
        <v>5.7000000000000002E-3</v>
      </c>
      <c r="R59" s="67" t="str">
        <f t="shared" si="2"/>
        <v/>
      </c>
    </row>
    <row r="60" spans="5:18">
      <c r="L60" s="67">
        <v>128062</v>
      </c>
      <c r="M60" s="67" t="s">
        <v>1510</v>
      </c>
      <c r="N60" s="34">
        <v>4.84</v>
      </c>
      <c r="O60" s="67">
        <v>59</v>
      </c>
      <c r="P60" s="24">
        <f>VLOOKUP(L60,'1'!$J:$K,2,FALSE)</f>
        <v>81.120999999999995</v>
      </c>
      <c r="Q60" s="17">
        <f>VLOOKUP(L60,'1'!$J:$L,3,FALSE)</f>
        <v>-1.9E-3</v>
      </c>
      <c r="R60" s="67" t="str">
        <f t="shared" si="2"/>
        <v/>
      </c>
    </row>
    <row r="61" spans="5:18">
      <c r="L61" s="67">
        <v>113025</v>
      </c>
      <c r="M61" s="67" t="s">
        <v>1110</v>
      </c>
      <c r="N61" s="34">
        <v>4.8600000000000003</v>
      </c>
      <c r="O61" s="67">
        <v>60</v>
      </c>
      <c r="P61" s="24">
        <f>VLOOKUP(L61,'1'!$J:$K,2,FALSE)</f>
        <v>105.15</v>
      </c>
      <c r="Q61" s="17">
        <f>VLOOKUP(L61,'1'!$J:$L,3,FALSE)</f>
        <v>6.1999999999999998E-3</v>
      </c>
      <c r="R61" s="67" t="str">
        <f t="shared" si="2"/>
        <v/>
      </c>
    </row>
    <row r="62" spans="5:18">
      <c r="L62" s="67">
        <v>113534</v>
      </c>
      <c r="M62" s="67" t="s">
        <v>1213</v>
      </c>
      <c r="N62" s="34">
        <v>4.8600000000000003</v>
      </c>
      <c r="O62" s="67">
        <v>61</v>
      </c>
      <c r="P62" s="24">
        <f>VLOOKUP(L62,'1'!$J:$K,2,FALSE)</f>
        <v>111.05</v>
      </c>
      <c r="Q62" s="17">
        <f>VLOOKUP(L62,'1'!$J:$L,3,FALSE)</f>
        <v>9.4999999999999998E-3</v>
      </c>
      <c r="R62" s="67" t="str">
        <f t="shared" si="2"/>
        <v/>
      </c>
    </row>
    <row r="63" spans="5:18">
      <c r="L63" s="67">
        <v>113024</v>
      </c>
      <c r="M63" s="67" t="s">
        <v>976</v>
      </c>
      <c r="N63" s="34">
        <v>4.8600000000000003</v>
      </c>
      <c r="O63" s="67">
        <v>62</v>
      </c>
      <c r="P63" s="24">
        <f>VLOOKUP(L63,'1'!$J:$K,2,FALSE)</f>
        <v>102.82</v>
      </c>
      <c r="Q63" s="17">
        <f>VLOOKUP(L63,'1'!$J:$L,3,FALSE)</f>
        <v>1.1999999999999999E-3</v>
      </c>
      <c r="R63" s="67" t="str">
        <f t="shared" si="2"/>
        <v/>
      </c>
    </row>
    <row r="64" spans="5:18">
      <c r="L64" s="67">
        <v>128064</v>
      </c>
      <c r="M64" s="67" t="s">
        <v>927</v>
      </c>
      <c r="N64" s="34">
        <v>4.8600000000000003</v>
      </c>
      <c r="O64" s="67">
        <v>63</v>
      </c>
      <c r="P64" s="24">
        <f>VLOOKUP(L64,'1'!$J:$K,2,FALSE)</f>
        <v>104.348</v>
      </c>
      <c r="Q64" s="17">
        <f>VLOOKUP(L64,'1'!$J:$L,3,FALSE)</f>
        <v>1.6999999999999999E-3</v>
      </c>
      <c r="R64" s="67" t="str">
        <f t="shared" si="2"/>
        <v/>
      </c>
    </row>
    <row r="65" spans="12:18">
      <c r="L65" s="67">
        <v>110058</v>
      </c>
      <c r="M65" s="67" t="s">
        <v>1508</v>
      </c>
      <c r="N65" s="34">
        <v>4.88</v>
      </c>
      <c r="O65" s="67">
        <v>64</v>
      </c>
      <c r="P65" s="24">
        <f>VLOOKUP(L65,'1'!$J:$K,2,FALSE)</f>
        <v>103.01</v>
      </c>
      <c r="Q65" s="17">
        <f>VLOOKUP(L65,'1'!$J:$L,3,FALSE)</f>
        <v>1.47E-2</v>
      </c>
      <c r="R65" s="67" t="str">
        <f t="shared" si="2"/>
        <v/>
      </c>
    </row>
    <row r="66" spans="12:18">
      <c r="L66" s="67">
        <v>113026</v>
      </c>
      <c r="M66" s="67" t="s">
        <v>962</v>
      </c>
      <c r="N66" s="34">
        <v>4.88</v>
      </c>
      <c r="O66" s="67">
        <v>65</v>
      </c>
      <c r="P66" s="24">
        <f>VLOOKUP(L66,'1'!$J:$K,2,FALSE)</f>
        <v>101.79</v>
      </c>
      <c r="Q66" s="17">
        <f>VLOOKUP(L66,'1'!$J:$L,3,FALSE)</f>
        <v>1.1999999999999999E-3</v>
      </c>
      <c r="R66" s="67" t="str">
        <f t="shared" si="2"/>
        <v/>
      </c>
    </row>
    <row r="67" spans="12:18">
      <c r="L67" s="67">
        <v>113537</v>
      </c>
      <c r="M67" s="67" t="s">
        <v>1030</v>
      </c>
      <c r="N67" s="34">
        <v>5.0301163586584527</v>
      </c>
      <c r="O67" s="67">
        <v>66</v>
      </c>
      <c r="P67" s="24">
        <f>VLOOKUP(L67,'1'!$J:$K,2,FALSE)</f>
        <v>112.55</v>
      </c>
      <c r="Q67" s="17">
        <f>VLOOKUP(L67,'1'!$J:$L,3,FALSE)</f>
        <v>9.1999999999999998E-3</v>
      </c>
      <c r="R67" s="67" t="str">
        <f t="shared" ref="R67:R130" si="3">IFERROR(VLOOKUP(L67,A:K,4,FALSE),"")</f>
        <v/>
      </c>
    </row>
    <row r="68" spans="12:18">
      <c r="L68" s="67">
        <v>123027</v>
      </c>
      <c r="M68" s="67" t="s">
        <v>1507</v>
      </c>
      <c r="N68" s="34">
        <v>5.0328542094455848</v>
      </c>
      <c r="O68" s="67">
        <v>67</v>
      </c>
      <c r="P68" s="24">
        <f>VLOOKUP(L68,'1'!$J:$K,2,FALSE)</f>
        <v>110.123</v>
      </c>
      <c r="Q68" s="17">
        <f>VLOOKUP(L68,'1'!$J:$L,3,FALSE)</f>
        <v>1.1000000000000001E-3</v>
      </c>
      <c r="R68" s="67" t="str">
        <f t="shared" si="3"/>
        <v/>
      </c>
    </row>
    <row r="69" spans="12:18">
      <c r="L69" s="67">
        <v>113027</v>
      </c>
      <c r="M69" s="67" t="s">
        <v>1209</v>
      </c>
      <c r="N69" s="34">
        <v>5.0410677618069819</v>
      </c>
      <c r="O69" s="67">
        <v>68</v>
      </c>
      <c r="P69" s="24">
        <f>VLOOKUP(L69,'1'!$J:$K,2,FALSE)</f>
        <v>102.1</v>
      </c>
      <c r="Q69" s="17">
        <f>VLOOKUP(L69,'1'!$J:$L,3,FALSE)</f>
        <v>1.6999999999999999E-3</v>
      </c>
      <c r="R69" s="67" t="str">
        <f t="shared" si="3"/>
        <v/>
      </c>
    </row>
    <row r="70" spans="12:18">
      <c r="L70" s="67">
        <v>123028</v>
      </c>
      <c r="M70" s="67" t="s">
        <v>865</v>
      </c>
      <c r="N70" s="34">
        <v>5.0547570157426422</v>
      </c>
      <c r="O70" s="67">
        <v>69</v>
      </c>
      <c r="P70" s="24">
        <f>VLOOKUP(L70,'1'!$J:$K,2,FALSE)</f>
        <v>106.38</v>
      </c>
      <c r="Q70" s="17">
        <f>VLOOKUP(L70,'1'!$J:$L,3,FALSE)</f>
        <v>1.6000000000000001E-3</v>
      </c>
      <c r="R70" s="67" t="str">
        <f t="shared" si="3"/>
        <v/>
      </c>
    </row>
    <row r="71" spans="12:18">
      <c r="L71" s="67">
        <v>128069</v>
      </c>
      <c r="M71" s="67" t="s">
        <v>1506</v>
      </c>
      <c r="N71" s="34">
        <v>5.0684462696783026</v>
      </c>
      <c r="O71" s="67">
        <v>70</v>
      </c>
      <c r="P71" s="24">
        <f>VLOOKUP(L71,'1'!$J:$K,2,FALSE)</f>
        <v>108.7</v>
      </c>
      <c r="Q71" s="17">
        <f>VLOOKUP(L71,'1'!$J:$L,3,FALSE)</f>
        <v>4.7000000000000002E-3</v>
      </c>
      <c r="R71" s="67" t="str">
        <f t="shared" si="3"/>
        <v/>
      </c>
    </row>
    <row r="72" spans="12:18">
      <c r="L72" s="67">
        <v>128070</v>
      </c>
      <c r="M72" s="67" t="s">
        <v>1505</v>
      </c>
      <c r="N72" s="34">
        <v>5.0903490759753591</v>
      </c>
      <c r="O72" s="67">
        <v>71</v>
      </c>
      <c r="P72" s="24">
        <f>VLOOKUP(L72,'1'!$J:$K,2,FALSE)</f>
        <v>105.113</v>
      </c>
      <c r="Q72" s="17">
        <f>VLOOKUP(L72,'1'!$J:$L,3,FALSE)</f>
        <v>-8.0000000000000004E-4</v>
      </c>
      <c r="R72" s="67" t="str">
        <f t="shared" si="3"/>
        <v/>
      </c>
    </row>
    <row r="73" spans="12:18">
      <c r="L73" s="67">
        <v>113541</v>
      </c>
      <c r="M73" s="67" t="s">
        <v>1205</v>
      </c>
      <c r="N73" s="34">
        <v>5.1478439425051334</v>
      </c>
      <c r="O73" s="67">
        <v>72</v>
      </c>
      <c r="P73" s="24">
        <f>VLOOKUP(L73,'1'!$J:$K,2,FALSE)</f>
        <v>105.85</v>
      </c>
      <c r="Q73" s="17">
        <f>VLOOKUP(L73,'1'!$J:$L,3,FALSE)</f>
        <v>9.2999999999999992E-3</v>
      </c>
      <c r="R73" s="67" t="str">
        <f t="shared" si="3"/>
        <v/>
      </c>
    </row>
    <row r="74" spans="12:18">
      <c r="L74" s="67">
        <v>128071</v>
      </c>
      <c r="M74" s="67" t="s">
        <v>966</v>
      </c>
      <c r="N74" s="34">
        <v>5.21</v>
      </c>
      <c r="O74" s="67">
        <v>73</v>
      </c>
      <c r="P74" s="24">
        <f>VLOOKUP(L74,'1'!$J:$K,2,FALSE)</f>
        <v>109.32</v>
      </c>
      <c r="Q74" s="17">
        <f>VLOOKUP(L74,'1'!$J:$L,3,FALSE)</f>
        <v>8.5000000000000006E-3</v>
      </c>
      <c r="R74" s="67" t="str">
        <f t="shared" si="3"/>
        <v/>
      </c>
    </row>
    <row r="75" spans="12:18">
      <c r="L75" s="67">
        <v>128072</v>
      </c>
      <c r="M75" s="67" t="s">
        <v>1504</v>
      </c>
      <c r="N75" s="34">
        <v>5.23</v>
      </c>
      <c r="O75" s="67">
        <v>74</v>
      </c>
      <c r="P75" s="24">
        <f>VLOOKUP(L75,'1'!$J:$K,2,FALSE)</f>
        <v>102.78400000000001</v>
      </c>
      <c r="Q75" s="17">
        <f>VLOOKUP(L75,'1'!$J:$L,3,FALSE)</f>
        <v>2.2000000000000001E-3</v>
      </c>
      <c r="R75" s="67" t="str">
        <f t="shared" si="3"/>
        <v/>
      </c>
    </row>
    <row r="76" spans="12:18">
      <c r="L76" s="67">
        <v>123032</v>
      </c>
      <c r="M76" s="67" t="s">
        <v>1502</v>
      </c>
      <c r="N76" s="34">
        <v>5.37</v>
      </c>
      <c r="O76" s="67">
        <v>75</v>
      </c>
      <c r="P76" s="24">
        <f>VLOOKUP(L76,'1'!$J:$K,2,FALSE)</f>
        <v>114.65</v>
      </c>
      <c r="Q76" s="17">
        <f>VLOOKUP(L76,'1'!$J:$L,3,FALSE)</f>
        <v>-5.4000000000000003E-3</v>
      </c>
      <c r="R76" s="67" t="str">
        <f t="shared" si="3"/>
        <v/>
      </c>
    </row>
    <row r="77" spans="12:18">
      <c r="L77" s="67">
        <v>128076</v>
      </c>
      <c r="M77" s="67" t="s">
        <v>1117</v>
      </c>
      <c r="N77" s="34">
        <v>5.38</v>
      </c>
      <c r="O77" s="67">
        <v>76</v>
      </c>
      <c r="P77" s="24">
        <f>VLOOKUP(L77,'1'!$J:$K,2,FALSE)</f>
        <v>103.97</v>
      </c>
      <c r="Q77" s="17">
        <f>VLOOKUP(L77,'1'!$J:$L,3,FALSE)</f>
        <v>3.7000000000000002E-3</v>
      </c>
      <c r="R77" s="67" t="str">
        <f t="shared" si="3"/>
        <v/>
      </c>
    </row>
    <row r="78" spans="12:18">
      <c r="L78" s="67">
        <v>113545</v>
      </c>
      <c r="M78" s="67" t="s">
        <v>1029</v>
      </c>
      <c r="N78" s="34">
        <v>5.38</v>
      </c>
      <c r="O78" s="67">
        <v>77</v>
      </c>
      <c r="P78" s="24">
        <f>VLOOKUP(L78,'1'!$J:$K,2,FALSE)</f>
        <v>107.52</v>
      </c>
      <c r="Q78" s="17">
        <f>VLOOKUP(L78,'1'!$J:$L,3,FALSE)</f>
        <v>4.7999999999999996E-3</v>
      </c>
      <c r="R78" s="67" t="str">
        <f t="shared" si="3"/>
        <v/>
      </c>
    </row>
    <row r="79" spans="12:18">
      <c r="L79" s="67">
        <v>127014</v>
      </c>
      <c r="M79" s="67" t="s">
        <v>1216</v>
      </c>
      <c r="N79" s="34">
        <v>5.4</v>
      </c>
      <c r="O79" s="67">
        <v>78</v>
      </c>
      <c r="P79" s="24">
        <f>VLOOKUP(L79,'1'!$J:$K,2,FALSE)</f>
        <v>111.452</v>
      </c>
      <c r="Q79" s="17">
        <f>VLOOKUP(L79,'1'!$J:$L,3,FALSE)</f>
        <v>4.1000000000000003E-3</v>
      </c>
      <c r="R79" s="67" t="str">
        <f t="shared" si="3"/>
        <v/>
      </c>
    </row>
    <row r="80" spans="12:18">
      <c r="L80" s="67">
        <v>113546</v>
      </c>
      <c r="M80" s="67" t="s">
        <v>1231</v>
      </c>
      <c r="N80" s="34">
        <v>5.4</v>
      </c>
      <c r="O80" s="67">
        <v>79</v>
      </c>
      <c r="P80" s="24">
        <f>VLOOKUP(L80,'1'!$J:$K,2,FALSE)</f>
        <v>106.58</v>
      </c>
      <c r="Q80" s="17">
        <f>VLOOKUP(L80,'1'!$J:$L,3,FALSE)</f>
        <v>1.18E-2</v>
      </c>
      <c r="R80" s="67" t="str">
        <f t="shared" si="3"/>
        <v/>
      </c>
    </row>
    <row r="81" spans="12:18">
      <c r="L81" s="67">
        <v>110059</v>
      </c>
      <c r="M81" s="67" t="s">
        <v>938</v>
      </c>
      <c r="N81" s="34">
        <v>5.41</v>
      </c>
      <c r="O81" s="67">
        <v>80</v>
      </c>
      <c r="P81" s="24">
        <f>VLOOKUP(L81,'1'!$J:$K,2,FALSE)</f>
        <v>104.87</v>
      </c>
      <c r="Q81" s="17">
        <f>VLOOKUP(L81,'1'!$J:$L,3,FALSE)</f>
        <v>-2.9999999999999997E-4</v>
      </c>
      <c r="R81" s="67" t="str">
        <f t="shared" si="3"/>
        <v/>
      </c>
    </row>
    <row r="82" spans="12:18">
      <c r="L82" s="67">
        <v>123033</v>
      </c>
      <c r="M82" s="67" t="s">
        <v>1501</v>
      </c>
      <c r="N82" s="34">
        <v>5.43</v>
      </c>
      <c r="O82" s="67">
        <v>81</v>
      </c>
      <c r="P82" s="24">
        <f>VLOOKUP(L82,'1'!$J:$K,2,FALSE)</f>
        <v>113.8</v>
      </c>
      <c r="Q82" s="17">
        <f>VLOOKUP(L82,'1'!$J:$L,3,FALSE)</f>
        <v>8.8999999999999999E-3</v>
      </c>
      <c r="R82" s="67" t="str">
        <f t="shared" si="3"/>
        <v/>
      </c>
    </row>
    <row r="83" spans="12:18">
      <c r="L83" s="67">
        <v>113549</v>
      </c>
      <c r="M83" s="67" t="s">
        <v>1138</v>
      </c>
      <c r="N83" s="34">
        <v>5.46</v>
      </c>
      <c r="O83" s="67">
        <v>82</v>
      </c>
      <c r="P83" s="24">
        <f>VLOOKUP(L83,'1'!$J:$K,2,FALSE)</f>
        <v>108.77</v>
      </c>
      <c r="Q83" s="17">
        <f>VLOOKUP(L83,'1'!$J:$L,3,FALSE)</f>
        <v>1.4200000000000001E-2</v>
      </c>
      <c r="R83" s="67" t="str">
        <f t="shared" si="3"/>
        <v/>
      </c>
    </row>
    <row r="84" spans="12:18">
      <c r="L84" s="67">
        <v>123035</v>
      </c>
      <c r="M84" s="67" t="s">
        <v>1500</v>
      </c>
      <c r="N84" s="34">
        <v>5.46</v>
      </c>
      <c r="O84" s="67">
        <v>83</v>
      </c>
      <c r="P84" s="24">
        <f>VLOOKUP(L84,'1'!$J:$K,2,FALSE)</f>
        <v>111.301</v>
      </c>
      <c r="Q84" s="17">
        <f>VLOOKUP(L84,'1'!$J:$L,3,FALSE)</f>
        <v>4.4000000000000003E-3</v>
      </c>
      <c r="R84" s="67" t="str">
        <f t="shared" si="3"/>
        <v/>
      </c>
    </row>
    <row r="85" spans="12:18">
      <c r="L85" s="67">
        <v>128081</v>
      </c>
      <c r="M85" s="67" t="s">
        <v>1230</v>
      </c>
      <c r="N85" s="34">
        <v>5.48</v>
      </c>
      <c r="O85" s="67">
        <v>84</v>
      </c>
      <c r="P85" s="24">
        <f>VLOOKUP(L85,'1'!$J:$K,2,FALSE)</f>
        <v>106.886</v>
      </c>
      <c r="Q85" s="17">
        <f>VLOOKUP(L85,'1'!$J:$L,3,FALSE)</f>
        <v>1.83E-2</v>
      </c>
      <c r="R85" s="67" t="str">
        <f t="shared" si="3"/>
        <v/>
      </c>
    </row>
    <row r="86" spans="12:18">
      <c r="L86" s="67">
        <v>128082</v>
      </c>
      <c r="M86" s="67" t="s">
        <v>1499</v>
      </c>
      <c r="N86" s="34">
        <v>5.52</v>
      </c>
      <c r="O86" s="67">
        <v>85</v>
      </c>
      <c r="P86" s="24">
        <f>VLOOKUP(L86,'1'!$J:$K,2,FALSE)</f>
        <v>105.42100000000001</v>
      </c>
      <c r="Q86" s="17">
        <f>VLOOKUP(L86,'1'!$J:$L,3,FALSE)</f>
        <v>1.0699999999999999E-2</v>
      </c>
      <c r="R86" s="67" t="str">
        <f t="shared" si="3"/>
        <v/>
      </c>
    </row>
    <row r="87" spans="12:18">
      <c r="L87" s="67">
        <v>110063</v>
      </c>
      <c r="M87" s="67" t="s">
        <v>1135</v>
      </c>
      <c r="N87" s="34">
        <v>5.54</v>
      </c>
      <c r="O87" s="67">
        <v>86</v>
      </c>
      <c r="P87" s="24">
        <f>VLOOKUP(L87,'1'!$J:$K,2,FALSE)</f>
        <v>107.9</v>
      </c>
      <c r="Q87" s="17">
        <f>VLOOKUP(L87,'1'!$J:$L,3,FALSE)</f>
        <v>6.0000000000000001E-3</v>
      </c>
      <c r="R87" s="67" t="str">
        <f t="shared" si="3"/>
        <v/>
      </c>
    </row>
    <row r="88" spans="12:18">
      <c r="L88" s="67">
        <v>128083</v>
      </c>
      <c r="M88" s="67" t="s">
        <v>1498</v>
      </c>
      <c r="N88" s="34">
        <v>5.54</v>
      </c>
      <c r="O88" s="67">
        <v>87</v>
      </c>
      <c r="P88" s="24">
        <f>VLOOKUP(L88,'1'!$J:$K,2,FALSE)</f>
        <v>110.56699999999999</v>
      </c>
      <c r="Q88" s="17">
        <f>VLOOKUP(L88,'1'!$J:$L,3,FALSE)</f>
        <v>1.06E-2</v>
      </c>
      <c r="R88" s="67" t="str">
        <f t="shared" si="3"/>
        <v/>
      </c>
    </row>
    <row r="89" spans="12:18">
      <c r="L89" s="67">
        <v>128087</v>
      </c>
      <c r="M89" s="67" t="s">
        <v>1497</v>
      </c>
      <c r="N89" s="34">
        <v>5.55</v>
      </c>
      <c r="O89" s="67">
        <v>88</v>
      </c>
      <c r="P89" s="24">
        <f>VLOOKUP(L89,'1'!$J:$K,2,FALSE)</f>
        <v>100.123</v>
      </c>
      <c r="Q89" s="17">
        <f>VLOOKUP(L89,'1'!$J:$L,3,FALSE)</f>
        <v>1.03E-2</v>
      </c>
      <c r="R89" s="67" t="str">
        <f t="shared" si="3"/>
        <v/>
      </c>
    </row>
    <row r="90" spans="12:18">
      <c r="L90" s="67">
        <v>128085</v>
      </c>
      <c r="M90" s="67" t="s">
        <v>867</v>
      </c>
      <c r="N90" s="34">
        <v>5.55</v>
      </c>
      <c r="O90" s="67">
        <v>89</v>
      </c>
      <c r="P90" s="24">
        <f>VLOOKUP(L90,'1'!$J:$K,2,FALSE)</f>
        <v>108.88</v>
      </c>
      <c r="Q90" s="17">
        <f>VLOOKUP(L90,'1'!$J:$L,3,FALSE)</f>
        <v>8.0999999999999996E-3</v>
      </c>
      <c r="R90" s="67" t="str">
        <f t="shared" si="3"/>
        <v/>
      </c>
    </row>
    <row r="91" spans="12:18">
      <c r="L91" s="67">
        <v>110064</v>
      </c>
      <c r="M91" s="67" t="s">
        <v>1014</v>
      </c>
      <c r="N91" s="34">
        <v>5.56</v>
      </c>
      <c r="O91" s="67">
        <v>90</v>
      </c>
      <c r="P91" s="24">
        <f>VLOOKUP(L91,'1'!$J:$K,2,FALSE)</f>
        <v>106.12</v>
      </c>
      <c r="Q91" s="17">
        <f>VLOOKUP(L91,'1'!$J:$L,3,FALSE)</f>
        <v>2.0999999999999999E-3</v>
      </c>
      <c r="R91" s="67" t="str">
        <f t="shared" si="3"/>
        <v/>
      </c>
    </row>
    <row r="92" spans="12:18">
      <c r="L92" s="67">
        <v>113557</v>
      </c>
      <c r="M92" s="67" t="s">
        <v>1496</v>
      </c>
      <c r="N92" s="34">
        <v>5.56</v>
      </c>
      <c r="O92" s="67">
        <v>91</v>
      </c>
      <c r="P92" s="24">
        <f>VLOOKUP(L92,'1'!$J:$K,2,FALSE)</f>
        <v>107.62</v>
      </c>
      <c r="Q92" s="17">
        <f>VLOOKUP(L92,'1'!$J:$L,3,FALSE)</f>
        <v>7.1999999999999998E-3</v>
      </c>
      <c r="R92" s="67" t="str">
        <f t="shared" si="3"/>
        <v/>
      </c>
    </row>
    <row r="93" spans="12:18">
      <c r="L93" s="67">
        <v>113030</v>
      </c>
      <c r="M93" s="67" t="s">
        <v>1134</v>
      </c>
      <c r="N93" s="34">
        <v>5.57</v>
      </c>
      <c r="O93" s="67">
        <v>92</v>
      </c>
      <c r="P93" s="24">
        <f>VLOOKUP(L93,'1'!$J:$K,2,FALSE)</f>
        <v>109.21</v>
      </c>
      <c r="Q93" s="17">
        <f>VLOOKUP(L93,'1'!$J:$L,3,FALSE)</f>
        <v>1.0999999999999999E-2</v>
      </c>
      <c r="R93" s="67" t="str">
        <f t="shared" si="3"/>
        <v/>
      </c>
    </row>
    <row r="94" spans="12:18">
      <c r="L94" s="67">
        <v>110065</v>
      </c>
      <c r="M94" s="67" t="s">
        <v>1136</v>
      </c>
      <c r="N94" s="34">
        <v>5.57</v>
      </c>
      <c r="O94" s="67">
        <v>93</v>
      </c>
      <c r="P94" s="24">
        <f>VLOOKUP(L94,'1'!$J:$K,2,FALSE)</f>
        <v>108.52</v>
      </c>
      <c r="Q94" s="17">
        <f>VLOOKUP(L94,'1'!$J:$L,3,FALSE)</f>
        <v>6.4000000000000003E-3</v>
      </c>
      <c r="R94" s="67" t="str">
        <f t="shared" si="3"/>
        <v/>
      </c>
    </row>
    <row r="95" spans="12:18">
      <c r="L95" s="67">
        <v>113559</v>
      </c>
      <c r="M95" s="67" t="s">
        <v>1495</v>
      </c>
      <c r="N95" s="34">
        <v>5.57</v>
      </c>
      <c r="O95" s="67">
        <v>94</v>
      </c>
      <c r="P95" s="24">
        <f>VLOOKUP(L95,'1'!$J:$K,2,FALSE)</f>
        <v>103.38</v>
      </c>
      <c r="Q95" s="17">
        <f>VLOOKUP(L95,'1'!$J:$L,3,FALSE)</f>
        <v>9.4999999999999998E-3</v>
      </c>
      <c r="R95" s="67" t="str">
        <f t="shared" si="3"/>
        <v/>
      </c>
    </row>
    <row r="96" spans="12:18">
      <c r="L96" s="67">
        <v>123039</v>
      </c>
      <c r="M96" s="67" t="s">
        <v>1494</v>
      </c>
      <c r="N96" s="34">
        <v>5.58</v>
      </c>
      <c r="O96" s="67">
        <v>95</v>
      </c>
      <c r="P96" s="24">
        <f>VLOOKUP(L96,'1'!$J:$K,2,FALSE)</f>
        <v>109.85599999999999</v>
      </c>
      <c r="Q96" s="17">
        <f>VLOOKUP(L96,'1'!$J:$L,3,FALSE)</f>
        <v>6.0000000000000001E-3</v>
      </c>
      <c r="R96" s="67" t="str">
        <f t="shared" si="3"/>
        <v/>
      </c>
    </row>
    <row r="97" spans="12:18">
      <c r="L97" s="67">
        <v>113561</v>
      </c>
      <c r="M97" s="67" t="s">
        <v>1492</v>
      </c>
      <c r="N97" s="34">
        <v>5.59</v>
      </c>
      <c r="O97" s="67">
        <v>96</v>
      </c>
      <c r="P97" s="24">
        <f>VLOOKUP(L97,'1'!$J:$K,2,FALSE)</f>
        <v>105.12</v>
      </c>
      <c r="Q97" s="17">
        <f>VLOOKUP(L97,'1'!$J:$L,3,FALSE)</f>
        <v>4.1000000000000003E-3</v>
      </c>
      <c r="R97" s="67" t="str">
        <f t="shared" si="3"/>
        <v/>
      </c>
    </row>
    <row r="98" spans="12:18">
      <c r="L98" s="67">
        <v>128092</v>
      </c>
      <c r="M98" s="67" t="s">
        <v>1493</v>
      </c>
      <c r="N98" s="34">
        <v>5.59</v>
      </c>
      <c r="O98" s="67">
        <v>97</v>
      </c>
      <c r="P98" s="24">
        <f>VLOOKUP(L98,'1'!$J:$K,2,FALSE)</f>
        <v>111.95</v>
      </c>
      <c r="Q98" s="17">
        <f>VLOOKUP(L98,'1'!$J:$L,3,FALSE)</f>
        <v>1.6500000000000001E-2</v>
      </c>
      <c r="R98" s="67" t="str">
        <f t="shared" si="3"/>
        <v/>
      </c>
    </row>
    <row r="99" spans="12:18">
      <c r="L99" s="67">
        <v>128093</v>
      </c>
      <c r="M99" s="67" t="s">
        <v>1104</v>
      </c>
      <c r="N99" s="34">
        <v>5.6</v>
      </c>
      <c r="O99" s="67">
        <v>98</v>
      </c>
      <c r="P99" s="24">
        <f>VLOOKUP(L99,'1'!$J:$K,2,FALSE)</f>
        <v>107.523</v>
      </c>
      <c r="Q99" s="17">
        <f>VLOOKUP(L99,'1'!$J:$L,3,FALSE)</f>
        <v>8.0000000000000004E-4</v>
      </c>
      <c r="R99" s="67" t="str">
        <f t="shared" si="3"/>
        <v/>
      </c>
    </row>
    <row r="100" spans="12:18">
      <c r="L100" s="67">
        <v>128094</v>
      </c>
      <c r="M100" s="67" t="s">
        <v>1188</v>
      </c>
      <c r="N100" s="34">
        <v>5.63</v>
      </c>
      <c r="O100" s="67">
        <v>99</v>
      </c>
      <c r="P100" s="24">
        <f>VLOOKUP(L100,'1'!$J:$K,2,FALSE)</f>
        <v>113.2</v>
      </c>
      <c r="Q100" s="17">
        <f>VLOOKUP(L100,'1'!$J:$L,3,FALSE)</f>
        <v>-2.5999999999999999E-3</v>
      </c>
      <c r="R100" s="67" t="str">
        <f t="shared" si="3"/>
        <v/>
      </c>
    </row>
    <row r="101" spans="12:18">
      <c r="L101" s="67">
        <v>123042</v>
      </c>
      <c r="M101" s="67" t="s">
        <v>1491</v>
      </c>
      <c r="N101" s="34">
        <v>5.63</v>
      </c>
      <c r="O101" s="67">
        <v>100</v>
      </c>
      <c r="P101" s="24">
        <f>VLOOKUP(L101,'1'!$J:$K,2,FALSE)</f>
        <v>106.8</v>
      </c>
      <c r="Q101" s="17">
        <f>VLOOKUP(L101,'1'!$J:$L,3,FALSE)</f>
        <v>3.0000000000000001E-3</v>
      </c>
      <c r="R101" s="67" t="str">
        <f t="shared" si="3"/>
        <v/>
      </c>
    </row>
    <row r="102" spans="12:18">
      <c r="L102" s="67">
        <v>128096</v>
      </c>
      <c r="M102" s="67" t="s">
        <v>1123</v>
      </c>
      <c r="N102" s="34">
        <v>5.71</v>
      </c>
      <c r="O102" s="67">
        <v>101</v>
      </c>
      <c r="P102" s="24">
        <f>VLOOKUP(L102,'1'!$J:$K,2,FALSE)</f>
        <v>110.5</v>
      </c>
      <c r="Q102" s="17">
        <f>VLOOKUP(L102,'1'!$J:$L,3,FALSE)</f>
        <v>1.21E-2</v>
      </c>
      <c r="R102" s="67" t="str">
        <f t="shared" si="3"/>
        <v/>
      </c>
    </row>
    <row r="103" spans="12:18">
      <c r="L103" s="67">
        <v>128097</v>
      </c>
      <c r="M103" s="67" t="s">
        <v>1490</v>
      </c>
      <c r="N103" s="34">
        <v>5.74</v>
      </c>
      <c r="O103" s="67">
        <v>102</v>
      </c>
      <c r="P103" s="24">
        <f>VLOOKUP(L103,'1'!$J:$K,2,FALSE)</f>
        <v>104.85</v>
      </c>
      <c r="Q103" s="17">
        <f>VLOOKUP(L103,'1'!$J:$L,3,FALSE)</f>
        <v>3.8999999999999998E-3</v>
      </c>
      <c r="R103" s="67" t="str">
        <f t="shared" si="3"/>
        <v/>
      </c>
    </row>
    <row r="104" spans="12:18">
      <c r="L104" s="67">
        <v>113566</v>
      </c>
      <c r="M104" s="67" t="s">
        <v>1488</v>
      </c>
      <c r="N104" s="34">
        <v>5.75</v>
      </c>
      <c r="O104" s="67">
        <v>103</v>
      </c>
      <c r="P104" s="24">
        <f>VLOOKUP(L104,'1'!$J:$K,2,FALSE)</f>
        <v>116.46</v>
      </c>
      <c r="Q104" s="17">
        <f>VLOOKUP(L104,'1'!$J:$L,3,FALSE)</f>
        <v>6.0000000000000001E-3</v>
      </c>
      <c r="R104" s="67" t="str">
        <f t="shared" si="3"/>
        <v/>
      </c>
    </row>
    <row r="105" spans="12:18">
      <c r="L105" s="67">
        <v>113564</v>
      </c>
      <c r="M105" s="67" t="s">
        <v>1489</v>
      </c>
      <c r="N105" s="34">
        <v>5.75</v>
      </c>
      <c r="O105" s="67">
        <v>104</v>
      </c>
      <c r="P105" s="24">
        <f>VLOOKUP(L105,'1'!$J:$K,2,FALSE)</f>
        <v>116</v>
      </c>
      <c r="Q105" s="17">
        <f>VLOOKUP(L105,'1'!$J:$L,3,FALSE)</f>
        <v>1.2800000000000001E-2</v>
      </c>
      <c r="R105" s="67" t="str">
        <f t="shared" si="3"/>
        <v/>
      </c>
    </row>
    <row r="106" spans="12:18">
      <c r="L106" s="67">
        <v>113567</v>
      </c>
      <c r="M106" s="67" t="s">
        <v>1487</v>
      </c>
      <c r="N106" s="34">
        <v>5.76</v>
      </c>
      <c r="O106" s="67">
        <v>105</v>
      </c>
      <c r="P106" s="24">
        <f>VLOOKUP(L106,'1'!$J:$K,2,FALSE)</f>
        <v>107.59</v>
      </c>
      <c r="Q106" s="17">
        <f>VLOOKUP(L106,'1'!$J:$L,3,FALSE)</f>
        <v>5.5999999999999999E-3</v>
      </c>
      <c r="R106" s="67" t="str">
        <f t="shared" si="3"/>
        <v/>
      </c>
    </row>
    <row r="107" spans="12:18">
      <c r="L107" s="67">
        <v>110066</v>
      </c>
      <c r="M107" s="67" t="s">
        <v>1048</v>
      </c>
      <c r="N107" s="34">
        <v>5.76</v>
      </c>
      <c r="O107" s="67">
        <v>106</v>
      </c>
      <c r="P107" s="24">
        <f>VLOOKUP(L107,'1'!$J:$K,2,FALSE)</f>
        <v>100.23</v>
      </c>
      <c r="Q107" s="17">
        <f>VLOOKUP(L107,'1'!$J:$L,3,FALSE)</f>
        <v>5.3E-3</v>
      </c>
      <c r="R107" s="67" t="str">
        <f t="shared" si="3"/>
        <v/>
      </c>
    </row>
    <row r="108" spans="12:18">
      <c r="L108" s="67">
        <v>113568</v>
      </c>
      <c r="M108" s="67" t="s">
        <v>1082</v>
      </c>
      <c r="N108" s="34">
        <v>5.77</v>
      </c>
      <c r="O108" s="67">
        <v>107</v>
      </c>
      <c r="P108" s="24">
        <f>VLOOKUP(L108,'1'!$J:$K,2,FALSE)</f>
        <v>106.35</v>
      </c>
      <c r="Q108" s="17">
        <f>VLOOKUP(L108,'1'!$J:$L,3,FALSE)</f>
        <v>1.6400000000000001E-2</v>
      </c>
      <c r="R108" s="67" t="str">
        <f t="shared" si="3"/>
        <v/>
      </c>
    </row>
    <row r="109" spans="12:18">
      <c r="L109" s="67">
        <v>123043</v>
      </c>
      <c r="M109" s="67" t="s">
        <v>1486</v>
      </c>
      <c r="N109" s="34">
        <v>5.77</v>
      </c>
      <c r="O109" s="67">
        <v>108</v>
      </c>
      <c r="P109" s="24">
        <f>VLOOKUP(L109,'1'!$J:$K,2,FALSE)</f>
        <v>109.56</v>
      </c>
      <c r="Q109" s="17">
        <f>VLOOKUP(L109,'1'!$J:$L,3,FALSE)</f>
        <v>1.12E-2</v>
      </c>
      <c r="R109" s="67" t="str">
        <f t="shared" si="3"/>
        <v/>
      </c>
    </row>
    <row r="110" spans="12:18">
      <c r="L110" s="67">
        <v>123045</v>
      </c>
      <c r="M110" s="67" t="s">
        <v>1482</v>
      </c>
      <c r="N110" s="34">
        <v>5.78</v>
      </c>
      <c r="O110" s="67">
        <v>109</v>
      </c>
      <c r="P110" s="24">
        <f>VLOOKUP(L110,'1'!$J:$K,2,FALSE)</f>
        <v>106.1</v>
      </c>
      <c r="Q110" s="17">
        <f>VLOOKUP(L110,'1'!$J:$L,3,FALSE)</f>
        <v>4.5999999999999999E-3</v>
      </c>
      <c r="R110" s="67" t="str">
        <f t="shared" si="3"/>
        <v/>
      </c>
    </row>
    <row r="111" spans="12:18">
      <c r="L111" s="67">
        <v>128100</v>
      </c>
      <c r="M111" s="67" t="s">
        <v>1084</v>
      </c>
      <c r="N111" s="34">
        <v>5.78</v>
      </c>
      <c r="O111" s="67">
        <v>110</v>
      </c>
      <c r="P111" s="24">
        <f>VLOOKUP(L111,'1'!$J:$K,2,FALSE)</f>
        <v>93.786000000000001</v>
      </c>
      <c r="Q111" s="17">
        <f>VLOOKUP(L111,'1'!$J:$L,3,FALSE)</f>
        <v>9.4000000000000004E-3</v>
      </c>
      <c r="R111" s="67" t="str">
        <f t="shared" si="3"/>
        <v/>
      </c>
    </row>
    <row r="112" spans="12:18">
      <c r="L112" s="67">
        <v>123044</v>
      </c>
      <c r="M112" s="67" t="s">
        <v>1483</v>
      </c>
      <c r="N112" s="34">
        <v>5.78</v>
      </c>
      <c r="O112" s="67">
        <v>111</v>
      </c>
      <c r="P112" s="24">
        <f>VLOOKUP(L112,'1'!$J:$K,2,FALSE)</f>
        <v>112.61</v>
      </c>
      <c r="Q112" s="17">
        <f>VLOOKUP(L112,'1'!$J:$L,3,FALSE)</f>
        <v>2.7000000000000001E-3</v>
      </c>
      <c r="R112" s="67" t="str">
        <f t="shared" si="3"/>
        <v/>
      </c>
    </row>
    <row r="113" spans="12:18">
      <c r="L113" s="67">
        <v>110067</v>
      </c>
      <c r="M113" s="67" t="s">
        <v>1220</v>
      </c>
      <c r="N113" s="34">
        <v>5.78</v>
      </c>
      <c r="O113" s="67">
        <v>112</v>
      </c>
      <c r="P113" s="24">
        <f>VLOOKUP(L113,'1'!$J:$K,2,FALSE)</f>
        <v>108.28</v>
      </c>
      <c r="Q113" s="17">
        <f>VLOOKUP(L113,'1'!$J:$L,3,FALSE)</f>
        <v>1E-3</v>
      </c>
      <c r="R113" s="67" t="str">
        <f t="shared" si="3"/>
        <v/>
      </c>
    </row>
    <row r="114" spans="12:18">
      <c r="L114" s="67">
        <v>113570</v>
      </c>
      <c r="M114" s="67" t="s">
        <v>1484</v>
      </c>
      <c r="N114" s="34">
        <v>5.78</v>
      </c>
      <c r="O114" s="67">
        <v>113</v>
      </c>
      <c r="P114" s="24">
        <f>VLOOKUP(L114,'1'!$J:$K,2,FALSE)</f>
        <v>108.85</v>
      </c>
      <c r="Q114" s="17">
        <f>VLOOKUP(L114,'1'!$J:$L,3,FALSE)</f>
        <v>8.8000000000000005E-3</v>
      </c>
      <c r="R114" s="67" t="str">
        <f t="shared" si="3"/>
        <v/>
      </c>
    </row>
    <row r="115" spans="12:18">
      <c r="L115" s="67">
        <v>113569</v>
      </c>
      <c r="M115" s="67" t="s">
        <v>1485</v>
      </c>
      <c r="N115" s="34">
        <v>5.78</v>
      </c>
      <c r="O115" s="67">
        <v>114</v>
      </c>
      <c r="P115" s="24">
        <f>VLOOKUP(L115,'1'!$J:$K,2,FALSE)</f>
        <v>102.34</v>
      </c>
      <c r="Q115" s="17">
        <f>VLOOKUP(L115,'1'!$J:$L,3,FALSE)</f>
        <v>2.8999999999999998E-3</v>
      </c>
      <c r="R115" s="67" t="str">
        <f t="shared" si="3"/>
        <v/>
      </c>
    </row>
    <row r="116" spans="12:18">
      <c r="L116" s="67">
        <v>128101</v>
      </c>
      <c r="M116" s="67" t="s">
        <v>1481</v>
      </c>
      <c r="N116" s="34">
        <v>5.8</v>
      </c>
      <c r="O116" s="67">
        <v>115</v>
      </c>
      <c r="P116" s="24">
        <f>VLOOKUP(L116,'1'!$J:$K,2,FALSE)</f>
        <v>110.32</v>
      </c>
      <c r="Q116" s="17">
        <f>VLOOKUP(L116,'1'!$J:$L,3,FALSE)</f>
        <v>2.8999999999999998E-3</v>
      </c>
      <c r="R116" s="67" t="str">
        <f t="shared" si="3"/>
        <v/>
      </c>
    </row>
    <row r="117" spans="12:18">
      <c r="L117" s="67">
        <v>123047</v>
      </c>
      <c r="M117" s="67" t="s">
        <v>1480</v>
      </c>
      <c r="N117" s="34">
        <v>5.81</v>
      </c>
      <c r="O117" s="67">
        <v>116</v>
      </c>
      <c r="P117" s="24">
        <f>VLOOKUP(L117,'1'!$J:$K,2,FALSE)</f>
        <v>116.5</v>
      </c>
      <c r="Q117" s="17">
        <f>VLOOKUP(L117,'1'!$J:$L,3,FALSE)</f>
        <v>4.3E-3</v>
      </c>
      <c r="R117" s="67" t="str">
        <f t="shared" si="3"/>
        <v/>
      </c>
    </row>
    <row r="118" spans="12:18">
      <c r="L118" s="67">
        <v>128103</v>
      </c>
      <c r="M118" s="67" t="s">
        <v>1190</v>
      </c>
      <c r="N118" s="34">
        <v>5.82</v>
      </c>
      <c r="O118" s="67">
        <v>117</v>
      </c>
      <c r="P118" s="24">
        <f>VLOOKUP(L118,'1'!$J:$K,2,FALSE)</f>
        <v>112.25</v>
      </c>
      <c r="Q118" s="17">
        <f>VLOOKUP(L118,'1'!$J:$L,3,FALSE)</f>
        <v>1.77E-2</v>
      </c>
      <c r="R118" s="67" t="str">
        <f t="shared" si="3"/>
        <v/>
      </c>
    </row>
    <row r="119" spans="12:18">
      <c r="L119" s="67">
        <v>110068</v>
      </c>
      <c r="M119" s="67" t="s">
        <v>1063</v>
      </c>
      <c r="N119" s="34">
        <v>5.82</v>
      </c>
      <c r="O119" s="67">
        <v>118</v>
      </c>
      <c r="P119" s="24">
        <f>VLOOKUP(L119,'1'!$J:$K,2,FALSE)</f>
        <v>106.34</v>
      </c>
      <c r="Q119" s="17">
        <f>VLOOKUP(L119,'1'!$J:$L,3,FALSE)</f>
        <v>8.8000000000000005E-3</v>
      </c>
      <c r="R119" s="67" t="str">
        <f t="shared" si="3"/>
        <v/>
      </c>
    </row>
    <row r="120" spans="12:18">
      <c r="L120" s="67">
        <v>113033</v>
      </c>
      <c r="M120" s="67" t="s">
        <v>1478</v>
      </c>
      <c r="N120" s="34">
        <v>5.84</v>
      </c>
      <c r="O120" s="67">
        <v>119</v>
      </c>
      <c r="P120" s="24">
        <f>VLOOKUP(L120,'1'!$J:$K,2,FALSE)</f>
        <v>103.13</v>
      </c>
      <c r="Q120" s="17">
        <f>VLOOKUP(L120,'1'!$J:$L,3,FALSE)</f>
        <v>1.11E-2</v>
      </c>
      <c r="R120" s="67" t="str">
        <f t="shared" si="3"/>
        <v/>
      </c>
    </row>
    <row r="121" spans="12:18">
      <c r="L121" s="67">
        <v>113574</v>
      </c>
      <c r="M121" s="67" t="s">
        <v>1479</v>
      </c>
      <c r="N121" s="34">
        <v>5.84</v>
      </c>
      <c r="O121" s="67">
        <v>120</v>
      </c>
      <c r="P121" s="24">
        <f>VLOOKUP(L121,'1'!$J:$K,2,FALSE)</f>
        <v>111.72</v>
      </c>
      <c r="Q121" s="17">
        <f>VLOOKUP(L121,'1'!$J:$L,3,FALSE)</f>
        <v>1.1999999999999999E-3</v>
      </c>
      <c r="R121" s="67" t="str">
        <f t="shared" si="3"/>
        <v/>
      </c>
    </row>
    <row r="122" spans="12:18">
      <c r="L122" s="67">
        <v>123048</v>
      </c>
      <c r="M122" s="67" t="s">
        <v>1476</v>
      </c>
      <c r="N122" s="34">
        <v>5.86</v>
      </c>
      <c r="O122" s="67">
        <v>121</v>
      </c>
      <c r="P122" s="24">
        <f>VLOOKUP(L122,'1'!$J:$K,2,FALSE)</f>
        <v>110.066</v>
      </c>
      <c r="Q122" s="17">
        <f>VLOOKUP(L122,'1'!$J:$L,3,FALSE)</f>
        <v>6.4999999999999997E-3</v>
      </c>
      <c r="R122" s="67" t="str">
        <f t="shared" si="3"/>
        <v/>
      </c>
    </row>
    <row r="123" spans="12:18">
      <c r="L123" s="67">
        <v>113576</v>
      </c>
      <c r="M123" s="67" t="s">
        <v>1477</v>
      </c>
      <c r="N123" s="34">
        <v>5.86</v>
      </c>
      <c r="O123" s="67">
        <v>122</v>
      </c>
      <c r="P123" s="24">
        <f>VLOOKUP(L123,'1'!$J:$K,2,FALSE)</f>
        <v>100.17</v>
      </c>
      <c r="Q123" s="17">
        <f>VLOOKUP(L123,'1'!$J:$L,3,FALSE)</f>
        <v>5.1999999999999998E-3</v>
      </c>
      <c r="R123" s="67" t="str">
        <f t="shared" si="3"/>
        <v/>
      </c>
    </row>
    <row r="124" spans="12:18">
      <c r="L124" s="67">
        <v>113034</v>
      </c>
      <c r="M124" s="67" t="s">
        <v>1112</v>
      </c>
      <c r="N124" s="34">
        <v>5.86</v>
      </c>
      <c r="O124" s="67">
        <v>123</v>
      </c>
      <c r="P124" s="24">
        <f>VLOOKUP(L124,'1'!$J:$K,2,FALSE)</f>
        <v>107.02</v>
      </c>
      <c r="Q124" s="17">
        <f>VLOOKUP(L124,'1'!$J:$L,3,FALSE)</f>
        <v>1.15E-2</v>
      </c>
      <c r="R124" s="67" t="str">
        <f t="shared" si="3"/>
        <v/>
      </c>
    </row>
    <row r="125" spans="12:18">
      <c r="L125" s="67">
        <v>127016</v>
      </c>
      <c r="M125" s="67" t="s">
        <v>1131</v>
      </c>
      <c r="N125" s="34">
        <v>5.86</v>
      </c>
      <c r="O125" s="67">
        <v>124</v>
      </c>
      <c r="P125" s="24">
        <f>VLOOKUP(L125,'1'!$J:$K,2,FALSE)</f>
        <v>105.1</v>
      </c>
      <c r="Q125" s="17">
        <f>VLOOKUP(L125,'1'!$J:$L,3,FALSE)</f>
        <v>2.8999999999999998E-3</v>
      </c>
      <c r="R125" s="67" t="str">
        <f t="shared" si="3"/>
        <v/>
      </c>
    </row>
    <row r="126" spans="12:18">
      <c r="L126" s="67">
        <v>123050</v>
      </c>
      <c r="M126" s="67" t="s">
        <v>1474</v>
      </c>
      <c r="N126" s="34">
        <v>5.87</v>
      </c>
      <c r="O126" s="67">
        <v>125</v>
      </c>
      <c r="P126" s="24">
        <f>VLOOKUP(L126,'1'!$J:$K,2,FALSE)</f>
        <v>116.4</v>
      </c>
      <c r="Q126" s="17">
        <f>VLOOKUP(L126,'1'!$J:$L,3,FALSE)</f>
        <v>4.1999999999999997E-3</v>
      </c>
      <c r="R126" s="67" t="str">
        <f t="shared" si="3"/>
        <v/>
      </c>
    </row>
    <row r="127" spans="12:18">
      <c r="L127" s="67">
        <v>123049</v>
      </c>
      <c r="M127" s="67" t="s">
        <v>1124</v>
      </c>
      <c r="N127" s="34">
        <v>5.87</v>
      </c>
      <c r="O127" s="67">
        <v>126</v>
      </c>
      <c r="P127" s="24">
        <f>VLOOKUP(L127,'1'!$J:$K,2,FALSE)</f>
        <v>109.78</v>
      </c>
      <c r="Q127" s="17">
        <f>VLOOKUP(L127,'1'!$J:$L,3,FALSE)</f>
        <v>2.0999999999999999E-3</v>
      </c>
      <c r="R127" s="67" t="str">
        <f t="shared" si="3"/>
        <v/>
      </c>
    </row>
    <row r="128" spans="12:18">
      <c r="L128" s="67">
        <v>110070</v>
      </c>
      <c r="M128" s="67" t="s">
        <v>1475</v>
      </c>
      <c r="N128" s="34">
        <v>5.87</v>
      </c>
      <c r="O128" s="67">
        <v>127</v>
      </c>
      <c r="P128" s="24">
        <f>VLOOKUP(L128,'1'!$J:$K,2,FALSE)</f>
        <v>100.41</v>
      </c>
      <c r="Q128" s="17">
        <f>VLOOKUP(L128,'1'!$J:$L,3,FALSE)</f>
        <v>1.1000000000000001E-3</v>
      </c>
      <c r="R128" s="67" t="str">
        <f t="shared" si="3"/>
        <v/>
      </c>
    </row>
    <row r="129" spans="12:18">
      <c r="L129" s="67">
        <v>113573</v>
      </c>
      <c r="M129" s="67" t="s">
        <v>1473</v>
      </c>
      <c r="N129" s="34">
        <v>5.88</v>
      </c>
      <c r="O129" s="67">
        <v>128</v>
      </c>
      <c r="P129" s="24">
        <f>VLOOKUP(L129,'1'!$J:$K,2,FALSE)</f>
        <v>106.15</v>
      </c>
      <c r="Q129" s="17">
        <f>VLOOKUP(L129,'1'!$J:$L,3,FALSE)</f>
        <v>5.1000000000000004E-3</v>
      </c>
      <c r="R129" s="67" t="str">
        <f t="shared" si="3"/>
        <v/>
      </c>
    </row>
    <row r="130" spans="12:18">
      <c r="L130" s="67">
        <v>113581</v>
      </c>
      <c r="M130" s="67" t="s">
        <v>1471</v>
      </c>
      <c r="N130" s="34">
        <v>5.9</v>
      </c>
      <c r="O130" s="67">
        <v>129</v>
      </c>
      <c r="P130" s="24">
        <f>VLOOKUP(L130,'1'!$J:$K,2,FALSE)</f>
        <v>109.06</v>
      </c>
      <c r="Q130" s="17">
        <f>VLOOKUP(L130,'1'!$J:$L,3,FALSE)</f>
        <v>1.1900000000000001E-2</v>
      </c>
      <c r="R130" s="67" t="str">
        <f t="shared" si="3"/>
        <v/>
      </c>
    </row>
    <row r="131" spans="12:18">
      <c r="L131" s="67">
        <v>113580</v>
      </c>
      <c r="M131" s="67" t="s">
        <v>1472</v>
      </c>
      <c r="N131" s="34">
        <v>5.9</v>
      </c>
      <c r="O131" s="67">
        <v>130</v>
      </c>
      <c r="P131" s="24">
        <f>VLOOKUP(L131,'1'!$J:$K,2,FALSE)</f>
        <v>110.45</v>
      </c>
      <c r="Q131" s="17">
        <f>VLOOKUP(L131,'1'!$J:$L,3,FALSE)</f>
        <v>1.4E-3</v>
      </c>
      <c r="R131" s="67" t="str">
        <f t="shared" ref="R131:R132" si="4">IFERROR(VLOOKUP(L131,A:K,4,FALSE),"")</f>
        <v/>
      </c>
    </row>
    <row r="132" spans="12:18">
      <c r="L132" s="67">
        <v>128107</v>
      </c>
      <c r="M132" s="67" t="s">
        <v>1217</v>
      </c>
      <c r="N132" s="34">
        <v>5.9</v>
      </c>
      <c r="O132" s="67">
        <v>131</v>
      </c>
      <c r="P132" s="24">
        <f>VLOOKUP(L132,'1'!$J:$K,2,FALSE)</f>
        <v>108.6</v>
      </c>
      <c r="Q132" s="17">
        <f>VLOOKUP(L132,'1'!$J:$L,3,FALSE)</f>
        <v>6.4000000000000003E-3</v>
      </c>
      <c r="R132" s="67" t="str">
        <f t="shared" si="4"/>
        <v/>
      </c>
    </row>
    <row r="133" spans="12:18">
      <c r="M133" s="67" t="s">
        <v>179</v>
      </c>
      <c r="N133" s="34">
        <f>AVERAGE(N2:N132)</f>
        <v>4.8331137305306928</v>
      </c>
      <c r="P133" s="24">
        <f t="shared" ref="P133:Q133" si="5">AVERAGE(P2:P132)</f>
        <v>106.16704580152673</v>
      </c>
      <c r="Q133" s="17">
        <f t="shared" si="5"/>
        <v>6.1769230769230729E-3</v>
      </c>
    </row>
  </sheetData>
  <phoneticPr fontId="18"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12"/>
  <dimension ref="A1:N33"/>
  <sheetViews>
    <sheetView workbookViewId="0">
      <selection activeCell="F25" sqref="F25"/>
    </sheetView>
  </sheetViews>
  <sheetFormatPr defaultRowHeight="14.4"/>
  <cols>
    <col min="1" max="1" width="8.88671875" style="117"/>
    <col min="2" max="2" width="26.5546875" customWidth="1"/>
    <col min="3" max="3" width="22.44140625" customWidth="1"/>
    <col min="4" max="4" width="11.6640625" style="144" bestFit="1" customWidth="1"/>
    <col min="5" max="5" width="11.6640625" style="144" customWidth="1"/>
    <col min="6" max="6" width="71" customWidth="1"/>
    <col min="7" max="7" width="11.88671875" style="67" customWidth="1"/>
    <col min="8" max="14" width="8.88671875" style="67"/>
  </cols>
  <sheetData>
    <row r="1" spans="1:10">
      <c r="A1" s="117" t="s">
        <v>325</v>
      </c>
      <c r="B1" s="18" t="s">
        <v>326</v>
      </c>
      <c r="C1" s="18" t="s">
        <v>324</v>
      </c>
      <c r="D1" s="145" t="s">
        <v>12</v>
      </c>
      <c r="E1" s="145" t="s">
        <v>811</v>
      </c>
      <c r="F1" s="18" t="s">
        <v>383</v>
      </c>
      <c r="G1" s="16">
        <v>43830</v>
      </c>
      <c r="H1" s="67" t="s">
        <v>845</v>
      </c>
      <c r="I1" s="66" t="s">
        <v>862</v>
      </c>
    </row>
    <row r="2" spans="1:10">
      <c r="A2" s="117">
        <v>1938</v>
      </c>
      <c r="B2" s="18" t="s">
        <v>368</v>
      </c>
      <c r="C2" s="18" t="s">
        <v>366</v>
      </c>
      <c r="D2" s="170">
        <f>VLOOKUP(A2,'2'!H:I,2,FALSE)</f>
        <v>1.6577</v>
      </c>
      <c r="E2" s="140">
        <f>VLOOKUP(A2,'2'!H:J,3,FALSE)</f>
        <v>2.01E-2</v>
      </c>
      <c r="F2" s="18" t="s">
        <v>367</v>
      </c>
      <c r="G2" s="153">
        <v>1.5972</v>
      </c>
      <c r="I2" s="17">
        <f>(D2+H2)/G2-1</f>
        <v>3.7878787878787845E-2</v>
      </c>
    </row>
    <row r="3" spans="1:10">
      <c r="A3" s="117">
        <v>5063</v>
      </c>
      <c r="B3" t="s">
        <v>312</v>
      </c>
      <c r="C3" s="18" t="s">
        <v>319</v>
      </c>
      <c r="D3" s="170">
        <f>VLOOKUP(A3,'2'!H:I,2,FALSE)</f>
        <v>1.0656000000000001</v>
      </c>
      <c r="E3" s="140">
        <f>VLOOKUP(A3,'2'!H:J,3,FALSE)</f>
        <v>1.3299999999999999E-2</v>
      </c>
      <c r="F3" s="18" t="s">
        <v>321</v>
      </c>
      <c r="G3" s="153">
        <v>1.0726</v>
      </c>
      <c r="I3" s="17">
        <f t="shared" ref="I3:I9" si="0">(D3+H3)/G3-1</f>
        <v>-6.5261980234941896E-3</v>
      </c>
    </row>
    <row r="4" spans="1:10">
      <c r="A4" s="117">
        <v>160213</v>
      </c>
      <c r="B4" s="18" t="s">
        <v>315</v>
      </c>
      <c r="C4" s="18" t="s">
        <v>320</v>
      </c>
      <c r="D4" s="170">
        <f>VLOOKUP(A4,'2'!H:I,2,FALSE)</f>
        <v>4.0629999999999997</v>
      </c>
      <c r="E4" s="140">
        <f>VLOOKUP(A4,'2'!H:J,3,FALSE)</f>
        <v>-2.0000000000000001E-4</v>
      </c>
      <c r="F4" s="18" t="s">
        <v>322</v>
      </c>
      <c r="G4" s="153">
        <v>4.109</v>
      </c>
      <c r="H4" s="153">
        <v>0.4</v>
      </c>
      <c r="I4" s="17">
        <f t="shared" si="0"/>
        <v>8.615234850328557E-2</v>
      </c>
    </row>
    <row r="5" spans="1:10">
      <c r="A5" s="117">
        <v>160218</v>
      </c>
      <c r="B5" t="s">
        <v>309</v>
      </c>
      <c r="C5" s="18" t="s">
        <v>323</v>
      </c>
      <c r="D5" s="170">
        <f>VLOOKUP(A5,'2'!H:I,2,FALSE)</f>
        <v>0.96760000000000002</v>
      </c>
      <c r="E5" s="140">
        <f>VLOOKUP(A5,'2'!H:J,3,FALSE)</f>
        <v>-6.1000000000000004E-3</v>
      </c>
      <c r="F5" s="18" t="s">
        <v>328</v>
      </c>
      <c r="G5" s="153">
        <v>1.0838000000000001</v>
      </c>
      <c r="H5" s="67">
        <v>2.75E-2</v>
      </c>
      <c r="I5" s="17">
        <f t="shared" si="0"/>
        <v>-8.1841668204465812E-2</v>
      </c>
    </row>
    <row r="6" spans="1:10">
      <c r="A6" s="117">
        <v>160222</v>
      </c>
      <c r="B6" t="s">
        <v>311</v>
      </c>
      <c r="C6" s="18" t="s">
        <v>327</v>
      </c>
      <c r="D6" s="170">
        <f>VLOOKUP(A6,'2'!H:I,2,FALSE)</f>
        <v>1.2293000000000001</v>
      </c>
      <c r="E6" s="140">
        <f>VLOOKUP(A6,'2'!H:J,3,FALSE)</f>
        <v>1.3899999999999999E-2</v>
      </c>
      <c r="F6" s="18" t="s">
        <v>329</v>
      </c>
      <c r="G6" s="153">
        <v>1.0958000000000001</v>
      </c>
      <c r="H6" s="67">
        <v>1.84E-2</v>
      </c>
      <c r="I6" s="17">
        <f t="shared" si="0"/>
        <v>0.13862018616535865</v>
      </c>
    </row>
    <row r="7" spans="1:10">
      <c r="A7" s="117">
        <v>164906</v>
      </c>
      <c r="B7" t="s">
        <v>314</v>
      </c>
      <c r="C7" s="18" t="s">
        <v>330</v>
      </c>
      <c r="D7" s="170">
        <f>VLOOKUP(A7,'2'!H:I,2,FALSE)</f>
        <v>1.4339999999999999</v>
      </c>
      <c r="E7" s="140">
        <f>VLOOKUP(A7,'2'!H:J,3,FALSE)</f>
        <v>-1.17E-2</v>
      </c>
      <c r="F7" s="18" t="s">
        <v>331</v>
      </c>
      <c r="G7" s="153">
        <v>1.353</v>
      </c>
      <c r="I7" s="17">
        <f t="shared" si="0"/>
        <v>5.9866962305986648E-2</v>
      </c>
    </row>
    <row r="8" spans="1:10">
      <c r="A8" s="117">
        <v>240019</v>
      </c>
      <c r="B8" t="s">
        <v>310</v>
      </c>
      <c r="C8" s="18" t="s">
        <v>332</v>
      </c>
      <c r="D8" s="170">
        <f>VLOOKUP(A8,'2'!H:I,2,FALSE)</f>
        <v>1.0301</v>
      </c>
      <c r="E8" s="140">
        <f>VLOOKUP(A8,'2'!H:J,3,FALSE)</f>
        <v>-5.8999999999999999E-3</v>
      </c>
      <c r="F8" s="18" t="s">
        <v>333</v>
      </c>
      <c r="G8" s="153">
        <v>1.1669</v>
      </c>
      <c r="I8" s="17">
        <f t="shared" si="0"/>
        <v>-0.11723369611791934</v>
      </c>
    </row>
    <row r="9" spans="1:10">
      <c r="A9" s="117">
        <v>399011</v>
      </c>
      <c r="B9" s="18" t="s">
        <v>317</v>
      </c>
      <c r="C9" s="18" t="s">
        <v>382</v>
      </c>
      <c r="D9" s="170">
        <f>VLOOKUP(A9,'2'!H:I,2,FALSE)</f>
        <v>1.83</v>
      </c>
      <c r="E9" s="140">
        <f>VLOOKUP(A9,'2'!H:J,3,FALSE)</f>
        <v>1.95E-2</v>
      </c>
      <c r="F9" s="18" t="s">
        <v>318</v>
      </c>
      <c r="G9" s="153">
        <v>1.657</v>
      </c>
      <c r="H9" s="153">
        <f>0.038+0.058</f>
        <v>9.6000000000000002E-2</v>
      </c>
      <c r="I9" s="17">
        <f t="shared" si="0"/>
        <v>0.16234158117079067</v>
      </c>
    </row>
    <row r="10" spans="1:10">
      <c r="B10" s="18" t="s">
        <v>334</v>
      </c>
      <c r="D10" s="170">
        <f>AVERAGE(D2:D9)</f>
        <v>1.6596624999999998</v>
      </c>
      <c r="E10" s="140">
        <f>AVERAGE(E2:E9)</f>
        <v>5.3624999999999992E-3</v>
      </c>
      <c r="I10" s="140">
        <f>AVERAGE(I2:I9)</f>
        <v>3.4907287959791256E-2</v>
      </c>
    </row>
    <row r="11" spans="1:10">
      <c r="B11" t="s">
        <v>316</v>
      </c>
      <c r="D11" s="141">
        <f>'1'!K4</f>
        <v>3867.0232000000001</v>
      </c>
      <c r="E11" s="140">
        <f>'1'!D4</f>
        <v>2.7000000000000001E-3</v>
      </c>
    </row>
    <row r="12" spans="1:10">
      <c r="D12" s="142"/>
      <c r="E12" s="142"/>
      <c r="J12" s="66"/>
    </row>
    <row r="13" spans="1:10">
      <c r="A13" s="118" t="s">
        <v>384</v>
      </c>
      <c r="D13" s="142"/>
      <c r="E13" s="142"/>
    </row>
    <row r="14" spans="1:10">
      <c r="A14" s="117" t="s">
        <v>325</v>
      </c>
      <c r="B14" s="18" t="s">
        <v>326</v>
      </c>
      <c r="C14" s="18" t="s">
        <v>324</v>
      </c>
      <c r="D14" s="138" t="s">
        <v>12</v>
      </c>
      <c r="E14" s="138" t="s">
        <v>811</v>
      </c>
      <c r="F14" s="18" t="s">
        <v>383</v>
      </c>
    </row>
    <row r="15" spans="1:10">
      <c r="A15" s="117">
        <v>248</v>
      </c>
      <c r="B15" s="18" t="s">
        <v>349</v>
      </c>
      <c r="C15" s="18" t="s">
        <v>346</v>
      </c>
      <c r="D15" s="139">
        <f>VLOOKUP(A15,'2'!H:I,2,FALSE)</f>
        <v>2.2427000000000001</v>
      </c>
      <c r="E15" s="140">
        <f>VLOOKUP(A15,'2'!H:J,3,FALSE)</f>
        <v>1.47E-2</v>
      </c>
      <c r="F15" s="18" t="s">
        <v>347</v>
      </c>
      <c r="G15" s="153">
        <v>2.0116000000000001</v>
      </c>
      <c r="I15" s="17">
        <f>(D15+H15)/G15-1</f>
        <v>0.11488367468681648</v>
      </c>
    </row>
    <row r="16" spans="1:10">
      <c r="A16" s="117">
        <v>1180</v>
      </c>
      <c r="B16" t="s">
        <v>313</v>
      </c>
      <c r="C16" s="18" t="s">
        <v>336</v>
      </c>
      <c r="D16" s="139">
        <f>VLOOKUP(A16,'2'!H:I,2,FALSE)</f>
        <v>1.0232000000000001</v>
      </c>
      <c r="E16" s="140">
        <f>VLOOKUP(A16,'2'!H:J,3,FALSE)</f>
        <v>1.9300000000000001E-2</v>
      </c>
      <c r="F16" s="18" t="s">
        <v>335</v>
      </c>
      <c r="G16" s="153">
        <v>0.86009999999999998</v>
      </c>
      <c r="I16" s="17">
        <f t="shared" ref="I16:I32" si="1">(D16+H16)/G16-1</f>
        <v>0.18962911289384965</v>
      </c>
    </row>
    <row r="17" spans="1:9">
      <c r="A17" s="117">
        <v>1631</v>
      </c>
      <c r="B17" s="18" t="s">
        <v>348</v>
      </c>
      <c r="C17" s="18" t="s">
        <v>350</v>
      </c>
      <c r="D17" s="139">
        <f>VLOOKUP(A17,'2'!H:I,2,FALSE)</f>
        <v>2.1640000000000001</v>
      </c>
      <c r="E17" s="140">
        <f>VLOOKUP(A17,'2'!H:J,3,FALSE)</f>
        <v>1.5100000000000001E-2</v>
      </c>
      <c r="F17" s="18" t="s">
        <v>351</v>
      </c>
      <c r="G17" s="153">
        <v>1.8524</v>
      </c>
      <c r="I17" s="17">
        <f t="shared" si="1"/>
        <v>0.16821420859425618</v>
      </c>
    </row>
    <row r="18" spans="1:9">
      <c r="A18" s="117">
        <v>110003</v>
      </c>
      <c r="B18" t="s">
        <v>343</v>
      </c>
      <c r="C18" s="18" t="s">
        <v>337</v>
      </c>
      <c r="D18" s="139">
        <f>VLOOKUP(A18,'2'!H:I,2,FALSE)</f>
        <v>1.7766999999999999</v>
      </c>
      <c r="E18" s="140">
        <f>VLOOKUP(A18,'2'!H:J,3,FALSE)</f>
        <v>4.1999999999999997E-3</v>
      </c>
      <c r="F18" s="18" t="s">
        <v>338</v>
      </c>
      <c r="G18" s="153">
        <v>1.8080000000000001</v>
      </c>
      <c r="I18" s="17">
        <f t="shared" si="1"/>
        <v>-1.7311946902654918E-2</v>
      </c>
    </row>
    <row r="19" spans="1:9">
      <c r="A19" s="117">
        <v>110031</v>
      </c>
      <c r="B19" s="18" t="s">
        <v>379</v>
      </c>
      <c r="C19" s="18" t="s">
        <v>380</v>
      </c>
      <c r="D19" s="139">
        <f>VLOOKUP(A19,'2'!H:I,2,FALSE)</f>
        <v>1.1184000000000001</v>
      </c>
      <c r="E19" s="140">
        <f>VLOOKUP(A19,'2'!H:J,3,FALSE)</f>
        <v>1.5E-3</v>
      </c>
      <c r="F19" s="18" t="s">
        <v>381</v>
      </c>
      <c r="G19" s="153">
        <v>1.2633000000000001</v>
      </c>
      <c r="I19" s="17">
        <f t="shared" si="1"/>
        <v>-0.11469959629541682</v>
      </c>
    </row>
    <row r="20" spans="1:9">
      <c r="A20" s="117">
        <v>160716</v>
      </c>
      <c r="B20" s="18" t="s">
        <v>360</v>
      </c>
      <c r="C20" s="18" t="s">
        <v>354</v>
      </c>
      <c r="D20" s="139">
        <f>VLOOKUP(A20,'2'!H:I,2,FALSE)</f>
        <v>1.4391</v>
      </c>
      <c r="E20" s="140">
        <f>VLOOKUP(A20,'2'!H:J,3,FALSE)</f>
        <v>-5.7999999999999996E-3</v>
      </c>
      <c r="F20" s="18" t="s">
        <v>355</v>
      </c>
      <c r="G20" s="153">
        <v>1.6455</v>
      </c>
      <c r="I20" s="17">
        <f t="shared" si="1"/>
        <v>-0.12543299908842287</v>
      </c>
    </row>
    <row r="21" spans="1:9">
      <c r="A21" s="117">
        <v>161725</v>
      </c>
      <c r="B21" s="18" t="s">
        <v>358</v>
      </c>
      <c r="C21" s="18" t="s">
        <v>352</v>
      </c>
      <c r="D21" s="139">
        <f>VLOOKUP(A21,'2'!H:I,2,FALSE)</f>
        <v>1.0652999999999999</v>
      </c>
      <c r="E21" s="140">
        <f>VLOOKUP(A21,'2'!H:J,3,FALSE)</f>
        <v>1.49E-2</v>
      </c>
      <c r="F21" s="18" t="s">
        <v>353</v>
      </c>
      <c r="G21" s="153">
        <v>1.0073000000000001</v>
      </c>
      <c r="I21" s="17">
        <f t="shared" si="1"/>
        <v>5.7579668420529861E-2</v>
      </c>
    </row>
    <row r="22" spans="1:9">
      <c r="A22" s="117">
        <v>163407</v>
      </c>
      <c r="B22" t="s">
        <v>345</v>
      </c>
      <c r="C22" s="18" t="s">
        <v>341</v>
      </c>
      <c r="D22" s="139">
        <f>VLOOKUP(A22,'2'!H:I,2,FALSE)</f>
        <v>2.0049000000000001</v>
      </c>
      <c r="E22" s="140">
        <f>VLOOKUP(A22,'2'!H:J,3,FALSE)</f>
        <v>6.6E-3</v>
      </c>
      <c r="F22" s="18" t="s">
        <v>342</v>
      </c>
      <c r="G22" s="153">
        <v>2.1263000000000001</v>
      </c>
      <c r="I22" s="17">
        <f t="shared" si="1"/>
        <v>-5.7094483374876548E-2</v>
      </c>
    </row>
    <row r="23" spans="1:9">
      <c r="A23" s="117">
        <v>213010</v>
      </c>
      <c r="B23" s="18" t="s">
        <v>344</v>
      </c>
      <c r="C23" s="18" t="s">
        <v>339</v>
      </c>
      <c r="D23" s="139">
        <f>VLOOKUP(A23,'2'!H:I,2,FALSE)</f>
        <v>1.675</v>
      </c>
      <c r="E23" s="140">
        <f>VLOOKUP(A23,'2'!H:J,3,FALSE)</f>
        <v>0</v>
      </c>
      <c r="F23" s="18" t="s">
        <v>340</v>
      </c>
      <c r="G23" s="153">
        <v>1.7310000000000001</v>
      </c>
      <c r="I23" s="17">
        <f t="shared" si="1"/>
        <v>-3.235124205661466E-2</v>
      </c>
    </row>
    <row r="24" spans="1:9">
      <c r="A24" s="117">
        <v>217022</v>
      </c>
      <c r="B24" s="18" t="s">
        <v>376</v>
      </c>
      <c r="C24" s="18" t="s">
        <v>375</v>
      </c>
      <c r="D24" s="139">
        <f>VLOOKUP(A24,'2'!H:I,2,FALSE)</f>
        <v>1.506</v>
      </c>
      <c r="E24" s="140">
        <f>VLOOKUP(A24,'2'!H:J,3,FALSE)</f>
        <v>0</v>
      </c>
      <c r="F24" s="18" t="s">
        <v>377</v>
      </c>
      <c r="G24" s="153">
        <v>1.4630000000000001</v>
      </c>
      <c r="I24" s="17">
        <f>(D24+H24)/G24-1</f>
        <v>2.9391660970608191E-2</v>
      </c>
    </row>
    <row r="25" spans="1:9">
      <c r="A25" s="117">
        <v>217027</v>
      </c>
      <c r="B25" s="18" t="s">
        <v>359</v>
      </c>
      <c r="C25" s="18" t="s">
        <v>356</v>
      </c>
      <c r="D25" s="139">
        <f>VLOOKUP(A25,'2'!H:I,2,FALSE)</f>
        <v>2.2521</v>
      </c>
      <c r="E25" s="140">
        <f>VLOOKUP(A25,'2'!H:J,3,FALSE)</f>
        <v>-4.0000000000000002E-4</v>
      </c>
      <c r="F25" s="18" t="s">
        <v>357</v>
      </c>
      <c r="G25" s="153">
        <v>2.3117000000000001</v>
      </c>
      <c r="I25" s="17">
        <f t="shared" si="1"/>
        <v>-2.5781892114028704E-2</v>
      </c>
    </row>
    <row r="26" spans="1:9">
      <c r="A26" s="117">
        <v>270042</v>
      </c>
      <c r="B26" s="18" t="s">
        <v>378</v>
      </c>
      <c r="C26" s="18" t="s">
        <v>320</v>
      </c>
      <c r="D26" s="139">
        <f>VLOOKUP(A26,'2'!H:I,2,FALSE)</f>
        <v>2.9619</v>
      </c>
      <c r="E26" s="140">
        <f>VLOOKUP(A26,'2'!H:J,3,FALSE)</f>
        <v>2.0000000000000001E-4</v>
      </c>
      <c r="F26" s="18" t="s">
        <v>322</v>
      </c>
      <c r="G26" s="153">
        <v>2.7479</v>
      </c>
      <c r="I26" s="17">
        <f t="shared" si="1"/>
        <v>7.7877652025182931E-2</v>
      </c>
    </row>
    <row r="27" spans="1:9">
      <c r="A27" s="117">
        <v>310398</v>
      </c>
      <c r="B27" s="18" t="s">
        <v>361</v>
      </c>
      <c r="C27" s="18" t="s">
        <v>362</v>
      </c>
      <c r="D27" s="139">
        <f>VLOOKUP(A27,'2'!H:I,2,FALSE)</f>
        <v>1.2458</v>
      </c>
      <c r="E27" s="140">
        <f>VLOOKUP(A27,'2'!H:J,3,FALSE)</f>
        <v>-4.8999999999999998E-3</v>
      </c>
      <c r="F27" s="18" t="s">
        <v>355</v>
      </c>
      <c r="G27" s="153">
        <v>1.4157999999999999</v>
      </c>
      <c r="I27" s="17">
        <f t="shared" si="1"/>
        <v>-0.12007345670292413</v>
      </c>
    </row>
    <row r="28" spans="1:9">
      <c r="A28" s="117">
        <v>340001</v>
      </c>
      <c r="B28" s="18" t="s">
        <v>372</v>
      </c>
      <c r="C28" s="18" t="s">
        <v>373</v>
      </c>
      <c r="D28" s="139">
        <f>VLOOKUP(A28,'2'!H:I,2,FALSE)</f>
        <v>1.2105999999999999</v>
      </c>
      <c r="E28" s="140">
        <f>VLOOKUP(A28,'2'!H:J,3,FALSE)</f>
        <v>8.0000000000000002E-3</v>
      </c>
      <c r="F28" s="18" t="s">
        <v>374</v>
      </c>
      <c r="G28" s="153">
        <v>1.2143999999999999</v>
      </c>
      <c r="I28" s="17">
        <f t="shared" si="1"/>
        <v>-3.1291172595521166E-3</v>
      </c>
    </row>
    <row r="29" spans="1:9">
      <c r="A29" s="117">
        <v>481012</v>
      </c>
      <c r="B29" s="18" t="s">
        <v>363</v>
      </c>
      <c r="C29" s="18" t="s">
        <v>364</v>
      </c>
      <c r="D29" s="139">
        <f>VLOOKUP(A29,'2'!H:I,2,FALSE)</f>
        <v>1.5289999999999999</v>
      </c>
      <c r="E29" s="140">
        <f>VLOOKUP(A29,'2'!H:J,3,FALSE)</f>
        <v>3.7000000000000002E-3</v>
      </c>
      <c r="F29" s="18" t="s">
        <v>365</v>
      </c>
      <c r="G29" s="153">
        <v>1.6524000000000001</v>
      </c>
      <c r="I29" s="17">
        <f t="shared" si="1"/>
        <v>-7.4679254417816643E-2</v>
      </c>
    </row>
    <row r="30" spans="1:9">
      <c r="A30" s="117">
        <v>519697</v>
      </c>
      <c r="B30" s="18" t="s">
        <v>369</v>
      </c>
      <c r="C30" s="18" t="s">
        <v>370</v>
      </c>
      <c r="D30" s="139">
        <f>VLOOKUP(A30,'2'!H:I,2,FALSE)</f>
        <v>4.3520000000000003</v>
      </c>
      <c r="E30" s="140">
        <f>VLOOKUP(A30,'2'!H:J,3,FALSE)</f>
        <v>6.7000000000000002E-3</v>
      </c>
      <c r="F30" s="18" t="s">
        <v>371</v>
      </c>
      <c r="G30" s="153">
        <v>4.0579999999999998</v>
      </c>
      <c r="I30" s="17">
        <f t="shared" si="1"/>
        <v>7.2449482503696538E-2</v>
      </c>
    </row>
    <row r="31" spans="1:9">
      <c r="A31" s="117">
        <v>270002</v>
      </c>
      <c r="B31" s="18" t="s">
        <v>1073</v>
      </c>
      <c r="C31" s="18"/>
      <c r="D31" s="139">
        <f>VLOOKUP(A31,'2'!H:I,2,FALSE)</f>
        <v>1.6054999999999999</v>
      </c>
      <c r="E31" s="140">
        <f>VLOOKUP(A31,'2'!H:J,3,FALSE)</f>
        <v>9.2999999999999992E-3</v>
      </c>
      <c r="F31" s="18" t="s">
        <v>1070</v>
      </c>
      <c r="G31" s="153">
        <v>1.4866999999999999</v>
      </c>
      <c r="H31" s="67">
        <v>6.1400000000000003E-2</v>
      </c>
      <c r="I31" s="17">
        <f t="shared" si="1"/>
        <v>0.12120804466267576</v>
      </c>
    </row>
    <row r="32" spans="1:9">
      <c r="A32" s="117">
        <v>202023</v>
      </c>
      <c r="B32" s="18" t="s">
        <v>1071</v>
      </c>
      <c r="C32" s="18"/>
      <c r="D32" s="139">
        <f>VLOOKUP(A32,'2'!H:I,2,FALSE)</f>
        <v>3.5720000000000001</v>
      </c>
      <c r="E32" s="140">
        <f>VLOOKUP(A32,'2'!H:J,3,FALSE)</f>
        <v>1.8499999999999999E-2</v>
      </c>
      <c r="F32" s="18" t="s">
        <v>1072</v>
      </c>
      <c r="G32" s="153">
        <v>3.0569999999999999</v>
      </c>
      <c r="I32" s="17">
        <f t="shared" si="1"/>
        <v>0.16846581615963374</v>
      </c>
    </row>
    <row r="33" spans="3:9">
      <c r="C33" s="18"/>
      <c r="D33" s="143">
        <f>AVERAGE(D15:D30)</f>
        <v>1.8479187499999998</v>
      </c>
      <c r="E33" s="140">
        <f>AVERAGE(E15:E30)</f>
        <v>5.2375000000000008E-3</v>
      </c>
      <c r="F33" s="18"/>
      <c r="I33" s="140">
        <f>AVERAGE(I15:I32)</f>
        <v>2.3841407372496775E-2</v>
      </c>
    </row>
  </sheetData>
  <sortState ref="A15:F30">
    <sortCondition ref="A15:A30"/>
  </sortState>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3"/>
  <dimension ref="A1:N41"/>
  <sheetViews>
    <sheetView workbookViewId="0">
      <selection activeCell="I4" sqref="I4"/>
    </sheetView>
  </sheetViews>
  <sheetFormatPr defaultColWidth="8.88671875" defaultRowHeight="14.4"/>
  <cols>
    <col min="1" max="1" width="8.88671875" style="67"/>
    <col min="2" max="2" width="27.21875" style="67" customWidth="1"/>
    <col min="3" max="3" width="19.6640625" style="67" customWidth="1"/>
    <col min="4" max="4" width="8.88671875" style="32"/>
    <col min="5" max="5" width="8.88671875" style="32" customWidth="1"/>
    <col min="6" max="9" width="8.88671875" style="67"/>
    <col min="10" max="10" width="12.77734375" style="67" bestFit="1" customWidth="1"/>
    <col min="11" max="16384" width="8.88671875" style="67"/>
  </cols>
  <sheetData>
    <row r="1" spans="1:14">
      <c r="A1" s="122" t="s">
        <v>16</v>
      </c>
      <c r="B1" s="66" t="s">
        <v>326</v>
      </c>
      <c r="C1" s="66" t="s">
        <v>324</v>
      </c>
      <c r="D1" s="136" t="s">
        <v>12</v>
      </c>
      <c r="E1" s="136" t="s">
        <v>750</v>
      </c>
      <c r="F1" s="66" t="s">
        <v>801</v>
      </c>
      <c r="G1" s="66" t="s">
        <v>812</v>
      </c>
      <c r="H1" s="66" t="s">
        <v>813</v>
      </c>
      <c r="I1" s="66" t="s">
        <v>291</v>
      </c>
      <c r="J1" s="16">
        <v>43830</v>
      </c>
      <c r="K1" s="67" t="s">
        <v>845</v>
      </c>
      <c r="L1" s="66" t="s">
        <v>860</v>
      </c>
    </row>
    <row r="2" spans="1:14">
      <c r="A2" s="67">
        <v>159928</v>
      </c>
      <c r="B2" s="67" t="s">
        <v>395</v>
      </c>
      <c r="C2" s="66" t="s">
        <v>402</v>
      </c>
      <c r="D2" s="137">
        <f>VLOOKUP(A2,'2'!H:I,2,FALSE)</f>
        <v>3.3807</v>
      </c>
      <c r="E2" s="137">
        <f>VLOOKUP(A2,'1'!J:K,2,FALSE)</f>
        <v>3.37</v>
      </c>
      <c r="F2" s="17">
        <f>E2/D2-1</f>
        <v>-3.1650249948235176E-3</v>
      </c>
      <c r="G2" s="17">
        <f>VLOOKUP(A2,'2'!H:J,3,FALSE)</f>
        <v>1.55E-2</v>
      </c>
      <c r="H2" s="17">
        <f>VLOOKUP(A2,'1'!J:L,3,FALSE)</f>
        <v>1.11E-2</v>
      </c>
      <c r="I2" s="66" t="s">
        <v>405</v>
      </c>
      <c r="J2" s="153">
        <v>3.0179999999999998</v>
      </c>
      <c r="L2" s="112">
        <f>(E2+K2)/J2-1</f>
        <v>0.11663353214049055</v>
      </c>
      <c r="N2" s="17"/>
    </row>
    <row r="3" spans="1:14">
      <c r="A3" s="67">
        <v>164906</v>
      </c>
      <c r="B3" s="67" t="s">
        <v>397</v>
      </c>
      <c r="C3" s="66" t="s">
        <v>407</v>
      </c>
      <c r="D3" s="137">
        <f>VLOOKUP(A3,'2'!H:I,2,FALSE)</f>
        <v>1.4339999999999999</v>
      </c>
      <c r="E3" s="137">
        <f>VLOOKUP(A3,'1'!J:K,2,FALSE)</f>
        <v>1.4339999999999999</v>
      </c>
      <c r="F3" s="17">
        <f t="shared" ref="F3:F29" si="0">E3/D3-1</f>
        <v>0</v>
      </c>
      <c r="G3" s="17">
        <f>VLOOKUP(A3,'2'!H:J,3,FALSE)</f>
        <v>-1.17E-2</v>
      </c>
      <c r="H3" s="17">
        <f>VLOOKUP(A3,'1'!J:L,3,FALSE)</f>
        <v>-5.4999999999999997E-3</v>
      </c>
      <c r="I3" s="66" t="s">
        <v>408</v>
      </c>
      <c r="J3" s="153">
        <v>1.377</v>
      </c>
      <c r="L3" s="112">
        <f t="shared" ref="L3:L11" si="1">(E3+K3)/J3-1</f>
        <v>4.1394335511982572E-2</v>
      </c>
      <c r="N3" s="17"/>
    </row>
    <row r="4" spans="1:14">
      <c r="A4" s="67">
        <v>501038</v>
      </c>
      <c r="B4" s="66" t="s">
        <v>431</v>
      </c>
      <c r="C4" s="66" t="s">
        <v>430</v>
      </c>
      <c r="D4" s="137">
        <f>VLOOKUP(A4,'2'!H:I,2,FALSE)</f>
        <v>1.5697000000000001</v>
      </c>
      <c r="E4" s="137">
        <f>VLOOKUP(A4,'1'!J:K,2,FALSE)</f>
        <v>1.508</v>
      </c>
      <c r="F4" s="17">
        <f t="shared" si="0"/>
        <v>-3.9306873924953911E-2</v>
      </c>
      <c r="G4" s="17">
        <f>VLOOKUP(A4,'2'!H:J,3,FALSE)</f>
        <v>1.9199999999999998E-2</v>
      </c>
      <c r="H4" s="17">
        <f>VLOOKUP(A4,'1'!J:L,3,FALSE)</f>
        <v>0.01</v>
      </c>
      <c r="I4" s="66" t="s">
        <v>922</v>
      </c>
      <c r="J4" s="153">
        <v>1.26</v>
      </c>
      <c r="L4" s="112">
        <f t="shared" si="1"/>
        <v>0.19682539682539679</v>
      </c>
      <c r="N4" s="17"/>
    </row>
    <row r="5" spans="1:14">
      <c r="A5" s="67">
        <v>501075</v>
      </c>
      <c r="B5" s="66" t="s">
        <v>432</v>
      </c>
      <c r="C5" s="66" t="s">
        <v>433</v>
      </c>
      <c r="D5" s="137">
        <f>VLOOKUP(A5,'2'!H:I,2,FALSE)</f>
        <v>1.2892999999999999</v>
      </c>
      <c r="E5" s="137">
        <f>VLOOKUP(A5,'1'!J:K,2,FALSE)</f>
        <v>1.073</v>
      </c>
      <c r="F5" s="17">
        <f t="shared" si="0"/>
        <v>-0.16776545412239197</v>
      </c>
      <c r="G5" s="17">
        <f>VLOOKUP(A5,'2'!H:J,3,FALSE)</f>
        <v>1.5800000000000002E-2</v>
      </c>
      <c r="H5" s="17">
        <f>VLOOKUP(A5,'1'!J:L,3,FALSE)</f>
        <v>1.4200000000000001E-2</v>
      </c>
      <c r="I5" s="66" t="s">
        <v>921</v>
      </c>
      <c r="J5" s="153">
        <v>1.014</v>
      </c>
      <c r="L5" s="112">
        <f t="shared" si="1"/>
        <v>5.8185404339250457E-2</v>
      </c>
      <c r="N5" s="17"/>
    </row>
    <row r="6" spans="1:14">
      <c r="A6" s="67">
        <v>510900</v>
      </c>
      <c r="B6" s="123" t="s">
        <v>410</v>
      </c>
      <c r="C6" s="66" t="s">
        <v>411</v>
      </c>
      <c r="D6" s="137">
        <f>VLOOKUP(A6,'2'!H:I,2,FALSE)</f>
        <v>1.1203000000000001</v>
      </c>
      <c r="E6" s="137">
        <f>VLOOKUP(A6,'1'!J:K,2,FALSE)</f>
        <v>1.1180000000000001</v>
      </c>
      <c r="F6" s="17">
        <f t="shared" si="0"/>
        <v>-2.0530215120949658E-3</v>
      </c>
      <c r="G6" s="17">
        <f>VLOOKUP(A6,'2'!H:J,3,FALSE)</f>
        <v>1.5E-3</v>
      </c>
      <c r="H6" s="17">
        <f>VLOOKUP(A6,'1'!J:L,3,FALSE)</f>
        <v>-4.4999999999999997E-3</v>
      </c>
      <c r="I6" s="66" t="s">
        <v>412</v>
      </c>
      <c r="J6" s="153">
        <v>1.272</v>
      </c>
      <c r="L6" s="112">
        <f t="shared" si="1"/>
        <v>-0.12106918238993702</v>
      </c>
      <c r="N6" s="17"/>
    </row>
    <row r="7" spans="1:14">
      <c r="A7" s="67">
        <v>512010</v>
      </c>
      <c r="B7" s="67" t="s">
        <v>396</v>
      </c>
      <c r="C7" s="66" t="s">
        <v>403</v>
      </c>
      <c r="D7" s="137">
        <f>VLOOKUP(A7,'2'!H:I,2,FALSE)</f>
        <v>2.1652999999999998</v>
      </c>
      <c r="E7" s="137">
        <f>VLOOKUP(A7,'1'!J:K,2,FALSE)</f>
        <v>2.1579999999999999</v>
      </c>
      <c r="F7" s="17">
        <f t="shared" si="0"/>
        <v>-3.3713573176926692E-3</v>
      </c>
      <c r="G7" s="17">
        <f>VLOOKUP(A7,'2'!H:J,3,FALSE)</f>
        <v>1.46E-2</v>
      </c>
      <c r="H7" s="17">
        <f>VLOOKUP(A7,'1'!J:L,3,FALSE)</f>
        <v>1.03E-2</v>
      </c>
      <c r="I7" s="66" t="s">
        <v>406</v>
      </c>
      <c r="J7" s="153">
        <v>1.897</v>
      </c>
      <c r="L7" s="112">
        <f t="shared" si="1"/>
        <v>0.13758566157090146</v>
      </c>
      <c r="N7" s="17"/>
    </row>
    <row r="8" spans="1:14">
      <c r="A8" s="67">
        <v>512200</v>
      </c>
      <c r="B8" s="67" t="s">
        <v>393</v>
      </c>
      <c r="C8" s="66" t="s">
        <v>400</v>
      </c>
      <c r="D8" s="137">
        <f>VLOOKUP(A8,'2'!H:I,2,FALSE)</f>
        <v>0.81089999999999995</v>
      </c>
      <c r="E8" s="137">
        <f>VLOOKUP(A8,'1'!J:K,2,FALSE)</f>
        <v>0.80900000000000005</v>
      </c>
      <c r="F8" s="17">
        <f t="shared" si="0"/>
        <v>-2.3430755950177851E-3</v>
      </c>
      <c r="G8" s="17">
        <f>VLOOKUP(A8,'2'!H:J,3,FALSE)</f>
        <v>-3.7000000000000002E-3</v>
      </c>
      <c r="H8" s="17">
        <f>VLOOKUP(A8,'1'!J:L,3,FALSE)</f>
        <v>-6.1000000000000004E-3</v>
      </c>
      <c r="I8" s="66" t="s">
        <v>399</v>
      </c>
      <c r="J8" s="153">
        <v>0.92</v>
      </c>
      <c r="L8" s="112">
        <f t="shared" si="1"/>
        <v>-0.1206521739130435</v>
      </c>
      <c r="N8" s="17"/>
    </row>
    <row r="9" spans="1:14">
      <c r="A9" s="67">
        <v>512700</v>
      </c>
      <c r="B9" s="67" t="s">
        <v>394</v>
      </c>
      <c r="C9" s="66" t="s">
        <v>401</v>
      </c>
      <c r="D9" s="137">
        <f>VLOOKUP(A9,'2'!H:I,2,FALSE)</f>
        <v>1.0047999999999999</v>
      </c>
      <c r="E9" s="137">
        <f>VLOOKUP(A9,'1'!J:K,2,FALSE)</f>
        <v>1.004</v>
      </c>
      <c r="F9" s="17">
        <f t="shared" si="0"/>
        <v>-7.9617834394896114E-4</v>
      </c>
      <c r="G9" s="17">
        <f>VLOOKUP(A9,'2'!H:J,3,FALSE)</f>
        <v>-6.1000000000000004E-3</v>
      </c>
      <c r="H9" s="17">
        <f>VLOOKUP(A9,'1'!J:L,3,FALSE)</f>
        <v>-4.0000000000000001E-3</v>
      </c>
      <c r="I9" s="66" t="s">
        <v>404</v>
      </c>
      <c r="J9" s="153">
        <v>1.24</v>
      </c>
      <c r="K9" s="115">
        <v>0.1</v>
      </c>
      <c r="L9" s="112">
        <f t="shared" si="1"/>
        <v>-0.10967741935483866</v>
      </c>
      <c r="N9" s="17"/>
    </row>
    <row r="10" spans="1:14">
      <c r="A10" s="67">
        <v>513050</v>
      </c>
      <c r="B10" s="123" t="s">
        <v>413</v>
      </c>
      <c r="C10" s="66" t="s">
        <v>414</v>
      </c>
      <c r="D10" s="137">
        <f>VLOOKUP(A10,'2'!H:I,2,FALSE)</f>
        <v>1.5286</v>
      </c>
      <c r="E10" s="137">
        <f>VLOOKUP(A10,'1'!J:K,2,FALSE)</f>
        <v>1.5489999999999999</v>
      </c>
      <c r="F10" s="17">
        <f t="shared" si="0"/>
        <v>1.3345544943085264E-2</v>
      </c>
      <c r="G10" s="17">
        <f>VLOOKUP(A10,'2'!H:J,3,FALSE)</f>
        <v>-1.34E-2</v>
      </c>
      <c r="H10" s="17">
        <f>VLOOKUP(A10,'1'!J:L,3,FALSE)</f>
        <v>1.9E-3</v>
      </c>
      <c r="I10" s="67" t="s">
        <v>415</v>
      </c>
      <c r="J10" s="153">
        <v>1.4239999999999999</v>
      </c>
      <c r="L10" s="112">
        <f t="shared" si="1"/>
        <v>8.778089887640439E-2</v>
      </c>
      <c r="N10" s="17"/>
    </row>
    <row r="11" spans="1:14">
      <c r="A11" s="67">
        <v>161128</v>
      </c>
      <c r="B11" s="66" t="s">
        <v>946</v>
      </c>
      <c r="C11" s="66" t="s">
        <v>947</v>
      </c>
      <c r="D11" s="137">
        <f>VLOOKUP(A11,'2'!H:I,2,FALSE)</f>
        <v>1.9452</v>
      </c>
      <c r="E11" s="137">
        <f>VLOOKUP(A11,'1'!J:K,2,FALSE)</f>
        <v>1.917</v>
      </c>
      <c r="F11" s="17">
        <f t="shared" si="0"/>
        <v>-1.4497223935842074E-2</v>
      </c>
      <c r="G11" s="17">
        <f>VLOOKUP(A11,'2'!H:J,3,FALSE)</f>
        <v>8.0000000000000004E-4</v>
      </c>
      <c r="H11" s="17">
        <f>VLOOKUP(A11,'1'!J:L,3,FALSE)</f>
        <v>-5.0000000000000001E-4</v>
      </c>
      <c r="I11" s="66" t="s">
        <v>949</v>
      </c>
      <c r="J11" s="153">
        <v>1.956</v>
      </c>
      <c r="L11" s="112">
        <f t="shared" si="1"/>
        <v>-1.9938650306748462E-2</v>
      </c>
      <c r="N11" s="17"/>
    </row>
    <row r="12" spans="1:14">
      <c r="B12" s="18" t="s">
        <v>179</v>
      </c>
      <c r="C12"/>
      <c r="D12" s="137">
        <f>AVERAGE(D2:D11)</f>
        <v>1.6248799999999999</v>
      </c>
      <c r="E12" s="137">
        <f t="shared" ref="E12:H12" si="2">AVERAGE(E2:E11)</f>
        <v>1.5939999999999999</v>
      </c>
      <c r="F12" s="17">
        <f t="shared" si="2"/>
        <v>-2.1995266480368057E-2</v>
      </c>
      <c r="G12" s="17">
        <f t="shared" si="2"/>
        <v>3.2500000000000003E-3</v>
      </c>
      <c r="H12" s="17">
        <f t="shared" si="2"/>
        <v>2.6899999999999997E-3</v>
      </c>
      <c r="I12" s="66"/>
      <c r="J12" s="153"/>
      <c r="L12" s="17">
        <f t="shared" ref="L12" si="3">AVERAGE(L2:L11)</f>
        <v>2.6706780329985857E-2</v>
      </c>
      <c r="N12" s="17"/>
    </row>
    <row r="13" spans="1:14">
      <c r="B13" t="s">
        <v>316</v>
      </c>
      <c r="C13"/>
      <c r="D13" s="137"/>
      <c r="E13" s="31">
        <f>'1'!C4</f>
        <v>3867.0232000000001</v>
      </c>
      <c r="F13" s="17">
        <f>'1'!D4</f>
        <v>2.7000000000000001E-3</v>
      </c>
      <c r="G13" s="17"/>
      <c r="H13" s="17"/>
      <c r="I13" s="66"/>
      <c r="J13" s="153"/>
    </row>
    <row r="14" spans="1:14">
      <c r="C14" s="67">
        <f>1.15^10-1</f>
        <v>3.0455577357079067</v>
      </c>
      <c r="D14" s="96"/>
      <c r="E14" s="96"/>
      <c r="F14" s="96"/>
      <c r="G14" s="96"/>
      <c r="H14" s="96"/>
      <c r="I14" s="66"/>
    </row>
    <row r="15" spans="1:14">
      <c r="A15" s="66" t="s">
        <v>814</v>
      </c>
      <c r="D15" s="137"/>
      <c r="E15" s="137"/>
      <c r="F15" s="17"/>
      <c r="G15" s="17"/>
      <c r="H15" s="17"/>
      <c r="J15" s="153"/>
    </row>
    <row r="16" spans="1:14">
      <c r="A16" s="122" t="s">
        <v>16</v>
      </c>
      <c r="B16" s="66" t="s">
        <v>326</v>
      </c>
      <c r="C16" s="66" t="s">
        <v>324</v>
      </c>
      <c r="D16" s="136" t="s">
        <v>12</v>
      </c>
      <c r="E16" s="136" t="s">
        <v>750</v>
      </c>
      <c r="F16" s="66" t="s">
        <v>801</v>
      </c>
      <c r="G16" s="66" t="s">
        <v>812</v>
      </c>
      <c r="H16" s="66" t="s">
        <v>813</v>
      </c>
      <c r="I16" s="66" t="s">
        <v>291</v>
      </c>
      <c r="J16" s="153"/>
    </row>
    <row r="17" spans="1:14">
      <c r="A17" s="67">
        <v>163417</v>
      </c>
      <c r="B17" s="66" t="s">
        <v>428</v>
      </c>
      <c r="C17" s="66" t="s">
        <v>429</v>
      </c>
      <c r="D17" s="137">
        <f>VLOOKUP(A17,'2'!H:I,2,FALSE)</f>
        <v>1.2621</v>
      </c>
      <c r="E17" s="137">
        <f>VLOOKUP(A17,'1'!J:K,2,FALSE)</f>
        <v>1.2370000000000001</v>
      </c>
      <c r="F17" s="17">
        <f t="shared" si="0"/>
        <v>-1.9887489105459122E-2</v>
      </c>
      <c r="G17" s="17">
        <f>VLOOKUP(A17,'2'!H:J,3,FALSE)</f>
        <v>2.1600000000000001E-2</v>
      </c>
      <c r="H17" s="17">
        <f>VLOOKUP(A17,'1'!J:L,3,FALSE)</f>
        <v>4.8999999999999998E-3</v>
      </c>
      <c r="I17" s="66" t="s">
        <v>434</v>
      </c>
      <c r="J17" s="153">
        <v>1.1220000000000001</v>
      </c>
      <c r="L17" s="112">
        <f>(E17+K17)/J17-1</f>
        <v>0.1024955436720143</v>
      </c>
    </row>
    <row r="18" spans="1:14">
      <c r="A18" s="67">
        <v>168103</v>
      </c>
      <c r="B18" s="66" t="s">
        <v>437</v>
      </c>
      <c r="C18" s="66" t="s">
        <v>435</v>
      </c>
      <c r="D18" s="137">
        <f>VLOOKUP(A18,'2'!H:I,2,FALSE)</f>
        <v>1.1779999999999999</v>
      </c>
      <c r="E18" s="137">
        <f>VLOOKUP(A18,'1'!J:K,2,FALSE)</f>
        <v>1.0189999999999999</v>
      </c>
      <c r="F18" s="17">
        <f t="shared" si="0"/>
        <v>-0.13497453310696095</v>
      </c>
      <c r="G18" s="17">
        <f>VLOOKUP(A18,'2'!H:J,3,FALSE)</f>
        <v>1.46E-2</v>
      </c>
      <c r="H18" s="17">
        <f>VLOOKUP(A18,'1'!J:L,3,FALSE)</f>
        <v>8.8999999999999999E-3</v>
      </c>
      <c r="I18" s="66" t="s">
        <v>436</v>
      </c>
      <c r="J18" s="153">
        <v>0.98</v>
      </c>
      <c r="L18" s="112">
        <f t="shared" ref="L18:L31" si="4">(E18+K18)/J18-1</f>
        <v>3.9795918367346861E-2</v>
      </c>
    </row>
    <row r="19" spans="1:14">
      <c r="A19" s="67">
        <v>510050</v>
      </c>
      <c r="B19" s="123" t="s">
        <v>416</v>
      </c>
      <c r="C19" s="66" t="s">
        <v>417</v>
      </c>
      <c r="D19" s="137">
        <f>VLOOKUP(A19,'2'!H:I,2,FALSE)</f>
        <v>2.8039999999999998</v>
      </c>
      <c r="E19" s="137">
        <f>VLOOKUP(A19,'1'!J:K,2,FALSE)</f>
        <v>2.802</v>
      </c>
      <c r="F19" s="17">
        <f t="shared" si="0"/>
        <v>-7.1326676176886039E-4</v>
      </c>
      <c r="G19" s="17">
        <f>VLOOKUP(A19,'2'!H:J,3,FALSE)</f>
        <v>0</v>
      </c>
      <c r="H19" s="17">
        <f>VLOOKUP(A19,'1'!J:L,3,FALSE)</f>
        <v>4.0000000000000002E-4</v>
      </c>
      <c r="I19" s="123" t="s">
        <v>418</v>
      </c>
      <c r="J19" s="153">
        <v>3.0579999999999998</v>
      </c>
      <c r="L19" s="112">
        <f t="shared" si="4"/>
        <v>-8.3714846304774326E-2</v>
      </c>
    </row>
    <row r="20" spans="1:14">
      <c r="A20" s="67">
        <v>510300</v>
      </c>
      <c r="B20" s="123" t="s">
        <v>419</v>
      </c>
      <c r="C20" s="66" t="s">
        <v>420</v>
      </c>
      <c r="D20" s="137">
        <f>VLOOKUP(A20,'2'!H:I,2,FALSE)</f>
        <v>3.8664000000000001</v>
      </c>
      <c r="E20" s="137">
        <f>VLOOKUP(A20,'1'!J:K,2,FALSE)</f>
        <v>3.8660000000000001</v>
      </c>
      <c r="F20" s="17">
        <f t="shared" si="0"/>
        <v>-1.0345541071798969E-4</v>
      </c>
      <c r="G20" s="17">
        <f>VLOOKUP(A20,'2'!H:J,3,FALSE)</f>
        <v>3.3999999999999998E-3</v>
      </c>
      <c r="H20" s="17">
        <f>VLOOKUP(A20,'1'!J:L,3,FALSE)</f>
        <v>4.1999999999999997E-3</v>
      </c>
      <c r="I20" s="123" t="s">
        <v>421</v>
      </c>
      <c r="J20" s="153">
        <v>4.0960000000000001</v>
      </c>
      <c r="L20" s="112">
        <f t="shared" si="4"/>
        <v>-5.615234375E-2</v>
      </c>
    </row>
    <row r="21" spans="1:14">
      <c r="A21" s="67">
        <v>512760</v>
      </c>
      <c r="B21" s="66" t="s">
        <v>424</v>
      </c>
      <c r="C21" s="66" t="s">
        <v>425</v>
      </c>
      <c r="D21" s="137">
        <f>VLOOKUP(A21,'2'!H:I,2,FALSE)</f>
        <v>1.9774</v>
      </c>
      <c r="E21" s="137">
        <f>VLOOKUP(A21,'1'!J:K,2,FALSE)</f>
        <v>1.9750000000000001</v>
      </c>
      <c r="F21" s="17">
        <f t="shared" si="0"/>
        <v>-1.2137149792657009E-3</v>
      </c>
      <c r="G21" s="17">
        <f>VLOOKUP(A21,'2'!H:J,3,FALSE)</f>
        <v>-1.8E-3</v>
      </c>
      <c r="H21" s="17">
        <f>VLOOKUP(A21,'1'!J:L,3,FALSE)</f>
        <v>-1E-3</v>
      </c>
      <c r="I21" s="66" t="s">
        <v>427</v>
      </c>
      <c r="J21" s="153">
        <v>1.5549999999999999</v>
      </c>
      <c r="L21" s="112">
        <f t="shared" si="4"/>
        <v>0.27009646302250823</v>
      </c>
    </row>
    <row r="22" spans="1:14">
      <c r="A22" s="67">
        <v>515000</v>
      </c>
      <c r="B22" s="66" t="s">
        <v>422</v>
      </c>
      <c r="C22" s="66" t="s">
        <v>423</v>
      </c>
      <c r="D22" s="137">
        <f>VLOOKUP(A22,'2'!H:I,2,FALSE)</f>
        <v>1.3940999999999999</v>
      </c>
      <c r="E22" s="137">
        <f>VLOOKUP(A22,'1'!J:K,2,FALSE)</f>
        <v>1.393</v>
      </c>
      <c r="F22" s="17">
        <f t="shared" si="0"/>
        <v>-7.8903952370701358E-4</v>
      </c>
      <c r="G22" s="17">
        <f>VLOOKUP(A22,'2'!H:J,3,FALSE)</f>
        <v>6.7000000000000002E-3</v>
      </c>
      <c r="H22" s="17">
        <f>VLOOKUP(A22,'1'!J:L,3,FALSE)</f>
        <v>5.7999999999999996E-3</v>
      </c>
      <c r="I22" s="66" t="s">
        <v>426</v>
      </c>
      <c r="J22" s="153">
        <v>1.2589999999999999</v>
      </c>
      <c r="L22" s="112">
        <f t="shared" si="4"/>
        <v>0.10643367752184285</v>
      </c>
    </row>
    <row r="23" spans="1:14">
      <c r="A23" s="67">
        <v>166024</v>
      </c>
      <c r="B23" s="67" t="s">
        <v>723</v>
      </c>
      <c r="D23" s="137">
        <f>VLOOKUP(A23,'2'!H:I,2,FALSE)</f>
        <v>0.92079999999999995</v>
      </c>
      <c r="E23" s="137">
        <f>VLOOKUP(A23,'1'!J:K,2,FALSE)</f>
        <v>0.872</v>
      </c>
      <c r="F23" s="17">
        <f t="shared" si="0"/>
        <v>-5.2997393570807905E-2</v>
      </c>
      <c r="G23" s="17">
        <f>VLOOKUP(A23,'2'!H:J,3,FALSE)</f>
        <v>5.0000000000000001E-3</v>
      </c>
      <c r="H23" s="17">
        <f>VLOOKUP(A23,'1'!J:L,3,FALSE)</f>
        <v>2.3E-3</v>
      </c>
      <c r="J23" s="153">
        <v>0.99399999999999999</v>
      </c>
      <c r="L23" s="112">
        <f t="shared" si="4"/>
        <v>-0.12273641851106643</v>
      </c>
    </row>
    <row r="24" spans="1:14">
      <c r="A24" s="67">
        <v>501063</v>
      </c>
      <c r="B24" s="66" t="s">
        <v>952</v>
      </c>
      <c r="D24" s="137">
        <f>VLOOKUP(A24,'2'!H:I,2,FALSE)</f>
        <v>1.1289</v>
      </c>
      <c r="E24" s="137">
        <f>VLOOKUP(A24,'1'!J:K,2,FALSE)</f>
        <v>1.0569999999999999</v>
      </c>
      <c r="F24" s="17">
        <f t="shared" si="0"/>
        <v>-6.3690318008681079E-2</v>
      </c>
      <c r="G24" s="17">
        <f>VLOOKUP(A24,'2'!H:J,3,FALSE)</f>
        <v>1.0500000000000001E-2</v>
      </c>
      <c r="H24" s="17">
        <f>VLOOKUP(A24,'1'!J:L,3,FALSE)</f>
        <v>1.9E-3</v>
      </c>
      <c r="J24" s="153">
        <v>1.0249999999999999</v>
      </c>
      <c r="L24" s="112">
        <f t="shared" si="4"/>
        <v>3.1219512195121979E-2</v>
      </c>
    </row>
    <row r="25" spans="1:14">
      <c r="A25" s="67">
        <v>501046</v>
      </c>
      <c r="B25" s="67" t="s">
        <v>724</v>
      </c>
      <c r="D25" s="137">
        <f>VLOOKUP(A25,'2'!H:I,2,FALSE)</f>
        <v>1.6492</v>
      </c>
      <c r="E25" s="137">
        <f>VLOOKUP(A25,'1'!J:K,2,FALSE)</f>
        <v>1.5629999999999999</v>
      </c>
      <c r="F25" s="17">
        <f t="shared" si="0"/>
        <v>-5.2267766189667775E-2</v>
      </c>
      <c r="G25" s="17">
        <f>VLOOKUP(A25,'2'!H:J,3,FALSE)</f>
        <v>5.0000000000000001E-4</v>
      </c>
      <c r="H25" s="17">
        <f>VLOOKUP(A25,'1'!J:L,3,FALSE)</f>
        <v>-1.2999999999999999E-3</v>
      </c>
      <c r="J25" s="153">
        <v>1.41</v>
      </c>
      <c r="L25" s="112">
        <f t="shared" si="4"/>
        <v>0.10851063829787244</v>
      </c>
    </row>
    <row r="26" spans="1:14">
      <c r="A26" s="67">
        <v>501078</v>
      </c>
      <c r="B26" s="67" t="s">
        <v>725</v>
      </c>
      <c r="D26" s="137">
        <f>VLOOKUP(A26,'2'!H:I,2,FALSE)</f>
        <v>1.4300999999999999</v>
      </c>
      <c r="E26" s="137">
        <f>VLOOKUP(A26,'1'!J:K,2,FALSE)</f>
        <v>1.212</v>
      </c>
      <c r="F26" s="17">
        <f t="shared" si="0"/>
        <v>-0.15250681770505559</v>
      </c>
      <c r="G26" s="17">
        <f>VLOOKUP(A26,'2'!H:J,3,FALSE)</f>
        <v>1.7999999999999999E-2</v>
      </c>
      <c r="H26" s="17">
        <f>VLOOKUP(A26,'1'!J:L,3,FALSE)</f>
        <v>1.4200000000000001E-2</v>
      </c>
      <c r="J26" s="153">
        <v>1.008</v>
      </c>
      <c r="L26" s="112">
        <f t="shared" si="4"/>
        <v>0.20238095238095233</v>
      </c>
    </row>
    <row r="27" spans="1:14">
      <c r="A27" s="67">
        <v>166023</v>
      </c>
      <c r="B27" s="67" t="s">
        <v>726</v>
      </c>
      <c r="D27" s="137">
        <f>VLOOKUP(A27,'2'!H:I,2,FALSE)</f>
        <v>1.3938999999999999</v>
      </c>
      <c r="E27" s="137">
        <f>VLOOKUP(A27,'1'!J:K,2,FALSE)</f>
        <v>1.3660000000000001</v>
      </c>
      <c r="F27" s="17">
        <f t="shared" si="0"/>
        <v>-2.001578305473839E-2</v>
      </c>
      <c r="G27" s="17">
        <f>VLOOKUP(A27,'2'!H:J,3,FALSE)</f>
        <v>2.0999999999999999E-3</v>
      </c>
      <c r="H27" s="17">
        <f>VLOOKUP(A27,'1'!J:L,3,FALSE)</f>
        <v>3.7000000000000002E-3</v>
      </c>
      <c r="J27" s="153">
        <v>1.276</v>
      </c>
      <c r="L27" s="112">
        <f t="shared" si="4"/>
        <v>7.0532915360501658E-2</v>
      </c>
    </row>
    <row r="28" spans="1:14">
      <c r="A28" s="67">
        <v>161912</v>
      </c>
      <c r="B28" s="67" t="s">
        <v>727</v>
      </c>
      <c r="D28" s="137">
        <f>VLOOKUP(A28,'2'!H:I,2,FALSE)</f>
        <v>1.4608000000000001</v>
      </c>
      <c r="E28" s="137">
        <f>VLOOKUP(A28,'1'!J:K,2,FALSE)</f>
        <v>1.373</v>
      </c>
      <c r="F28" s="17">
        <f t="shared" si="0"/>
        <v>-6.0104052573932143E-2</v>
      </c>
      <c r="G28" s="17">
        <f>VLOOKUP(A28,'2'!H:J,3,FALSE)</f>
        <v>1.43E-2</v>
      </c>
      <c r="H28" s="17">
        <f>VLOOKUP(A28,'1'!J:L,3,FALSE)</f>
        <v>-6.9999999999999999E-4</v>
      </c>
      <c r="J28" s="153">
        <v>1.2689999999999999</v>
      </c>
      <c r="L28" s="112">
        <f t="shared" si="4"/>
        <v>8.1954294720252285E-2</v>
      </c>
    </row>
    <row r="29" spans="1:14">
      <c r="A29" s="67">
        <v>501082</v>
      </c>
      <c r="B29" s="67" t="s">
        <v>728</v>
      </c>
      <c r="D29" s="137">
        <f>VLOOKUP(A29,'2'!H:I,2,FALSE)</f>
        <v>1.2739</v>
      </c>
      <c r="E29" s="137">
        <f>VLOOKUP(A29,'1'!J:K,2,FALSE)</f>
        <v>1.0629999999999999</v>
      </c>
      <c r="F29" s="17">
        <f t="shared" si="0"/>
        <v>-0.16555459612214463</v>
      </c>
      <c r="G29" s="17">
        <f>VLOOKUP(A29,'2'!H:J,3,FALSE)</f>
        <v>1.6799999999999999E-2</v>
      </c>
      <c r="H29" s="17">
        <f>VLOOKUP(A29,'1'!J:L,3,FALSE)</f>
        <v>5.7000000000000002E-3</v>
      </c>
      <c r="J29" s="153">
        <v>1.0229999999999999</v>
      </c>
      <c r="L29" s="112">
        <f t="shared" si="4"/>
        <v>3.910068426197455E-2</v>
      </c>
    </row>
    <row r="30" spans="1:14">
      <c r="A30" s="67">
        <v>159941</v>
      </c>
      <c r="B30" s="66" t="s">
        <v>854</v>
      </c>
      <c r="C30" s="66" t="s">
        <v>409</v>
      </c>
      <c r="D30" s="137">
        <f>VLOOKUP(A30,'2'!H:I,2,FALSE)</f>
        <v>2.1023000000000001</v>
      </c>
      <c r="E30" s="137">
        <f>VLOOKUP(A30,'1'!J:K,2,FALSE)</f>
        <v>2.0920000000000001</v>
      </c>
      <c r="F30" s="17">
        <f t="shared" ref="F30" si="5">E30/D30-1</f>
        <v>-4.8993958997288756E-3</v>
      </c>
      <c r="G30" s="17">
        <f>VLOOKUP(A30,'2'!H:J,3,FALSE)</f>
        <v>0</v>
      </c>
      <c r="H30" s="17">
        <f>VLOOKUP(A30,'1'!J:L,3,FALSE)</f>
        <v>-4.7999999999999996E-3</v>
      </c>
      <c r="I30" s="66" t="s">
        <v>322</v>
      </c>
      <c r="J30" s="153">
        <v>1.956</v>
      </c>
      <c r="L30" s="112">
        <f t="shared" si="4"/>
        <v>6.9529652351738358E-2</v>
      </c>
      <c r="N30" s="17"/>
    </row>
    <row r="31" spans="1:14">
      <c r="A31" s="67">
        <v>513100</v>
      </c>
      <c r="B31" s="67" t="s">
        <v>398</v>
      </c>
      <c r="C31" s="66" t="s">
        <v>409</v>
      </c>
      <c r="D31" s="137">
        <f>VLOOKUP(A31,'2'!H:I,2,FALSE)</f>
        <v>3.4590000000000001</v>
      </c>
      <c r="E31" s="137">
        <f>VLOOKUP(A31,'1'!J:K,2,FALSE)</f>
        <v>3.73</v>
      </c>
      <c r="F31" s="17">
        <f t="shared" ref="F31" si="6">E31/D31-1</f>
        <v>7.8346342873662822E-2</v>
      </c>
      <c r="G31" s="17">
        <f>VLOOKUP(A31,'2'!H:J,3,FALSE)</f>
        <v>-2.9999999999999997E-4</v>
      </c>
      <c r="H31" s="17">
        <f>VLOOKUP(A31,'1'!J:L,3,FALSE)</f>
        <v>-7.1999999999999998E-3</v>
      </c>
      <c r="I31" s="66" t="s">
        <v>322</v>
      </c>
      <c r="J31" s="153">
        <v>3.1930000000000001</v>
      </c>
      <c r="L31" s="112">
        <f t="shared" si="4"/>
        <v>0.16818039461321632</v>
      </c>
    </row>
    <row r="32" spans="1:14">
      <c r="B32" s="67" t="s">
        <v>848</v>
      </c>
      <c r="D32" s="137">
        <f>AVERAGE(D17:D31)</f>
        <v>1.8200599999999996</v>
      </c>
      <c r="E32" s="137">
        <f t="shared" ref="E32:L32" si="7">AVERAGE(E17:E31)</f>
        <v>1.7746666666666668</v>
      </c>
      <c r="F32" s="17">
        <f t="shared" si="7"/>
        <v>-4.3424751942598212E-2</v>
      </c>
      <c r="G32" s="17">
        <f t="shared" si="7"/>
        <v>7.4266666666666674E-3</v>
      </c>
      <c r="H32" s="17">
        <f t="shared" si="7"/>
        <v>2.4666666666666669E-3</v>
      </c>
      <c r="J32" s="153">
        <f t="shared" si="7"/>
        <v>1.6816</v>
      </c>
      <c r="L32" s="112">
        <f t="shared" si="7"/>
        <v>6.8508469213300088E-2</v>
      </c>
    </row>
    <row r="33" spans="1:12">
      <c r="D33" s="137"/>
      <c r="E33" s="137"/>
      <c r="F33" s="17"/>
      <c r="G33" s="17"/>
      <c r="H33" s="17"/>
      <c r="J33" s="153"/>
      <c r="L33" s="112"/>
    </row>
    <row r="34" spans="1:12">
      <c r="A34" s="66" t="s">
        <v>1100</v>
      </c>
    </row>
    <row r="35" spans="1:12">
      <c r="A35" s="67">
        <v>160645</v>
      </c>
      <c r="B35" s="67" t="s">
        <v>1087</v>
      </c>
      <c r="D35" s="137">
        <f>VLOOKUP(A35,'2'!H:I,2,FALSE)</f>
        <v>1.3125</v>
      </c>
      <c r="E35" s="137">
        <f>VLOOKUP(A35,'1'!J:K,2,FALSE)</f>
        <v>1.198</v>
      </c>
      <c r="F35" s="17">
        <f t="shared" ref="F35" si="8">E35/D35-1</f>
        <v>-8.7238095238095226E-2</v>
      </c>
      <c r="G35" s="17">
        <f>VLOOKUP(A35,'2'!H:J,3,FALSE)</f>
        <v>2.2800000000000001E-2</v>
      </c>
      <c r="H35" s="17">
        <f>VLOOKUP(A35,'1'!J:L,3,FALSE)</f>
        <v>6.7000000000000002E-3</v>
      </c>
      <c r="J35" s="153">
        <v>1.028</v>
      </c>
      <c r="L35" s="112">
        <f t="shared" ref="L35:L40" si="9">(E35+K35)/J35-1</f>
        <v>0.16536964980544733</v>
      </c>
    </row>
    <row r="36" spans="1:12">
      <c r="A36" s="67">
        <v>161132</v>
      </c>
      <c r="B36" s="67" t="s">
        <v>1088</v>
      </c>
      <c r="D36" s="137">
        <f>VLOOKUP(A36,'2'!H:I,2,FALSE)</f>
        <v>1.4085000000000001</v>
      </c>
      <c r="E36" s="137">
        <f>VLOOKUP(A36,'1'!J:K,2,FALSE)</f>
        <v>1.306</v>
      </c>
      <c r="F36" s="17">
        <f t="shared" ref="F36:F40" si="10">E36/D36-1</f>
        <v>-7.277245296414625E-2</v>
      </c>
      <c r="G36" s="17">
        <f>VLOOKUP(A36,'2'!H:J,3,FALSE)</f>
        <v>1.2E-2</v>
      </c>
      <c r="H36" s="17">
        <f>VLOOKUP(A36,'1'!J:L,3,FALSE)</f>
        <v>6.1999999999999998E-3</v>
      </c>
      <c r="J36" s="153">
        <v>1.226</v>
      </c>
      <c r="L36" s="112">
        <f t="shared" si="9"/>
        <v>6.5252854812398065E-2</v>
      </c>
    </row>
    <row r="37" spans="1:12">
      <c r="A37" s="67">
        <v>501188</v>
      </c>
      <c r="B37" s="67" t="s">
        <v>1089</v>
      </c>
      <c r="D37" s="137">
        <f>VLOOKUP(A37,'2'!H:I,2,FALSE)</f>
        <v>1.1073</v>
      </c>
      <c r="E37" s="137">
        <f>VLOOKUP(A37,'1'!J:K,2,FALSE)</f>
        <v>1.048</v>
      </c>
      <c r="F37" s="17">
        <f t="shared" si="10"/>
        <v>-5.3553689153797435E-2</v>
      </c>
      <c r="G37" s="17">
        <f>VLOOKUP(A37,'2'!H:J,3,FALSE)</f>
        <v>4.5999999999999999E-3</v>
      </c>
      <c r="H37" s="17">
        <f>VLOOKUP(A37,'1'!J:L,3,FALSE)</f>
        <v>-1E-3</v>
      </c>
      <c r="J37" s="153">
        <v>1.052</v>
      </c>
      <c r="L37" s="112">
        <f t="shared" si="9"/>
        <v>-3.8022813688213253E-3</v>
      </c>
    </row>
    <row r="38" spans="1:12">
      <c r="A38" s="67">
        <v>501038</v>
      </c>
      <c r="B38" s="67" t="s">
        <v>1090</v>
      </c>
      <c r="D38" s="137">
        <f>VLOOKUP(A38,'2'!H:I,2,FALSE)</f>
        <v>1.5697000000000001</v>
      </c>
      <c r="E38" s="137">
        <f>VLOOKUP(A38,'1'!J:K,2,FALSE)</f>
        <v>1.508</v>
      </c>
      <c r="F38" s="17">
        <f t="shared" si="10"/>
        <v>-3.9306873924953911E-2</v>
      </c>
      <c r="G38" s="17">
        <f>VLOOKUP(A38,'2'!H:J,3,FALSE)</f>
        <v>1.9199999999999998E-2</v>
      </c>
      <c r="H38" s="17">
        <f>VLOOKUP(A38,'1'!J:L,3,FALSE)</f>
        <v>0.01</v>
      </c>
      <c r="J38" s="153">
        <v>1.26</v>
      </c>
      <c r="L38" s="112">
        <f t="shared" si="9"/>
        <v>0.19682539682539679</v>
      </c>
    </row>
    <row r="39" spans="1:12">
      <c r="A39" s="67">
        <v>160726</v>
      </c>
      <c r="B39" s="67" t="s">
        <v>1091</v>
      </c>
      <c r="D39" s="137">
        <f>VLOOKUP(A39,'2'!H:I,2,FALSE)</f>
        <v>1.4507000000000001</v>
      </c>
      <c r="E39" s="137">
        <f>VLOOKUP(A39,'1'!J:K,2,FALSE)</f>
        <v>1.3979999999999999</v>
      </c>
      <c r="F39" s="17">
        <f t="shared" si="10"/>
        <v>-3.6327290273661106E-2</v>
      </c>
      <c r="G39" s="17">
        <f>VLOOKUP(A39,'2'!H:J,3,FALSE)</f>
        <v>1.03E-2</v>
      </c>
      <c r="H39" s="17">
        <f>VLOOKUP(A39,'1'!J:L,3,FALSE)</f>
        <v>3.5999999999999999E-3</v>
      </c>
      <c r="J39" s="153">
        <v>1.367</v>
      </c>
      <c r="L39" s="112">
        <f t="shared" si="9"/>
        <v>2.2677395757132235E-2</v>
      </c>
    </row>
    <row r="40" spans="1:12">
      <c r="A40" s="67">
        <v>501070</v>
      </c>
      <c r="B40" s="67" t="s">
        <v>1092</v>
      </c>
      <c r="D40" s="137">
        <f>VLOOKUP(A40,'2'!H:I,2,FALSE)</f>
        <v>1.5194000000000001</v>
      </c>
      <c r="E40" s="137">
        <f>VLOOKUP(A40,'1'!J:K,2,FALSE)</f>
        <v>1.514</v>
      </c>
      <c r="F40" s="17">
        <f t="shared" si="10"/>
        <v>-3.5540344872976304E-3</v>
      </c>
      <c r="G40" s="17">
        <f>VLOOKUP(A40,'2'!H:J,3,FALSE)</f>
        <v>1.67E-2</v>
      </c>
      <c r="H40" s="17">
        <f>VLOOKUP(A40,'1'!J:L,3,FALSE)</f>
        <v>2.0199999999999999E-2</v>
      </c>
      <c r="J40" s="153">
        <v>1.27</v>
      </c>
      <c r="K40" s="67">
        <v>0.04</v>
      </c>
      <c r="L40" s="112">
        <f t="shared" si="9"/>
        <v>0.2236220472440944</v>
      </c>
    </row>
    <row r="41" spans="1:12">
      <c r="B41" s="67" t="s">
        <v>1099</v>
      </c>
      <c r="D41" s="137">
        <f>AVERAGE(D35:D40)</f>
        <v>1.3946833333333333</v>
      </c>
      <c r="E41" s="137">
        <f t="shared" ref="E41:L41" si="11">AVERAGE(E35:E40)</f>
        <v>1.3286666666666667</v>
      </c>
      <c r="F41" s="17">
        <f t="shared" si="11"/>
        <v>-4.8792072673658593E-2</v>
      </c>
      <c r="G41" s="17">
        <f t="shared" si="11"/>
        <v>1.4266666666666669E-2</v>
      </c>
      <c r="H41" s="17">
        <f t="shared" si="11"/>
        <v>7.6166666666666674E-3</v>
      </c>
      <c r="J41" s="153">
        <f t="shared" si="11"/>
        <v>1.2004999999999999</v>
      </c>
      <c r="K41" s="67">
        <f t="shared" si="11"/>
        <v>0.04</v>
      </c>
      <c r="L41" s="112">
        <f t="shared" si="11"/>
        <v>0.11165751051260792</v>
      </c>
    </row>
  </sheetData>
  <sortState ref="A2:I11">
    <sortCondition ref="A2:A11"/>
  </sortState>
  <phoneticPr fontId="1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4"/>
  <dimension ref="A1:I14"/>
  <sheetViews>
    <sheetView workbookViewId="0">
      <selection activeCell="Q16" sqref="Q16"/>
    </sheetView>
  </sheetViews>
  <sheetFormatPr defaultRowHeight="14.4"/>
  <cols>
    <col min="2" max="2" width="21.6640625" customWidth="1"/>
    <col min="3" max="3" width="15.88671875" customWidth="1"/>
    <col min="4" max="4" width="18.5546875" customWidth="1"/>
    <col min="7" max="7" width="10.88671875" customWidth="1"/>
  </cols>
  <sheetData>
    <row r="1" spans="1:9">
      <c r="A1" s="18" t="s">
        <v>16</v>
      </c>
      <c r="B1" s="18" t="s">
        <v>326</v>
      </c>
      <c r="C1" s="18" t="s">
        <v>1177</v>
      </c>
      <c r="D1" s="18" t="s">
        <v>1178</v>
      </c>
      <c r="E1" s="145" t="s">
        <v>12</v>
      </c>
      <c r="F1" s="145" t="s">
        <v>19</v>
      </c>
      <c r="G1" s="16">
        <v>43830</v>
      </c>
      <c r="H1" s="67" t="s">
        <v>845</v>
      </c>
      <c r="I1" s="66" t="s">
        <v>860</v>
      </c>
    </row>
    <row r="2" spans="1:9">
      <c r="A2" s="171" t="s">
        <v>1163</v>
      </c>
      <c r="B2" t="s">
        <v>1165</v>
      </c>
      <c r="C2" s="18" t="s">
        <v>1167</v>
      </c>
      <c r="D2" s="18" t="s">
        <v>1172</v>
      </c>
      <c r="E2" s="170">
        <f>VLOOKUP(A2+0,'2'!H:I,2,FALSE)</f>
        <v>0.80930000000000002</v>
      </c>
      <c r="F2" s="140">
        <f>VLOOKUP(A2+0,'2'!H:J,3,FALSE)</f>
        <v>8.6999999999999994E-3</v>
      </c>
      <c r="G2" s="26">
        <v>0.73660000000000003</v>
      </c>
      <c r="H2" s="26"/>
      <c r="I2" s="17">
        <f>(E2+H2)/G2-1</f>
        <v>9.8696714634808558E-2</v>
      </c>
    </row>
    <row r="3" spans="1:9">
      <c r="A3" s="171" t="s">
        <v>1164</v>
      </c>
      <c r="B3" t="s">
        <v>1166</v>
      </c>
      <c r="C3" s="18" t="s">
        <v>1168</v>
      </c>
      <c r="D3" s="18" t="s">
        <v>1232</v>
      </c>
      <c r="E3" s="170">
        <f>VLOOKUP(A3+0,'2'!H:I,2,FALSE)</f>
        <v>5.4989999999999997</v>
      </c>
      <c r="F3" s="140">
        <f>VLOOKUP(A3+0,'2'!H:J,3,FALSE)</f>
        <v>2.1100000000000001E-2</v>
      </c>
      <c r="G3" s="26">
        <v>4.9607000000000001</v>
      </c>
      <c r="H3" s="26"/>
      <c r="I3" s="17">
        <f t="shared" ref="I3:I11" si="0">(E3+H3)/G3-1</f>
        <v>0.10851291148426623</v>
      </c>
    </row>
    <row r="4" spans="1:9">
      <c r="A4" s="180">
        <v>270002</v>
      </c>
      <c r="B4" s="181" t="s">
        <v>1169</v>
      </c>
      <c r="C4" s="181" t="s">
        <v>1170</v>
      </c>
      <c r="D4" s="182" t="s">
        <v>1173</v>
      </c>
      <c r="E4" s="183">
        <f>VLOOKUP(A4+0,'2'!H:I,2,FALSE)</f>
        <v>1.6054999999999999</v>
      </c>
      <c r="F4" s="184">
        <f>VLOOKUP(A4+0,'2'!H:J,3,FALSE)</f>
        <v>9.2999999999999992E-3</v>
      </c>
      <c r="G4" s="185">
        <v>1.4866999999999999</v>
      </c>
      <c r="H4" s="185">
        <v>6.1400000000000003E-2</v>
      </c>
      <c r="I4" s="186">
        <f t="shared" si="0"/>
        <v>0.12120804466267576</v>
      </c>
    </row>
    <row r="5" spans="1:9">
      <c r="A5" s="180">
        <v>202023</v>
      </c>
      <c r="B5" s="181" t="s">
        <v>1071</v>
      </c>
      <c r="C5" s="181" t="s">
        <v>1171</v>
      </c>
      <c r="D5" s="182" t="s">
        <v>1173</v>
      </c>
      <c r="E5" s="183">
        <f>VLOOKUP(A5+0,'2'!H:I,2,FALSE)</f>
        <v>3.5720000000000001</v>
      </c>
      <c r="F5" s="184">
        <f>VLOOKUP(A5+0,'2'!H:J,3,FALSE)</f>
        <v>1.8499999999999999E-2</v>
      </c>
      <c r="G5" s="185">
        <v>3.0569999999999999</v>
      </c>
      <c r="H5" s="185"/>
      <c r="I5" s="186">
        <f t="shared" si="0"/>
        <v>0.16846581615963374</v>
      </c>
    </row>
    <row r="6" spans="1:9">
      <c r="A6" s="171" t="s">
        <v>1145</v>
      </c>
      <c r="B6" t="s">
        <v>1151</v>
      </c>
      <c r="C6" t="s">
        <v>1157</v>
      </c>
      <c r="D6" s="18" t="s">
        <v>1174</v>
      </c>
      <c r="E6" s="170">
        <f>VLOOKUP(A6+0,'2'!H:I,2,FALSE)</f>
        <v>1.61</v>
      </c>
      <c r="F6" s="140">
        <f>VLOOKUP(A6+0,'2'!H:J,3,FALSE)</f>
        <v>1.1999999999999999E-3</v>
      </c>
      <c r="G6" s="26">
        <v>1.5669999999999999</v>
      </c>
      <c r="H6" s="26"/>
      <c r="I6" s="17">
        <f t="shared" si="0"/>
        <v>2.7440970006381793E-2</v>
      </c>
    </row>
    <row r="7" spans="1:9">
      <c r="A7" s="171" t="s">
        <v>1149</v>
      </c>
      <c r="B7" t="s">
        <v>1155</v>
      </c>
      <c r="C7" t="s">
        <v>1160</v>
      </c>
      <c r="D7" s="18" t="s">
        <v>1174</v>
      </c>
      <c r="E7" s="170">
        <f>VLOOKUP(A7+0,'2'!H:I,2,FALSE)</f>
        <v>2.5099999999999998</v>
      </c>
      <c r="F7" s="140">
        <f>VLOOKUP(A7+0,'2'!H:J,3,FALSE)</f>
        <v>3.2000000000000002E-3</v>
      </c>
      <c r="G7" s="26">
        <v>2.6909999999999998</v>
      </c>
      <c r="H7" s="26">
        <v>3.6999999999999998E-2</v>
      </c>
      <c r="I7" s="17">
        <f t="shared" si="0"/>
        <v>-5.3511705685618804E-2</v>
      </c>
    </row>
    <row r="8" spans="1:9">
      <c r="A8" s="171" t="s">
        <v>1146</v>
      </c>
      <c r="B8" t="s">
        <v>1152</v>
      </c>
      <c r="C8" t="s">
        <v>1158</v>
      </c>
      <c r="D8" s="18" t="s">
        <v>1175</v>
      </c>
      <c r="E8" s="170">
        <f>VLOOKUP(A8+0,'2'!H:I,2,FALSE)</f>
        <v>1.506</v>
      </c>
      <c r="F8" s="140">
        <f>VLOOKUP(A8+0,'2'!H:J,3,FALSE)</f>
        <v>0</v>
      </c>
      <c r="G8" s="26">
        <v>1.4630000000000001</v>
      </c>
      <c r="H8" s="26"/>
      <c r="I8" s="17">
        <f t="shared" si="0"/>
        <v>2.9391660970608191E-2</v>
      </c>
    </row>
    <row r="9" spans="1:9">
      <c r="A9" s="171" t="s">
        <v>1150</v>
      </c>
      <c r="B9" t="s">
        <v>1156</v>
      </c>
      <c r="C9" t="s">
        <v>1161</v>
      </c>
      <c r="D9" s="18" t="s">
        <v>1175</v>
      </c>
      <c r="E9" s="170">
        <f>VLOOKUP(A9+0,'2'!H:I,2,FALSE)</f>
        <v>1.149</v>
      </c>
      <c r="F9" s="140">
        <f>VLOOKUP(A9+0,'2'!H:J,3,FALSE)</f>
        <v>8.9999999999999998E-4</v>
      </c>
      <c r="G9" s="26">
        <v>1.147</v>
      </c>
      <c r="H9" s="26">
        <v>3.4700000000000002E-2</v>
      </c>
      <c r="I9" s="17">
        <f t="shared" si="0"/>
        <v>3.1996512641673913E-2</v>
      </c>
    </row>
    <row r="10" spans="1:9">
      <c r="A10" s="171" t="s">
        <v>1147</v>
      </c>
      <c r="B10" t="s">
        <v>1153</v>
      </c>
      <c r="C10" t="s">
        <v>1159</v>
      </c>
      <c r="D10" s="18" t="s">
        <v>1176</v>
      </c>
      <c r="E10" s="170">
        <f>VLOOKUP(A10+0,'2'!H:I,2,FALSE)</f>
        <v>1.123</v>
      </c>
      <c r="F10" s="140">
        <f>VLOOKUP(A10+0,'2'!H:J,3,FALSE)</f>
        <v>0</v>
      </c>
      <c r="G10" s="26">
        <v>1.1100000000000001</v>
      </c>
      <c r="H10" s="26">
        <v>1.9E-2</v>
      </c>
      <c r="I10" s="17">
        <f t="shared" si="0"/>
        <v>2.8828828828828756E-2</v>
      </c>
    </row>
    <row r="11" spans="1:9">
      <c r="A11" s="171" t="s">
        <v>1148</v>
      </c>
      <c r="B11" t="s">
        <v>1154</v>
      </c>
      <c r="C11" t="s">
        <v>1162</v>
      </c>
      <c r="D11" s="18" t="s">
        <v>1176</v>
      </c>
      <c r="E11" s="170">
        <f>VLOOKUP(A11+0,'2'!H:I,2,FALSE)</f>
        <v>1.1116999999999999</v>
      </c>
      <c r="F11" s="140">
        <f>VLOOKUP(A11+0,'2'!H:J,3,FALSE)</f>
        <v>-2.0000000000000001E-4</v>
      </c>
      <c r="G11" s="26">
        <v>1.0831</v>
      </c>
      <c r="H11" s="26"/>
      <c r="I11" s="17">
        <f t="shared" si="0"/>
        <v>2.6405687378820097E-2</v>
      </c>
    </row>
    <row r="12" spans="1:9" s="67" customFormat="1"/>
    <row r="14" spans="1:9">
      <c r="A14" s="187" t="s">
        <v>1585</v>
      </c>
      <c r="B14" t="s">
        <v>1586</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9"/>
  <dimension ref="A1:L13"/>
  <sheetViews>
    <sheetView workbookViewId="0">
      <selection activeCell="G18" sqref="G18"/>
    </sheetView>
  </sheetViews>
  <sheetFormatPr defaultRowHeight="14.4"/>
  <cols>
    <col min="6" max="6" width="9.44140625" bestFit="1" customWidth="1"/>
    <col min="9" max="9" width="8.88671875" style="17"/>
    <col min="10" max="11" width="12.21875" customWidth="1"/>
  </cols>
  <sheetData>
    <row r="1" spans="1:12">
      <c r="A1" s="64" t="s">
        <v>151</v>
      </c>
      <c r="B1" s="97" t="s">
        <v>152</v>
      </c>
      <c r="C1" s="38" t="s">
        <v>153</v>
      </c>
      <c r="D1" s="63" t="s">
        <v>154</v>
      </c>
      <c r="E1" s="108" t="s">
        <v>281</v>
      </c>
      <c r="F1" s="39" t="s">
        <v>26</v>
      </c>
      <c r="G1" s="40" t="s">
        <v>27</v>
      </c>
      <c r="H1" s="120" t="s">
        <v>385</v>
      </c>
      <c r="J1" s="16">
        <v>43830</v>
      </c>
      <c r="K1" s="19" t="s">
        <v>846</v>
      </c>
      <c r="L1" s="18" t="s">
        <v>847</v>
      </c>
    </row>
    <row r="2" spans="1:12">
      <c r="A2" s="64" t="s">
        <v>146</v>
      </c>
      <c r="B2" s="97" t="s">
        <v>145</v>
      </c>
      <c r="C2" s="38" t="s">
        <v>147</v>
      </c>
      <c r="D2" s="63" t="s">
        <v>159</v>
      </c>
      <c r="E2" s="113">
        <v>0.2</v>
      </c>
      <c r="F2" s="94">
        <f>VLOOKUP(IF(A2&gt;"599999","sh","sz")&amp;A2,'1'!$A:$C,3,FALSE)</f>
        <v>56.94</v>
      </c>
      <c r="G2" s="28">
        <f>VLOOKUP(IF(A2&gt;"599999","sh","sz")&amp;A2,'1'!A:D,4,FALSE)</f>
        <v>2.0999999999999999E-3</v>
      </c>
      <c r="H2" s="121" t="s">
        <v>386</v>
      </c>
      <c r="I2" s="17">
        <f>E2*G2</f>
        <v>4.2000000000000002E-4</v>
      </c>
      <c r="J2" s="24">
        <v>65.58</v>
      </c>
      <c r="K2" s="24"/>
      <c r="L2" s="17">
        <f>(F2+K2)/J2-1</f>
        <v>-0.13174748398902103</v>
      </c>
    </row>
    <row r="3" spans="1:12">
      <c r="A3" s="106" t="s">
        <v>236</v>
      </c>
      <c r="B3" s="97" t="s">
        <v>237</v>
      </c>
      <c r="C3" s="107" t="s">
        <v>238</v>
      </c>
      <c r="D3" s="108" t="s">
        <v>238</v>
      </c>
      <c r="E3" s="113">
        <v>0.2</v>
      </c>
      <c r="F3" s="94">
        <f>VLOOKUP(IF(A3&gt;"599999","sh","sz")&amp;A3,'1'!$A:$C,3,FALSE)</f>
        <v>33.82</v>
      </c>
      <c r="G3" s="28">
        <f>VLOOKUP(IF(A3&gt;"599999","sh","sz")&amp;A3,'1'!A:D,4,FALSE)</f>
        <v>-1.17E-2</v>
      </c>
      <c r="H3" s="121" t="s">
        <v>387</v>
      </c>
      <c r="I3" s="17">
        <f t="shared" ref="I3:I9" si="0">E3*G3</f>
        <v>-2.3400000000000001E-3</v>
      </c>
      <c r="J3" s="24">
        <v>37.58</v>
      </c>
      <c r="K3" s="24"/>
      <c r="L3" s="17">
        <f t="shared" ref="L3:L9" si="1">(F3+K3)/J3-1</f>
        <v>-0.10005321979776471</v>
      </c>
    </row>
    <row r="4" spans="1:12">
      <c r="A4" s="64" t="s">
        <v>155</v>
      </c>
      <c r="B4" s="97" t="s">
        <v>156</v>
      </c>
      <c r="C4" s="38" t="s">
        <v>157</v>
      </c>
      <c r="D4" s="63" t="s">
        <v>158</v>
      </c>
      <c r="E4" s="113">
        <v>0.2</v>
      </c>
      <c r="F4" s="94">
        <f>VLOOKUP(IF(A4&gt;"599999","sh","sz")&amp;A4,'1'!$A:$C,3,FALSE)</f>
        <v>1366.6</v>
      </c>
      <c r="G4" s="28">
        <f>VLOOKUP(IF(A4&gt;"599999","sh","sz")&amp;A4,'1'!A:D,4,FALSE)</f>
        <v>1.6799999999999999E-2</v>
      </c>
      <c r="H4" s="121" t="s">
        <v>388</v>
      </c>
      <c r="I4" s="17">
        <f t="shared" si="0"/>
        <v>3.3600000000000001E-3</v>
      </c>
      <c r="J4" s="24">
        <v>1183</v>
      </c>
      <c r="K4" s="24"/>
      <c r="L4" s="17">
        <f t="shared" si="1"/>
        <v>0.15519864750633983</v>
      </c>
    </row>
    <row r="5" spans="1:12">
      <c r="A5" s="106" t="s">
        <v>241</v>
      </c>
      <c r="B5" s="97" t="s">
        <v>239</v>
      </c>
      <c r="C5" s="38" t="s">
        <v>231</v>
      </c>
      <c r="D5" s="63" t="s">
        <v>233</v>
      </c>
      <c r="E5" s="113">
        <v>0.2</v>
      </c>
      <c r="F5" s="94">
        <f>VLOOKUP(IF(A5&gt;"599999","sh","sz")&amp;A5,'1'!$A:$C,3,FALSE)</f>
        <v>70.709999999999994</v>
      </c>
      <c r="G5" s="28">
        <f>VLOOKUP(IF(A5&gt;"599999","sh","sz")&amp;A5,'1'!A:D,4,FALSE)</f>
        <v>-1.12E-2</v>
      </c>
      <c r="H5" s="121" t="s">
        <v>389</v>
      </c>
      <c r="I5" s="17">
        <f t="shared" si="0"/>
        <v>-2.2400000000000002E-3</v>
      </c>
      <c r="J5" s="24">
        <v>85.46</v>
      </c>
      <c r="K5" s="24">
        <v>1.3</v>
      </c>
      <c r="L5" s="17">
        <f t="shared" si="1"/>
        <v>-0.15738357126140889</v>
      </c>
    </row>
    <row r="6" spans="1:12">
      <c r="A6" s="64" t="s">
        <v>186</v>
      </c>
      <c r="B6" s="97" t="s">
        <v>187</v>
      </c>
      <c r="C6" s="38" t="s">
        <v>157</v>
      </c>
      <c r="D6" s="63" t="s">
        <v>160</v>
      </c>
      <c r="E6" s="113">
        <v>0.05</v>
      </c>
      <c r="F6" s="94">
        <f>VLOOKUP(IF(A6&gt;"599999","sh","sz")&amp;A6,'1'!$A:$C,3,FALSE)</f>
        <v>39.56</v>
      </c>
      <c r="G6" s="28">
        <f>VLOOKUP(IF(A6&gt;"599999","sh","sz")&amp;A6,'1'!A:D,4,FALSE)</f>
        <v>-1.5900000000000001E-2</v>
      </c>
      <c r="H6" s="121" t="s">
        <v>390</v>
      </c>
      <c r="I6" s="17">
        <f t="shared" si="0"/>
        <v>-7.9500000000000013E-4</v>
      </c>
      <c r="J6" s="24">
        <v>29.03</v>
      </c>
      <c r="K6" s="24"/>
      <c r="L6" s="17">
        <f t="shared" si="1"/>
        <v>0.36272821219428186</v>
      </c>
    </row>
    <row r="7" spans="1:12">
      <c r="A7" s="161" t="s">
        <v>982</v>
      </c>
      <c r="B7" s="97" t="s">
        <v>978</v>
      </c>
      <c r="C7" s="38" t="s">
        <v>979</v>
      </c>
      <c r="D7" s="63" t="s">
        <v>980</v>
      </c>
      <c r="E7" s="113">
        <v>0.05</v>
      </c>
      <c r="F7" s="94">
        <f>VLOOKUP(IF(A7&gt;"599999","sh","sz")&amp;A7,'1'!$A:$C,3,FALSE)</f>
        <v>120.19</v>
      </c>
      <c r="G7" s="28">
        <f>VLOOKUP(IF(A7&gt;"599999","sh","sz")&amp;A7,'1'!A:D,4,FALSE)</f>
        <v>4.24E-2</v>
      </c>
      <c r="H7" s="121" t="s">
        <v>983</v>
      </c>
      <c r="I7" s="17">
        <f t="shared" si="0"/>
        <v>2.1199999999999999E-3</v>
      </c>
      <c r="J7" s="24">
        <v>88.79</v>
      </c>
      <c r="K7" s="24"/>
      <c r="L7" s="17">
        <f t="shared" si="1"/>
        <v>0.35364342831399931</v>
      </c>
    </row>
    <row r="8" spans="1:12">
      <c r="A8" s="64" t="s">
        <v>195</v>
      </c>
      <c r="B8" s="97" t="s">
        <v>194</v>
      </c>
      <c r="C8" s="38" t="s">
        <v>135</v>
      </c>
      <c r="D8" s="63" t="s">
        <v>161</v>
      </c>
      <c r="E8" s="113">
        <v>0.05</v>
      </c>
      <c r="F8" s="94">
        <f>VLOOKUP(IF(A8&gt;"599999","sh","sz")&amp;A8,'1'!$A:$C,3,FALSE)</f>
        <v>46.48</v>
      </c>
      <c r="G8" s="28">
        <f>VLOOKUP(IF(A8&gt;"599999","sh","sz")&amp;A8,'1'!A:D,4,FALSE)</f>
        <v>3.1699999999999999E-2</v>
      </c>
      <c r="H8" s="121" t="s">
        <v>391</v>
      </c>
      <c r="I8" s="17">
        <f t="shared" si="0"/>
        <v>1.585E-3</v>
      </c>
      <c r="J8" s="24">
        <v>56.17</v>
      </c>
      <c r="K8" s="24"/>
      <c r="L8" s="17">
        <f t="shared" si="1"/>
        <v>-0.17251201709097386</v>
      </c>
    </row>
    <row r="9" spans="1:12">
      <c r="A9" s="64" t="s">
        <v>279</v>
      </c>
      <c r="B9" s="97" t="s">
        <v>234</v>
      </c>
      <c r="C9" s="38" t="s">
        <v>232</v>
      </c>
      <c r="D9" s="63" t="s">
        <v>280</v>
      </c>
      <c r="E9" s="113">
        <v>0.05</v>
      </c>
      <c r="F9" s="94">
        <f>VLOOKUP(IF(A9&gt;"599999","sh","sz")&amp;A9,'1'!$A:$C,3,FALSE)</f>
        <v>56.8</v>
      </c>
      <c r="G9" s="28">
        <f>VLOOKUP(IF(A9&gt;"599999","sh","sz")&amp;A9,'1'!A:D,4,FALSE)</f>
        <v>-1.2500000000000001E-2</v>
      </c>
      <c r="H9" s="121" t="s">
        <v>392</v>
      </c>
      <c r="I9" s="17">
        <f t="shared" si="0"/>
        <v>-6.2500000000000012E-4</v>
      </c>
      <c r="J9" s="24">
        <v>54.8</v>
      </c>
      <c r="K9" s="24"/>
      <c r="L9" s="17">
        <f t="shared" si="1"/>
        <v>3.649635036496357E-2</v>
      </c>
    </row>
    <row r="10" spans="1:12">
      <c r="A10" s="64"/>
      <c r="B10" s="97" t="s">
        <v>179</v>
      </c>
      <c r="C10" s="38"/>
      <c r="D10" s="63"/>
      <c r="E10" s="113">
        <f>SUM(E2:E9)</f>
        <v>1.0000000000000002</v>
      </c>
      <c r="F10" s="94"/>
      <c r="G10" s="28">
        <f>SUM(I2:I9)</f>
        <v>1.4849999999999998E-3</v>
      </c>
      <c r="H10" s="28"/>
      <c r="I10" s="119"/>
      <c r="L10" s="17">
        <f>AVERAGE(L2:L9)</f>
        <v>4.3296293280052009E-2</v>
      </c>
    </row>
    <row r="12" spans="1:12">
      <c r="A12" s="66" t="s">
        <v>183</v>
      </c>
    </row>
    <row r="13" spans="1:12">
      <c r="G13" s="17">
        <f>AVERAGE(G2:G5)</f>
        <v>-1.0000000000000005E-3</v>
      </c>
    </row>
  </sheetData>
  <sortState ref="A12:D17">
    <sortCondition ref="A17"/>
  </sortState>
  <phoneticPr fontId="18" type="noConversion"/>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sheetPr codeName="Sheet7"/>
  <dimension ref="A1:Y1031366"/>
  <sheetViews>
    <sheetView workbookViewId="0">
      <pane xSplit="1" ySplit="5" topLeftCell="B81" activePane="bottomRight" state="frozen"/>
      <selection pane="topRight" activeCell="B1" sqref="B1"/>
      <selection pane="bottomLeft" activeCell="A6" sqref="A6"/>
      <selection pane="bottomRight" activeCell="P1" sqref="P1:V5"/>
    </sheetView>
  </sheetViews>
  <sheetFormatPr defaultRowHeight="14.4"/>
  <cols>
    <col min="1" max="1" width="11.109375" style="16" customWidth="1"/>
    <col min="2" max="3" width="8.88671875" customWidth="1"/>
    <col min="4" max="9" width="8.88671875" style="26" customWidth="1"/>
    <col min="10" max="14" width="8.88671875" customWidth="1"/>
    <col min="15" max="15" width="7.109375" customWidth="1"/>
    <col min="16" max="16" width="6" customWidth="1"/>
    <col min="17" max="20" width="10.33203125" customWidth="1"/>
    <col min="21" max="22" width="10.21875" customWidth="1"/>
    <col min="23" max="23" width="4.44140625" customWidth="1"/>
    <col min="24" max="24" width="6.77734375" customWidth="1"/>
    <col min="25" max="25" width="11.44140625" customWidth="1"/>
  </cols>
  <sheetData>
    <row r="1" spans="1:25">
      <c r="A1" s="19" t="s">
        <v>44</v>
      </c>
      <c r="B1" s="20" t="s">
        <v>255</v>
      </c>
      <c r="C1" s="18" t="s">
        <v>366</v>
      </c>
      <c r="D1" s="21" t="s">
        <v>375</v>
      </c>
      <c r="E1" s="21" t="s">
        <v>805</v>
      </c>
      <c r="F1" s="21" t="s">
        <v>807</v>
      </c>
      <c r="G1" s="21" t="s">
        <v>809</v>
      </c>
      <c r="H1"/>
      <c r="I1" s="21" t="s">
        <v>832</v>
      </c>
      <c r="J1" s="18" t="s">
        <v>802</v>
      </c>
      <c r="K1" s="18" t="s">
        <v>803</v>
      </c>
      <c r="L1" s="18" t="s">
        <v>804</v>
      </c>
      <c r="M1" t="s">
        <v>806</v>
      </c>
      <c r="N1" t="s">
        <v>808</v>
      </c>
      <c r="P1" s="4"/>
      <c r="Q1" s="5" t="s">
        <v>255</v>
      </c>
      <c r="R1" s="22" t="s">
        <v>802</v>
      </c>
      <c r="S1" s="22" t="s">
        <v>803</v>
      </c>
      <c r="T1" s="22" t="s">
        <v>804</v>
      </c>
      <c r="U1" s="22" t="s">
        <v>806</v>
      </c>
      <c r="V1" s="22" t="s">
        <v>808</v>
      </c>
      <c r="W1" s="18"/>
      <c r="X1" s="18" t="s">
        <v>45</v>
      </c>
      <c r="Y1" s="23" t="s">
        <v>46</v>
      </c>
    </row>
    <row r="2" spans="1:25">
      <c r="A2" s="16">
        <v>43830</v>
      </c>
      <c r="B2" s="24">
        <v>4096.5820999999996</v>
      </c>
      <c r="C2" s="25">
        <v>0.99999999999999989</v>
      </c>
      <c r="D2" s="26">
        <v>1</v>
      </c>
      <c r="E2" s="25">
        <v>1</v>
      </c>
      <c r="F2" s="26">
        <v>1</v>
      </c>
      <c r="G2" s="25">
        <v>1</v>
      </c>
      <c r="I2" s="21" t="s">
        <v>833</v>
      </c>
      <c r="J2" s="27" t="s">
        <v>184</v>
      </c>
      <c r="K2" s="27" t="s">
        <v>47</v>
      </c>
      <c r="L2" s="27" t="s">
        <v>47</v>
      </c>
      <c r="M2" s="27" t="s">
        <v>47</v>
      </c>
      <c r="N2" s="27" t="s">
        <v>47</v>
      </c>
      <c r="P2" s="5" t="s">
        <v>53</v>
      </c>
      <c r="Q2" s="28">
        <f t="shared" ref="Q2:V2" si="0">VLOOKUP($Y2,$A:$N,COLUMN()-8,FALSE)</f>
        <v>2.6942676724905912E-3</v>
      </c>
      <c r="R2" s="28">
        <f t="shared" si="0"/>
        <v>1.4849999999999998E-3</v>
      </c>
      <c r="S2" s="28">
        <f t="shared" si="0"/>
        <v>7.862647722976639E-3</v>
      </c>
      <c r="T2" s="28">
        <f t="shared" si="0"/>
        <v>7.8099999999999992E-3</v>
      </c>
      <c r="U2" s="28">
        <f>VLOOKUP($Y2,$A:$N,COLUMN()-8,FALSE)</f>
        <v>5.3624999999999992E-3</v>
      </c>
      <c r="V2" s="28">
        <f t="shared" si="0"/>
        <v>2.6899999999999997E-3</v>
      </c>
      <c r="X2" t="s">
        <v>49</v>
      </c>
      <c r="Y2" s="29">
        <v>43980</v>
      </c>
    </row>
    <row r="3" spans="1:25">
      <c r="A3" s="16">
        <v>43832</v>
      </c>
      <c r="B3" s="24">
        <v>4152.2407999999996</v>
      </c>
      <c r="C3" s="25">
        <v>1.0094739999999998</v>
      </c>
      <c r="D3" s="25">
        <v>1.0017111591096983</v>
      </c>
      <c r="E3" s="25">
        <v>1.006615</v>
      </c>
      <c r="F3" s="25">
        <v>1.00485</v>
      </c>
      <c r="G3" s="25">
        <v>1.01084</v>
      </c>
      <c r="I3" s="17">
        <v>1.3586618952418972E-2</v>
      </c>
      <c r="J3" s="17">
        <v>9.4739999999999998E-3</v>
      </c>
      <c r="K3" s="17">
        <v>1.7111591096983236E-3</v>
      </c>
      <c r="L3" s="17">
        <v>6.6149999999999985E-3</v>
      </c>
      <c r="M3" s="17">
        <v>4.8500000000000001E-3</v>
      </c>
      <c r="N3" s="17">
        <v>1.0840000000000001E-2</v>
      </c>
      <c r="P3" s="5" t="s">
        <v>51</v>
      </c>
      <c r="Q3" s="28">
        <f>VLOOKUP($Y2,$A:B,COLUMN()-15,FALSE)/VLOOKUP($Y$3,$A:B,COLUMN()-15,FALSE)-1</f>
        <v>1.1233912403139756E-2</v>
      </c>
      <c r="R3" s="28">
        <f>VLOOKUP($Y2,$A:C,COLUMN()-15,FALSE)/VLOOKUP($Y$3,$A:C,COLUMN()-15,FALSE)-1</f>
        <v>1.7647906350123588E-2</v>
      </c>
      <c r="S3" s="28">
        <f>VLOOKUP($Y2,$A:D,COLUMN()-15,FALSE)/VLOOKUP($Y$3,$A:D,COLUMN()-15,FALSE)-1</f>
        <v>1.0217213333618247E-2</v>
      </c>
      <c r="T3" s="28">
        <f>VLOOKUP($Y2,$A:E,COLUMN()-15,FALSE)/VLOOKUP($Y$3,$A:E,COLUMN()-15,FALSE)-1</f>
        <v>1.4018939336430503E-2</v>
      </c>
      <c r="U3" s="28">
        <f>VLOOKUP($Y2,$A:F,COLUMN()-15,FALSE)/VLOOKUP($Y$3,$A:F,COLUMN()-15,FALSE)-1</f>
        <v>2.1287300535578924E-2</v>
      </c>
      <c r="V3" s="28">
        <f>VLOOKUP($Y2,$A:G,COLUMN()-15,FALSE)/VLOOKUP($Y$3,$A:G,COLUMN()-15,FALSE)-1</f>
        <v>1.4359515126524558E-2</v>
      </c>
      <c r="X3" t="s">
        <v>50</v>
      </c>
      <c r="Y3" s="23">
        <v>43973</v>
      </c>
    </row>
    <row r="4" spans="1:25">
      <c r="A4" s="16">
        <v>43833</v>
      </c>
      <c r="B4" s="24">
        <v>4144.9648999999999</v>
      </c>
      <c r="C4" s="25">
        <v>0.99937925999999977</v>
      </c>
      <c r="D4" s="25">
        <v>1.0051249152556763</v>
      </c>
      <c r="E4" s="25">
        <v>1.00936305895</v>
      </c>
      <c r="F4" s="25">
        <v>1.00919597625</v>
      </c>
      <c r="G4" s="25">
        <v>1.0156010564</v>
      </c>
      <c r="I4" s="17">
        <v>-1.7522827674155694E-3</v>
      </c>
      <c r="J4" s="17">
        <v>-9.9999999999999985E-3</v>
      </c>
      <c r="K4" s="17">
        <v>3.4079246446768741E-3</v>
      </c>
      <c r="L4" s="17">
        <v>2.7299999999999998E-3</v>
      </c>
      <c r="M4" s="17">
        <v>4.324999999999999E-3</v>
      </c>
      <c r="N4" s="17">
        <v>4.7099999999999989E-3</v>
      </c>
      <c r="P4" s="5" t="s">
        <v>178</v>
      </c>
      <c r="Q4" s="28">
        <f>VLOOKUP($Y2,$A:B,COLUMN()-15,FALSE)/VLOOKUP($Y$4,$A:B,COLUMN()-15,FALSE)-1</f>
        <v>-1.1642965153505491E-2</v>
      </c>
      <c r="R4" s="28">
        <f>VLOOKUP($Y2,$A:C,COLUMN()-15,FALSE)/VLOOKUP($Y$4,$A:C,COLUMN()-15,FALSE)-1</f>
        <v>6.9696823127163299E-3</v>
      </c>
      <c r="S4" s="28">
        <f>VLOOKUP($Y2,$A:D,COLUMN()-15,FALSE)/VLOOKUP($Y$4,$A:D,COLUMN()-15,FALSE)-1</f>
        <v>-2.4324196886343352E-2</v>
      </c>
      <c r="T4" s="28">
        <f>VLOOKUP($Y2,$A:E,COLUMN()-15,FALSE)/VLOOKUP($Y$4,$A:E,COLUMN()-15,FALSE)-1</f>
        <v>-3.3619656013324728E-2</v>
      </c>
      <c r="U4" s="28">
        <f>VLOOKUP($Y2,$A:F,COLUMN()-15,FALSE)/VLOOKUP($Y$4,$A:F,COLUMN()-15,FALSE)-1</f>
        <v>3.9955364020656914E-2</v>
      </c>
      <c r="V4" s="28">
        <f>VLOOKUP($Y2,$A:G,COLUMN()-15,FALSE)/VLOOKUP($Y$4,$A:G,COLUMN()-15,FALSE)-1</f>
        <v>1.4374948117709563E-2</v>
      </c>
      <c r="X4" t="s">
        <v>52</v>
      </c>
      <c r="Y4" s="23">
        <v>43951</v>
      </c>
    </row>
    <row r="5" spans="1:25">
      <c r="A5" s="16">
        <v>43836</v>
      </c>
      <c r="B5" s="24">
        <v>4129.2954</v>
      </c>
      <c r="C5" s="25">
        <v>0.99007304033087984</v>
      </c>
      <c r="D5" s="25">
        <v>1.0033437864797361</v>
      </c>
      <c r="E5" s="25">
        <v>1.0132238726504836</v>
      </c>
      <c r="F5" s="25">
        <v>1.0020180698689218</v>
      </c>
      <c r="G5" s="25">
        <v>1.0110003836145078</v>
      </c>
      <c r="I5" s="17">
        <v>-3.7803697686318305E-3</v>
      </c>
      <c r="J5" s="17">
        <v>-9.3120000000000008E-3</v>
      </c>
      <c r="K5" s="17">
        <v>-1.7720471842917196E-3</v>
      </c>
      <c r="L5" s="17">
        <v>3.8250000000000007E-3</v>
      </c>
      <c r="M5" s="17">
        <v>-7.1125000000000008E-3</v>
      </c>
      <c r="N5" s="17">
        <v>-4.5300000000000002E-3</v>
      </c>
      <c r="P5" s="5" t="s">
        <v>48</v>
      </c>
      <c r="Q5" s="28">
        <f>VLOOKUP($Y2,$A:B,COLUMN()-15,FALSE)/VLOOKUP($Y$5,$A:B,COLUMN()-15,FALSE)-1</f>
        <v>-5.6036689707744336E-2</v>
      </c>
      <c r="R5" s="28">
        <f>VLOOKUP($Y2,$A:C,COLUMN()-15,FALSE)/VLOOKUP($Y$5,$A:C,COLUMN()-15,FALSE)-1</f>
        <v>-5.3466020745050025E-2</v>
      </c>
      <c r="S5" s="28">
        <f>VLOOKUP($Y2,$A:D,COLUMN()-15,FALSE)/VLOOKUP($Y$5,$A:D,COLUMN()-15,FALSE)-1</f>
        <v>1.4760162141582711E-3</v>
      </c>
      <c r="T5" s="28">
        <f>VLOOKUP($Y2,$A:E,COLUMN()-15,FALSE)/VLOOKUP($Y$5,$A:E,COLUMN()-15,FALSE)-1</f>
        <v>8.6054988650356545E-2</v>
      </c>
      <c r="U5" s="28">
        <f>VLOOKUP($Y2,$A:F,COLUMN()-15,FALSE)/VLOOKUP($Y$5,$A:F,COLUMN()-15,FALSE)-1</f>
        <v>5.4603084807976376E-2</v>
      </c>
      <c r="V5" s="28">
        <f>VLOOKUP($Y2,$A:G,COLUMN()-15,FALSE)/VLOOKUP($Y$5,$A:G,COLUMN()-15,FALSE)-1</f>
        <v>3.6138043004045883E-2</v>
      </c>
      <c r="X5" s="18" t="s">
        <v>67</v>
      </c>
      <c r="Y5" s="30">
        <v>43830</v>
      </c>
    </row>
    <row r="6" spans="1:25">
      <c r="A6" s="16">
        <v>43837</v>
      </c>
      <c r="B6" s="24">
        <v>4160.2273999999998</v>
      </c>
      <c r="C6" s="25">
        <v>1.0003361374669499</v>
      </c>
      <c r="D6" s="25">
        <v>1.0038966783029608</v>
      </c>
      <c r="E6" s="25">
        <v>1.0205393490110202</v>
      </c>
      <c r="F6" s="25">
        <v>1.0091323981649913</v>
      </c>
      <c r="G6" s="25">
        <v>1.0212822575158673</v>
      </c>
      <c r="I6" s="17">
        <v>7.4908663594277503E-3</v>
      </c>
      <c r="J6" s="17">
        <v>1.0366E-2</v>
      </c>
      <c r="K6" s="17">
        <v>5.5104923225221536E-4</v>
      </c>
      <c r="L6" s="17">
        <v>7.2199999999999999E-3</v>
      </c>
      <c r="M6" s="17">
        <v>7.1000000000000013E-3</v>
      </c>
      <c r="N6" s="17">
        <v>1.017E-2</v>
      </c>
      <c r="Q6" s="17"/>
      <c r="R6" s="17"/>
      <c r="S6" s="17"/>
      <c r="T6" s="17"/>
      <c r="U6" s="17"/>
    </row>
    <row r="7" spans="1:25">
      <c r="A7" s="16">
        <v>43838</v>
      </c>
      <c r="B7" s="24">
        <v>4112.3172000000004</v>
      </c>
      <c r="C7" s="25">
        <v>0.9953904756033134</v>
      </c>
      <c r="D7" s="25">
        <v>1.0034226473350691</v>
      </c>
      <c r="E7" s="25">
        <v>1.019319804488952</v>
      </c>
      <c r="F7" s="25">
        <v>1.0030649896210244</v>
      </c>
      <c r="G7" s="25">
        <v>1.0087000601032718</v>
      </c>
      <c r="I7" s="17">
        <v>-1.1516245482157905E-2</v>
      </c>
      <c r="J7" s="17">
        <v>-4.9440000000000005E-3</v>
      </c>
      <c r="K7" s="17">
        <v>-4.7219099150014321E-4</v>
      </c>
      <c r="L7" s="17">
        <v>-1.1950000000000001E-3</v>
      </c>
      <c r="M7" s="17">
        <v>-6.0124999999999996E-3</v>
      </c>
      <c r="N7" s="17">
        <v>-1.2320000000000001E-2</v>
      </c>
      <c r="Q7" s="17"/>
      <c r="R7" s="17">
        <f>R2*0.2+S2*0.1+T2*0.4+V2*0.3</f>
        <v>5.0142647722976634E-3</v>
      </c>
      <c r="S7" s="17"/>
      <c r="T7" s="17"/>
      <c r="U7" s="17"/>
    </row>
    <row r="8" spans="1:25">
      <c r="A8" s="16">
        <v>43839</v>
      </c>
      <c r="B8" s="24">
        <v>4164.3697000000002</v>
      </c>
      <c r="C8" s="25">
        <v>1.0073709953676748</v>
      </c>
      <c r="D8" s="25">
        <v>1.0032382204818588</v>
      </c>
      <c r="E8" s="25">
        <v>1.0282490459762752</v>
      </c>
      <c r="F8" s="25">
        <v>1.0153274591191415</v>
      </c>
      <c r="G8" s="25">
        <v>1.0277947522410269</v>
      </c>
      <c r="I8" s="17">
        <v>1.2657705490228155E-2</v>
      </c>
      <c r="J8" s="17">
        <v>1.2036E-2</v>
      </c>
      <c r="K8" s="17">
        <v>-1.8379777823451793E-4</v>
      </c>
      <c r="L8" s="17">
        <v>8.7600000000000004E-3</v>
      </c>
      <c r="M8" s="17">
        <v>1.2225E-2</v>
      </c>
      <c r="N8" s="17">
        <v>1.8930000000000002E-2</v>
      </c>
      <c r="Q8" s="17"/>
      <c r="R8" s="17">
        <f t="shared" ref="R8:R10" si="1">R3*0.2+S3*0.1+T3*0.4+V3*0.3</f>
        <v>1.446673287591611E-2</v>
      </c>
      <c r="S8" s="17"/>
      <c r="T8" s="17"/>
      <c r="U8" s="17"/>
    </row>
    <row r="9" spans="1:25">
      <c r="A9" s="16">
        <v>43840</v>
      </c>
      <c r="B9" s="24">
        <v>4163.1849000000002</v>
      </c>
      <c r="C9" s="25">
        <v>1.0085697668521625</v>
      </c>
      <c r="D9" s="25">
        <v>1.0050834801571322</v>
      </c>
      <c r="E9" s="25">
        <v>1.0231540719534626</v>
      </c>
      <c r="F9" s="25">
        <v>1.0171677401387949</v>
      </c>
      <c r="G9" s="25">
        <v>1.0377540833902423</v>
      </c>
      <c r="I9" s="17">
        <v>-2.8450884175823532E-4</v>
      </c>
      <c r="J9" s="17">
        <v>1.1900000000000001E-3</v>
      </c>
      <c r="K9" s="17">
        <v>1.8393036046684408E-3</v>
      </c>
      <c r="L9" s="17">
        <v>-4.9550000000000002E-3</v>
      </c>
      <c r="M9" s="17">
        <v>1.8124999999999999E-3</v>
      </c>
      <c r="N9" s="17">
        <v>9.689999999999999E-3</v>
      </c>
      <c r="Q9" s="17"/>
      <c r="R9" s="17">
        <f t="shared" si="1"/>
        <v>-1.0173861196108094E-2</v>
      </c>
      <c r="S9" s="17"/>
      <c r="T9" s="17"/>
      <c r="U9" s="17"/>
    </row>
    <row r="10" spans="1:25">
      <c r="A10" s="16">
        <v>43843</v>
      </c>
      <c r="B10" s="24">
        <v>4203.9883</v>
      </c>
      <c r="C10" s="25">
        <v>1.0148249165461796</v>
      </c>
      <c r="D10" s="25">
        <v>1.0043661121477596</v>
      </c>
      <c r="E10" s="25">
        <v>1.0260598295178105</v>
      </c>
      <c r="F10" s="25">
        <v>1.0260170994780022</v>
      </c>
      <c r="G10" s="25">
        <v>1.0471561353857579</v>
      </c>
      <c r="I10" s="17">
        <v>9.8010059558006901E-3</v>
      </c>
      <c r="J10" s="17">
        <v>6.202E-3</v>
      </c>
      <c r="K10" s="17">
        <v>-7.1373972762980853E-4</v>
      </c>
      <c r="L10" s="17">
        <v>2.8399999999999996E-3</v>
      </c>
      <c r="M10" s="17">
        <v>8.6999999999999994E-3</v>
      </c>
      <c r="N10" s="17">
        <v>9.0599999999999986E-3</v>
      </c>
      <c r="Q10" s="17"/>
      <c r="R10" s="17">
        <f t="shared" si="1"/>
        <v>3.4717805833762209E-2</v>
      </c>
      <c r="S10" s="17"/>
      <c r="T10" s="17"/>
      <c r="U10" s="17"/>
    </row>
    <row r="11" spans="1:25">
      <c r="A11" s="16">
        <v>43844</v>
      </c>
      <c r="B11" s="24">
        <v>4189.8861999999999</v>
      </c>
      <c r="C11" s="25">
        <v>1.0116079215607281</v>
      </c>
      <c r="D11" s="25">
        <v>1.0049146423041408</v>
      </c>
      <c r="E11" s="25">
        <v>1.0284043762282589</v>
      </c>
      <c r="F11" s="25">
        <v>1.022041283217525</v>
      </c>
      <c r="G11" s="25">
        <v>1.0448628634492632</v>
      </c>
      <c r="I11" s="17">
        <v>-3.3544574802931715E-3</v>
      </c>
      <c r="J11" s="17">
        <v>-3.1700000000000001E-3</v>
      </c>
      <c r="K11" s="17">
        <v>5.4614562334059924E-4</v>
      </c>
      <c r="L11" s="17">
        <v>2.2850000000000006E-3</v>
      </c>
      <c r="M11" s="17">
        <v>-3.875E-3</v>
      </c>
      <c r="N11" s="17">
        <v>-2.1900000000000001E-3</v>
      </c>
      <c r="Q11" s="17"/>
      <c r="R11" s="17"/>
      <c r="S11" s="17"/>
      <c r="T11" s="17"/>
      <c r="U11" s="17"/>
    </row>
    <row r="12" spans="1:25">
      <c r="A12" s="16">
        <v>43845</v>
      </c>
      <c r="B12" s="24">
        <v>4166.7344000000003</v>
      </c>
      <c r="C12" s="25">
        <v>1.0025803324687201</v>
      </c>
      <c r="D12" s="25">
        <v>1.0038682653741471</v>
      </c>
      <c r="E12" s="25">
        <v>1.0263269993882778</v>
      </c>
      <c r="F12" s="25">
        <v>1.0232166306932251</v>
      </c>
      <c r="G12" s="25">
        <v>1.0421357713756605</v>
      </c>
      <c r="I12" s="17">
        <v>-5.5256393359799372E-3</v>
      </c>
      <c r="J12" s="17">
        <v>-8.9239999999999996E-3</v>
      </c>
      <c r="K12" s="17">
        <v>-1.0412595119466683E-3</v>
      </c>
      <c r="L12" s="17">
        <v>-2.0200000000000001E-3</v>
      </c>
      <c r="M12" s="17">
        <v>1.1499999999999998E-3</v>
      </c>
      <c r="N12" s="17">
        <v>-2.6099999999999999E-3</v>
      </c>
      <c r="Q12" s="17"/>
      <c r="R12" s="17"/>
      <c r="S12" s="17"/>
      <c r="T12" s="17"/>
      <c r="U12" s="17"/>
    </row>
    <row r="13" spans="1:25">
      <c r="A13" s="16">
        <v>43846</v>
      </c>
      <c r="B13" s="24">
        <v>4149.0433999999996</v>
      </c>
      <c r="C13" s="25">
        <v>0.99330646439338455</v>
      </c>
      <c r="D13" s="25">
        <v>1.0051380697879979</v>
      </c>
      <c r="E13" s="25">
        <v>1.0262038401483511</v>
      </c>
      <c r="F13" s="25">
        <v>1.0191877152098705</v>
      </c>
      <c r="G13" s="25">
        <v>1.0392594766466636</v>
      </c>
      <c r="I13" s="17">
        <v>-4.2457709807470767E-3</v>
      </c>
      <c r="J13" s="17">
        <v>-9.2500000000000013E-3</v>
      </c>
      <c r="K13" s="17">
        <v>1.264911400877311E-3</v>
      </c>
      <c r="L13" s="17">
        <v>-1.2000000000000002E-4</v>
      </c>
      <c r="M13" s="17">
        <v>-3.9375E-3</v>
      </c>
      <c r="N13" s="17">
        <v>-2.7599999999999994E-3</v>
      </c>
      <c r="Q13" s="17"/>
      <c r="R13" s="17"/>
      <c r="S13" s="17"/>
      <c r="T13" s="17"/>
      <c r="U13" s="17"/>
    </row>
    <row r="14" spans="1:25">
      <c r="A14" s="16">
        <v>43847</v>
      </c>
      <c r="B14" s="24">
        <v>4154.8530000000001</v>
      </c>
      <c r="C14" s="25">
        <v>0.99685256847126902</v>
      </c>
      <c r="D14" s="25">
        <v>1.0079992516722851</v>
      </c>
      <c r="E14" s="25">
        <v>1.0289797215359524</v>
      </c>
      <c r="F14" s="25">
        <v>1.0204999193932034</v>
      </c>
      <c r="G14" s="25">
        <v>1.0428137440567953</v>
      </c>
      <c r="I14" s="17">
        <v>1.400226375072533E-3</v>
      </c>
      <c r="J14" s="17">
        <v>3.5700000000000007E-3</v>
      </c>
      <c r="K14" s="17">
        <v>2.8465560804902257E-3</v>
      </c>
      <c r="L14" s="17">
        <v>2.7049999999999999E-3</v>
      </c>
      <c r="M14" s="17">
        <v>1.2874999999999998E-3</v>
      </c>
      <c r="N14" s="17">
        <v>3.4200000000000003E-3</v>
      </c>
      <c r="Q14" s="17"/>
      <c r="R14" s="17"/>
      <c r="S14" s="17"/>
      <c r="T14" s="17"/>
      <c r="U14" s="17"/>
    </row>
    <row r="15" spans="1:25">
      <c r="A15" s="16">
        <v>43850</v>
      </c>
      <c r="B15" s="24">
        <v>4185.8303999999998</v>
      </c>
      <c r="C15" s="25">
        <v>1.0011888771441191</v>
      </c>
      <c r="D15" s="25">
        <v>1.0135594540924311</v>
      </c>
      <c r="E15" s="25">
        <v>1.0368874306959561</v>
      </c>
      <c r="F15" s="25">
        <v>1.0245053815768217</v>
      </c>
      <c r="G15" s="25">
        <v>1.0508121254737111</v>
      </c>
      <c r="I15" s="17">
        <v>7.4557150397378535E-3</v>
      </c>
      <c r="J15" s="17">
        <v>4.3499999999999997E-3</v>
      </c>
      <c r="K15" s="17">
        <v>5.5160779245834179E-3</v>
      </c>
      <c r="L15" s="17">
        <v>7.685E-3</v>
      </c>
      <c r="M15" s="17">
        <v>3.9249999999999997E-3</v>
      </c>
      <c r="N15" s="17">
        <v>7.6700000000000015E-3</v>
      </c>
      <c r="O15" s="67"/>
      <c r="P15" s="67"/>
      <c r="Q15" s="96"/>
      <c r="R15" s="96"/>
      <c r="S15" s="96"/>
      <c r="T15" s="96"/>
      <c r="U15" s="17"/>
    </row>
    <row r="16" spans="1:25">
      <c r="A16" s="16">
        <v>43851</v>
      </c>
      <c r="B16" s="24">
        <v>4114.3085000000001</v>
      </c>
      <c r="C16" s="25">
        <v>0.98173978201671741</v>
      </c>
      <c r="D16" s="25">
        <v>1.0135007836910344</v>
      </c>
      <c r="E16" s="25">
        <v>1.0398995886821278</v>
      </c>
      <c r="F16" s="25">
        <v>1.0127619886404973</v>
      </c>
      <c r="G16" s="25">
        <v>1.0360166907470412</v>
      </c>
      <c r="I16" s="17">
        <v>-1.7086669350005135E-2</v>
      </c>
      <c r="J16" s="17">
        <v>-1.9426000000000002E-2</v>
      </c>
      <c r="K16" s="17">
        <v>-5.7885505541782623E-5</v>
      </c>
      <c r="L16" s="17">
        <v>2.9049999999999996E-3</v>
      </c>
      <c r="M16" s="17">
        <v>-1.14625E-2</v>
      </c>
      <c r="N16" s="17">
        <v>-1.4079999999999999E-2</v>
      </c>
      <c r="O16" s="67"/>
      <c r="P16" s="67"/>
      <c r="Q16" s="96"/>
      <c r="R16" s="96"/>
      <c r="S16" s="96"/>
      <c r="T16" s="96"/>
      <c r="U16" s="17"/>
    </row>
    <row r="17" spans="1:21">
      <c r="A17" s="16">
        <v>43852</v>
      </c>
      <c r="B17" s="24">
        <v>4131.9310999999998</v>
      </c>
      <c r="C17" s="25">
        <v>0.98162000976331143</v>
      </c>
      <c r="D17" s="25">
        <v>1.0163267481673219</v>
      </c>
      <c r="E17" s="25">
        <v>1.0429932899584571</v>
      </c>
      <c r="F17" s="25">
        <v>1.016091443678153</v>
      </c>
      <c r="G17" s="25">
        <v>1.0426161170670998</v>
      </c>
      <c r="I17" s="17">
        <v>4.2832471118778859E-3</v>
      </c>
      <c r="J17" s="17">
        <v>-1.2200000000000012E-4</v>
      </c>
      <c r="K17" s="17">
        <v>2.7883199714910933E-3</v>
      </c>
      <c r="L17" s="17">
        <v>2.9750000000000011E-3</v>
      </c>
      <c r="M17" s="17">
        <v>3.2874999999999996E-3</v>
      </c>
      <c r="N17" s="17">
        <v>6.3700000000000007E-3</v>
      </c>
      <c r="O17" s="67"/>
      <c r="P17" s="67"/>
      <c r="Q17" s="96"/>
      <c r="R17" s="96"/>
      <c r="S17" s="96"/>
      <c r="T17" s="96"/>
      <c r="U17" s="17"/>
    </row>
    <row r="18" spans="1:21">
      <c r="A18" s="16">
        <v>43853</v>
      </c>
      <c r="B18" s="24">
        <v>4003.9013</v>
      </c>
      <c r="C18" s="25">
        <v>0.95344358900306536</v>
      </c>
      <c r="D18" s="25">
        <v>1.0164194751799021</v>
      </c>
      <c r="E18" s="25">
        <v>1.0336832024859859</v>
      </c>
      <c r="F18" s="25">
        <v>0.99367392620200368</v>
      </c>
      <c r="G18" s="25">
        <v>1.0161232415324248</v>
      </c>
      <c r="I18" s="17">
        <v>-3.0985463431372318E-2</v>
      </c>
      <c r="J18" s="17">
        <v>-2.8703999999999997E-2</v>
      </c>
      <c r="K18" s="17">
        <v>9.1237402486232799E-5</v>
      </c>
      <c r="L18" s="17">
        <v>-8.9263157894736832E-3</v>
      </c>
      <c r="M18" s="17">
        <v>-2.2062499999999999E-2</v>
      </c>
      <c r="N18" s="17">
        <v>-2.5409999999999999E-2</v>
      </c>
      <c r="O18" s="67"/>
      <c r="P18" s="67"/>
      <c r="Q18" s="96"/>
      <c r="R18" s="96"/>
      <c r="S18" s="96"/>
      <c r="T18" s="96"/>
      <c r="U18" s="17"/>
    </row>
    <row r="19" spans="1:21">
      <c r="A19" s="16">
        <v>43864</v>
      </c>
      <c r="B19" s="24">
        <v>3688.3578000000002</v>
      </c>
      <c r="C19" s="25">
        <v>0.88873718639178334</v>
      </c>
      <c r="D19" s="25">
        <v>1.0066331694940107</v>
      </c>
      <c r="E19" s="25">
        <v>1.006693190025286</v>
      </c>
      <c r="F19" s="25">
        <v>0.93650041267315587</v>
      </c>
      <c r="G19" s="25">
        <v>0.94700653864338935</v>
      </c>
      <c r="I19" s="17">
        <v>-7.8809010601734841E-2</v>
      </c>
      <c r="J19" s="17">
        <v>-6.7865999999999996E-2</v>
      </c>
      <c r="K19" s="17">
        <v>-9.6282154414241705E-3</v>
      </c>
      <c r="L19" s="17">
        <v>-2.6110526315789476E-2</v>
      </c>
      <c r="M19" s="17">
        <v>-5.7537500000000005E-2</v>
      </c>
      <c r="N19" s="17">
        <v>-6.8019999999999997E-2</v>
      </c>
      <c r="O19" s="67"/>
      <c r="P19" s="67"/>
      <c r="Q19" s="96"/>
      <c r="R19" s="96"/>
      <c r="S19" s="96"/>
      <c r="T19" s="96"/>
      <c r="U19" s="17"/>
    </row>
    <row r="20" spans="1:21">
      <c r="A20" s="16">
        <v>43865</v>
      </c>
      <c r="B20" s="24">
        <v>3785.7579999999998</v>
      </c>
      <c r="C20" s="25">
        <v>0.91665597636509488</v>
      </c>
      <c r="D20" s="25">
        <v>1.0159377709466353</v>
      </c>
      <c r="E20" s="25">
        <v>1.0220744022918302</v>
      </c>
      <c r="F20" s="25">
        <v>0.95373202026634196</v>
      </c>
      <c r="G20" s="25">
        <v>0.9775474995146386</v>
      </c>
      <c r="I20" s="17">
        <v>2.640747055505277E-2</v>
      </c>
      <c r="J20" s="17">
        <v>3.1414000000000004E-2</v>
      </c>
      <c r="K20" s="17">
        <v>9.2432891490171198E-3</v>
      </c>
      <c r="L20" s="17">
        <v>1.527894736842105E-2</v>
      </c>
      <c r="M20" s="17">
        <v>1.84E-2</v>
      </c>
      <c r="N20" s="17">
        <v>3.2250000000000001E-2</v>
      </c>
      <c r="O20" s="67"/>
      <c r="P20" s="67"/>
      <c r="Q20" s="96"/>
      <c r="R20" s="96"/>
      <c r="S20" s="96"/>
      <c r="T20" s="96"/>
      <c r="U20" s="17"/>
    </row>
    <row r="21" spans="1:21">
      <c r="A21" s="16">
        <v>43866</v>
      </c>
      <c r="B21" s="24">
        <v>3811.7318</v>
      </c>
      <c r="C21" s="25">
        <v>0.9200439368537402</v>
      </c>
      <c r="D21" s="25">
        <v>1.0180599002418058</v>
      </c>
      <c r="E21" s="25">
        <v>1.0325748719406389</v>
      </c>
      <c r="F21" s="25">
        <v>0.95966900209249983</v>
      </c>
      <c r="G21" s="25">
        <v>0.98587620421050337</v>
      </c>
      <c r="I21" s="17">
        <v>6.8609245493240767E-3</v>
      </c>
      <c r="J21" s="17">
        <v>3.6960000000000009E-3</v>
      </c>
      <c r="K21" s="17">
        <v>2.0888378755649917E-3</v>
      </c>
      <c r="L21" s="17">
        <v>1.0273684210526317E-2</v>
      </c>
      <c r="M21" s="17">
        <v>6.2249999999999996E-3</v>
      </c>
      <c r="N21" s="17">
        <v>8.5199999999999998E-3</v>
      </c>
      <c r="O21" s="67"/>
      <c r="P21" s="67"/>
      <c r="Q21" s="96"/>
      <c r="R21" s="96"/>
      <c r="S21" s="96"/>
      <c r="T21" s="96"/>
      <c r="U21" s="17"/>
    </row>
    <row r="22" spans="1:21">
      <c r="A22" s="16">
        <v>43867</v>
      </c>
      <c r="B22" s="24">
        <v>3899.7750999999998</v>
      </c>
      <c r="C22" s="25">
        <v>0.93351338008927898</v>
      </c>
      <c r="D22" s="25">
        <v>1.0266751325242973</v>
      </c>
      <c r="E22" s="25">
        <v>1.0389714015420819</v>
      </c>
      <c r="F22" s="25">
        <v>0.97117303425508372</v>
      </c>
      <c r="G22" s="25">
        <v>1.0024980770134926</v>
      </c>
      <c r="I22" s="17">
        <v>2.30979787192791E-2</v>
      </c>
      <c r="J22" s="17">
        <v>1.464E-2</v>
      </c>
      <c r="K22" s="17">
        <v>8.4624021439654307E-3</v>
      </c>
      <c r="L22" s="17">
        <v>6.1947368421052642E-3</v>
      </c>
      <c r="M22" s="17">
        <v>1.1987500000000002E-2</v>
      </c>
      <c r="N22" s="17">
        <v>1.6860000000000003E-2</v>
      </c>
      <c r="O22" s="67"/>
      <c r="P22" s="67"/>
      <c r="Q22" s="96"/>
      <c r="R22" s="96"/>
      <c r="S22" s="96"/>
      <c r="T22" s="96"/>
      <c r="U22" s="17"/>
    </row>
    <row r="23" spans="1:21">
      <c r="A23" s="16">
        <v>43868</v>
      </c>
      <c r="B23" s="24">
        <v>3899.8692999999998</v>
      </c>
      <c r="C23" s="25">
        <v>0.93057654699551817</v>
      </c>
      <c r="D23" s="25">
        <v>1.0215549310830383</v>
      </c>
      <c r="E23" s="25">
        <v>1.0392721564214757</v>
      </c>
      <c r="F23" s="25">
        <v>0.97581038549365173</v>
      </c>
      <c r="G23" s="25">
        <v>1.0045932979944507</v>
      </c>
      <c r="I23" s="17">
        <v>2.4155239106038451E-5</v>
      </c>
      <c r="J23" s="17">
        <v>-3.1459999999999991E-3</v>
      </c>
      <c r="K23" s="17">
        <v>-4.9871680720169898E-3</v>
      </c>
      <c r="L23" s="17">
        <v>2.8947368421052618E-4</v>
      </c>
      <c r="M23" s="17">
        <v>4.7750000000000006E-3</v>
      </c>
      <c r="N23" s="17">
        <v>2.0899999999999998E-3</v>
      </c>
      <c r="O23" s="67"/>
      <c r="P23" s="67"/>
      <c r="Q23" s="96"/>
      <c r="R23" s="96"/>
      <c r="S23" s="96"/>
      <c r="T23" s="96"/>
      <c r="U23" s="17"/>
    </row>
    <row r="24" spans="1:21">
      <c r="A24" s="16">
        <v>43871</v>
      </c>
      <c r="B24" s="24">
        <v>3916.0052000000001</v>
      </c>
      <c r="C24" s="25">
        <v>0.92783879079425735</v>
      </c>
      <c r="D24" s="25">
        <v>1.0247875047535355</v>
      </c>
      <c r="E24" s="25">
        <v>1.0452064004346424</v>
      </c>
      <c r="F24" s="25">
        <v>0.98410477377034777</v>
      </c>
      <c r="G24" s="25">
        <v>1.0089532329077466</v>
      </c>
      <c r="I24" s="17">
        <v>4.1375489173445246E-3</v>
      </c>
      <c r="J24" s="17">
        <v>-2.942000000000001E-3</v>
      </c>
      <c r="K24" s="17">
        <v>3.1643659798794299E-3</v>
      </c>
      <c r="L24" s="17">
        <v>5.7099999999999989E-3</v>
      </c>
      <c r="M24" s="17">
        <v>8.5000000000000006E-3</v>
      </c>
      <c r="N24" s="17">
        <v>4.3399999999999992E-3</v>
      </c>
      <c r="O24" s="67"/>
      <c r="P24" s="67"/>
      <c r="Q24" s="96"/>
      <c r="R24" s="96"/>
      <c r="S24" s="96"/>
      <c r="T24" s="96"/>
      <c r="U24" s="17"/>
    </row>
    <row r="25" spans="1:21">
      <c r="A25" s="16">
        <v>43872</v>
      </c>
      <c r="B25" s="24">
        <v>3952.4643000000001</v>
      </c>
      <c r="C25" s="25">
        <v>0.94402957769361706</v>
      </c>
      <c r="D25" s="25">
        <v>1.0285450369394922</v>
      </c>
      <c r="E25" s="25">
        <v>1.0468473744833249</v>
      </c>
      <c r="F25" s="25">
        <v>0.99040304432247794</v>
      </c>
      <c r="G25" s="25">
        <v>1.0150170418375222</v>
      </c>
      <c r="I25" s="17">
        <v>9.3102787503960283E-3</v>
      </c>
      <c r="J25" s="17">
        <v>1.7449999999999997E-2</v>
      </c>
      <c r="K25" s="17">
        <v>3.6666452006168249E-3</v>
      </c>
      <c r="L25" s="17">
        <v>1.5699999999999996E-3</v>
      </c>
      <c r="M25" s="17">
        <v>6.4000000000000003E-3</v>
      </c>
      <c r="N25" s="17">
        <v>6.0100000000000006E-3</v>
      </c>
      <c r="Q25" s="17"/>
      <c r="R25" s="17"/>
      <c r="S25" s="17"/>
      <c r="T25" s="17"/>
      <c r="U25" s="17"/>
    </row>
    <row r="26" spans="1:21">
      <c r="A26" s="16">
        <v>43873</v>
      </c>
      <c r="B26" s="24">
        <v>3984.4324999999999</v>
      </c>
      <c r="C26" s="25">
        <v>0.94446005518104537</v>
      </c>
      <c r="D26" s="25">
        <v>1.0287027153660728</v>
      </c>
      <c r="E26" s="25">
        <v>1.0551227029786157</v>
      </c>
      <c r="F26" s="25">
        <v>0.99810342799208529</v>
      </c>
      <c r="G26" s="25">
        <v>1.0221627618120583</v>
      </c>
      <c r="I26" s="17">
        <v>8.0881691961138813E-3</v>
      </c>
      <c r="J26" s="17">
        <v>4.5600000000000008E-4</v>
      </c>
      <c r="K26" s="17">
        <v>1.533024038012365E-4</v>
      </c>
      <c r="L26" s="17">
        <v>7.9050000000000006E-3</v>
      </c>
      <c r="M26" s="17">
        <v>7.7749999999999998E-3</v>
      </c>
      <c r="N26" s="17">
        <v>7.0400000000000003E-3</v>
      </c>
      <c r="Q26" s="17"/>
      <c r="R26" s="17"/>
      <c r="S26" s="17"/>
      <c r="T26" s="17"/>
      <c r="U26" s="17"/>
    </row>
    <row r="27" spans="1:21">
      <c r="A27" s="16">
        <v>43874</v>
      </c>
      <c r="B27" s="24">
        <v>3959.9187999999999</v>
      </c>
      <c r="C27" s="25">
        <v>0.93667392648613279</v>
      </c>
      <c r="D27" s="25">
        <v>1.036951935482809</v>
      </c>
      <c r="E27" s="25">
        <v>1.0508283535774927</v>
      </c>
      <c r="F27" s="25">
        <v>0.99718018232119265</v>
      </c>
      <c r="G27" s="25">
        <v>1.0269158186544844</v>
      </c>
      <c r="I27" s="17">
        <v>-6.1523692520829565E-3</v>
      </c>
      <c r="J27" s="17">
        <v>-8.2440000000000013E-3</v>
      </c>
      <c r="K27" s="17">
        <v>8.0190515622393099E-3</v>
      </c>
      <c r="L27" s="17">
        <v>-4.0699999999999998E-3</v>
      </c>
      <c r="M27" s="17">
        <v>-9.2500000000000015E-4</v>
      </c>
      <c r="N27" s="17">
        <v>4.6499999999999996E-3</v>
      </c>
      <c r="Q27" s="17"/>
      <c r="R27" s="17"/>
      <c r="S27" s="17"/>
      <c r="T27" s="17"/>
      <c r="U27" s="17"/>
    </row>
    <row r="28" spans="1:21">
      <c r="A28" s="16">
        <v>43875</v>
      </c>
      <c r="B28" s="24">
        <v>3987.7341999999999</v>
      </c>
      <c r="C28" s="25">
        <v>0.940175213623338</v>
      </c>
      <c r="D28" s="25">
        <v>1.036951935482809</v>
      </c>
      <c r="E28" s="25">
        <v>1.0557409761304675</v>
      </c>
      <c r="F28" s="25">
        <v>1.0004833416751318</v>
      </c>
      <c r="G28" s="25">
        <v>1.0316601697366683</v>
      </c>
      <c r="I28" s="17">
        <v>7.0242349413831562E-3</v>
      </c>
      <c r="J28" s="17">
        <v>3.7380000000000004E-3</v>
      </c>
      <c r="K28" s="17">
        <v>0</v>
      </c>
      <c r="L28" s="17">
        <v>4.6750000000000003E-3</v>
      </c>
      <c r="M28" s="17">
        <v>3.312499999999999E-3</v>
      </c>
      <c r="N28" s="17">
        <v>4.62E-3</v>
      </c>
      <c r="Q28" s="17"/>
      <c r="R28" s="17"/>
      <c r="S28" s="17"/>
      <c r="T28" s="17"/>
      <c r="U28" s="17"/>
    </row>
    <row r="29" spans="1:21">
      <c r="A29" s="16">
        <v>43878</v>
      </c>
      <c r="B29" s="24">
        <v>4076.4967000000001</v>
      </c>
      <c r="C29" s="25">
        <v>0.95152876950305343</v>
      </c>
      <c r="D29" s="25">
        <v>1.0377687906356461</v>
      </c>
      <c r="E29" s="25">
        <v>1.0671693721970799</v>
      </c>
      <c r="F29" s="25">
        <v>1.0134521069915956</v>
      </c>
      <c r="G29" s="25">
        <v>1.0457835974603633</v>
      </c>
      <c r="I29" s="17">
        <v>2.2258880744860043E-2</v>
      </c>
      <c r="J29" s="17">
        <v>1.2076E-2</v>
      </c>
      <c r="K29" s="17">
        <v>7.877463987342459E-4</v>
      </c>
      <c r="L29" s="17">
        <v>1.0825E-2</v>
      </c>
      <c r="M29" s="17">
        <v>1.2962499999999998E-2</v>
      </c>
      <c r="N29" s="17">
        <v>1.3690000000000003E-2</v>
      </c>
      <c r="Q29" s="17"/>
      <c r="R29" s="17"/>
      <c r="S29" s="17"/>
      <c r="T29" s="17"/>
      <c r="U29" s="17"/>
    </row>
    <row r="30" spans="1:21">
      <c r="A30" s="16">
        <v>43879</v>
      </c>
      <c r="B30" s="24">
        <v>4057.5108</v>
      </c>
      <c r="C30" s="25">
        <v>0.93937965017403846</v>
      </c>
      <c r="D30" s="25">
        <v>1.0393182779122583</v>
      </c>
      <c r="E30" s="25">
        <v>1.0855887155612016</v>
      </c>
      <c r="F30" s="25">
        <v>1.0114505390802873</v>
      </c>
      <c r="G30" s="25">
        <v>1.037668316744071</v>
      </c>
      <c r="I30" s="17">
        <v>-4.6574059534992829E-3</v>
      </c>
      <c r="J30" s="17">
        <v>-1.2768E-2</v>
      </c>
      <c r="K30" s="17">
        <v>1.4930948883739303E-3</v>
      </c>
      <c r="L30" s="17">
        <v>1.7259999999999998E-2</v>
      </c>
      <c r="M30" s="17">
        <v>-1.9749999999999998E-3</v>
      </c>
      <c r="N30" s="17">
        <v>-7.7600000000000004E-3</v>
      </c>
      <c r="Q30" s="17"/>
      <c r="R30" s="17"/>
      <c r="S30" s="17"/>
      <c r="T30" s="17"/>
      <c r="U30" s="17"/>
    </row>
    <row r="31" spans="1:21">
      <c r="A31" s="16">
        <v>43880</v>
      </c>
      <c r="B31" s="24">
        <v>4051.3107</v>
      </c>
      <c r="C31" s="25">
        <v>0.94272759924725869</v>
      </c>
      <c r="D31" s="25">
        <v>1.0396189154097861</v>
      </c>
      <c r="E31" s="25">
        <v>1.0900830528436249</v>
      </c>
      <c r="F31" s="25">
        <v>1.009111559708664</v>
      </c>
      <c r="G31" s="25">
        <v>1.0355099666452434</v>
      </c>
      <c r="I31" s="17">
        <v>-1.5280550824411376E-3</v>
      </c>
      <c r="J31" s="17">
        <v>3.5640000000000003E-3</v>
      </c>
      <c r="K31" s="17">
        <v>2.8926413007160368E-4</v>
      </c>
      <c r="L31" s="17">
        <v>4.1399999999999996E-3</v>
      </c>
      <c r="M31" s="17">
        <v>-2.3125000000000003E-3</v>
      </c>
      <c r="N31" s="17">
        <v>-2.0799999999999998E-3</v>
      </c>
      <c r="Q31" s="17"/>
      <c r="R31" s="17"/>
      <c r="S31" s="17"/>
      <c r="T31" s="17"/>
      <c r="U31" s="17"/>
    </row>
    <row r="32" spans="1:21">
      <c r="A32" s="16">
        <v>43881</v>
      </c>
      <c r="B32" s="24">
        <v>4144.6561000000002</v>
      </c>
      <c r="C32" s="25">
        <v>0.95964578874335005</v>
      </c>
      <c r="D32" s="25">
        <v>1.0380237034310253</v>
      </c>
      <c r="E32" s="25">
        <v>1.1113941765267177</v>
      </c>
      <c r="F32" s="25">
        <v>1.0262538423292149</v>
      </c>
      <c r="G32" s="25">
        <v>1.0479153760456534</v>
      </c>
      <c r="I32" s="17">
        <v>2.3040790231171338E-2</v>
      </c>
      <c r="J32" s="17">
        <v>1.7945999999999997E-2</v>
      </c>
      <c r="K32" s="17">
        <v>-1.534419925528302E-3</v>
      </c>
      <c r="L32" s="17">
        <v>1.9550000000000005E-2</v>
      </c>
      <c r="M32" s="17">
        <v>1.6987500000000003E-2</v>
      </c>
      <c r="N32" s="17">
        <v>1.1979999999999999E-2</v>
      </c>
      <c r="Q32" s="17"/>
      <c r="R32" s="17"/>
      <c r="S32" s="17"/>
      <c r="T32" s="17"/>
      <c r="U32" s="17"/>
    </row>
    <row r="33" spans="1:21">
      <c r="A33" s="16">
        <v>43882</v>
      </c>
      <c r="B33" s="24">
        <v>4149.4903000000004</v>
      </c>
      <c r="C33" s="25">
        <v>0.95082280536164365</v>
      </c>
      <c r="D33" s="25">
        <v>1.0354534623321627</v>
      </c>
      <c r="E33" s="25">
        <v>1.1169844892346472</v>
      </c>
      <c r="F33" s="25">
        <v>1.0300253251997749</v>
      </c>
      <c r="G33" s="25">
        <v>1.0441428806918891</v>
      </c>
      <c r="I33" s="17">
        <v>1.1663693882828507E-3</v>
      </c>
      <c r="J33" s="17">
        <v>-9.193999999999999E-3</v>
      </c>
      <c r="K33" s="17">
        <v>-2.4760909508781404E-3</v>
      </c>
      <c r="L33" s="17">
        <v>5.0300000000000015E-3</v>
      </c>
      <c r="M33" s="17">
        <v>3.6750000000000007E-3</v>
      </c>
      <c r="N33" s="17">
        <v>-3.6000000000000003E-3</v>
      </c>
      <c r="Q33" s="17"/>
      <c r="R33" s="17"/>
      <c r="S33" s="17"/>
      <c r="T33" s="17"/>
      <c r="U33" s="17"/>
    </row>
    <row r="34" spans="1:21">
      <c r="A34" s="16">
        <v>43885</v>
      </c>
      <c r="B34" s="24">
        <v>4132.8388000000004</v>
      </c>
      <c r="C34" s="25">
        <v>0.93389435613498495</v>
      </c>
      <c r="D34" s="25">
        <v>1.0364012656657708</v>
      </c>
      <c r="E34" s="25">
        <v>1.125646703948662</v>
      </c>
      <c r="F34" s="25">
        <v>1.0221585067785617</v>
      </c>
      <c r="G34" s="25">
        <v>1.031790670413304</v>
      </c>
      <c r="I34" s="17">
        <v>-4.0129025003383667E-3</v>
      </c>
      <c r="J34" s="17">
        <v>-1.7804E-2</v>
      </c>
      <c r="K34" s="17">
        <v>9.1535097238790164E-4</v>
      </c>
      <c r="L34" s="17">
        <v>7.7550000000000006E-3</v>
      </c>
      <c r="M34" s="17">
        <v>-7.6375000000000002E-3</v>
      </c>
      <c r="N34" s="17">
        <v>-1.183E-2</v>
      </c>
      <c r="Q34" s="17"/>
      <c r="R34" s="17"/>
      <c r="S34" s="17"/>
      <c r="T34" s="17"/>
      <c r="U34" s="17"/>
    </row>
    <row r="35" spans="1:21">
      <c r="A35" s="16">
        <v>43886</v>
      </c>
      <c r="B35" s="24">
        <v>4123.9903999999997</v>
      </c>
      <c r="C35" s="25">
        <v>0.92195171510873075</v>
      </c>
      <c r="D35" s="25">
        <v>1.0364012656657708</v>
      </c>
      <c r="E35" s="25">
        <v>1.1251007652972469</v>
      </c>
      <c r="F35" s="25">
        <v>1.016894390468652</v>
      </c>
      <c r="G35" s="25">
        <v>1.0298199502328147</v>
      </c>
      <c r="I35" s="17">
        <v>-2.1409980955464647E-3</v>
      </c>
      <c r="J35" s="17">
        <v>-1.2787999999999999E-2</v>
      </c>
      <c r="K35" s="17">
        <v>0</v>
      </c>
      <c r="L35" s="17">
        <v>-4.850000000000003E-4</v>
      </c>
      <c r="M35" s="17">
        <v>-5.1500000000000001E-3</v>
      </c>
      <c r="N35" s="17">
        <v>-1.9099999999999998E-3</v>
      </c>
      <c r="Q35" s="17"/>
      <c r="R35" s="17"/>
      <c r="S35" s="17"/>
      <c r="T35" s="17"/>
      <c r="U35" s="17"/>
    </row>
    <row r="36" spans="1:21">
      <c r="A36" s="16">
        <v>43887</v>
      </c>
      <c r="B36" s="24">
        <v>4073.0151999999998</v>
      </c>
      <c r="C36" s="25">
        <v>0.92223936404384477</v>
      </c>
      <c r="D36" s="25">
        <v>1.0355103777256938</v>
      </c>
      <c r="E36" s="25">
        <v>1.1061653194172942</v>
      </c>
      <c r="F36" s="25">
        <v>1.0011706609560305</v>
      </c>
      <c r="G36" s="25">
        <v>1.0148978591539413</v>
      </c>
      <c r="I36" s="17">
        <v>-1.2360649530124945E-2</v>
      </c>
      <c r="J36" s="17">
        <v>3.1199999999999999E-4</v>
      </c>
      <c r="K36" s="17">
        <v>-8.5959750300457216E-4</v>
      </c>
      <c r="L36" s="17">
        <v>-1.6829999999999998E-2</v>
      </c>
      <c r="M36" s="17">
        <v>-1.5462500000000001E-2</v>
      </c>
      <c r="N36" s="17">
        <v>-1.4489999999999999E-2</v>
      </c>
      <c r="Q36" s="17"/>
      <c r="R36" s="17"/>
      <c r="S36" s="17"/>
      <c r="T36" s="17"/>
      <c r="U36" s="17"/>
    </row>
    <row r="37" spans="1:21">
      <c r="A37" s="16">
        <v>43888</v>
      </c>
      <c r="B37" s="24">
        <v>4084.8759</v>
      </c>
      <c r="C37" s="25">
        <v>0.93128284324765864</v>
      </c>
      <c r="D37" s="25">
        <v>1.0374405832004132</v>
      </c>
      <c r="E37" s="25">
        <v>1.1063312442152069</v>
      </c>
      <c r="F37" s="25">
        <v>1.0019215389517475</v>
      </c>
      <c r="G37" s="25">
        <v>1.0151109877043636</v>
      </c>
      <c r="I37" s="17">
        <v>2.9120195770446777E-3</v>
      </c>
      <c r="J37" s="17">
        <v>9.8060000000000005E-3</v>
      </c>
      <c r="K37" s="17">
        <v>1.8640136460619794E-3</v>
      </c>
      <c r="L37" s="17">
        <v>1.5000000000000053E-4</v>
      </c>
      <c r="M37" s="17">
        <v>7.5000000000000023E-4</v>
      </c>
      <c r="N37" s="17">
        <v>2.1000000000000012E-4</v>
      </c>
      <c r="Q37" s="17"/>
      <c r="R37" s="17"/>
      <c r="S37" s="17"/>
      <c r="T37" s="17"/>
      <c r="U37" s="17"/>
    </row>
    <row r="38" spans="1:21">
      <c r="A38" s="16">
        <v>43889</v>
      </c>
      <c r="B38" s="24">
        <v>3940.0488</v>
      </c>
      <c r="C38" s="25">
        <v>0.90586440932405699</v>
      </c>
      <c r="D38" s="25">
        <v>1.0380629932454613</v>
      </c>
      <c r="E38" s="25">
        <v>1.088143158560309</v>
      </c>
      <c r="F38" s="25">
        <v>0.98011722146031011</v>
      </c>
      <c r="G38" s="25">
        <v>0.9856423157313059</v>
      </c>
      <c r="I38" s="17">
        <v>-3.5454467539638101E-2</v>
      </c>
      <c r="J38" s="17">
        <v>-2.7293999999999999E-2</v>
      </c>
      <c r="K38" s="17">
        <v>5.999476549566618E-4</v>
      </c>
      <c r="L38" s="17">
        <v>-1.6440000000000003E-2</v>
      </c>
      <c r="M38" s="17">
        <v>-2.1762500000000001E-2</v>
      </c>
      <c r="N38" s="17">
        <v>-2.903E-2</v>
      </c>
      <c r="Q38" s="17"/>
      <c r="R38" s="17"/>
      <c r="S38" s="17"/>
      <c r="T38" s="17"/>
      <c r="U38" s="17"/>
    </row>
    <row r="39" spans="1:21">
      <c r="A39" s="16">
        <v>43892</v>
      </c>
      <c r="B39" s="24">
        <v>4071.1392999999998</v>
      </c>
      <c r="C39" s="25">
        <v>0.92980640566249173</v>
      </c>
      <c r="D39" s="25">
        <v>1.0415259666846255</v>
      </c>
      <c r="E39" s="25">
        <v>1.1024631225269628</v>
      </c>
      <c r="F39" s="25">
        <v>0.99360608472065748</v>
      </c>
      <c r="G39" s="25">
        <v>1.0077108471805298</v>
      </c>
      <c r="I39" s="17">
        <v>3.3271288416529154E-2</v>
      </c>
      <c r="J39" s="17">
        <v>2.6429999999999999E-2</v>
      </c>
      <c r="K39" s="17">
        <v>3.3359954662648406E-3</v>
      </c>
      <c r="L39" s="17">
        <v>1.316E-2</v>
      </c>
      <c r="M39" s="17">
        <v>1.3762499999999997E-2</v>
      </c>
      <c r="N39" s="17">
        <v>2.239E-2</v>
      </c>
      <c r="Q39" s="17"/>
      <c r="R39" s="17"/>
      <c r="S39" s="17"/>
      <c r="T39" s="17"/>
      <c r="U39" s="17"/>
    </row>
    <row r="40" spans="1:21">
      <c r="A40" s="16">
        <v>43893</v>
      </c>
      <c r="B40" s="24">
        <v>4092.2271000000001</v>
      </c>
      <c r="C40" s="25">
        <v>0.93192171523537393</v>
      </c>
      <c r="D40" s="25">
        <v>1.0415259666846255</v>
      </c>
      <c r="E40" s="25">
        <v>1.1084550095978969</v>
      </c>
      <c r="F40" s="25">
        <v>1.0062248819966098</v>
      </c>
      <c r="G40" s="25">
        <v>1.0194406014417112</v>
      </c>
      <c r="I40" s="17">
        <v>5.1798276713352909E-3</v>
      </c>
      <c r="J40" s="17">
        <v>2.2750000000000001E-3</v>
      </c>
      <c r="K40" s="17">
        <v>0</v>
      </c>
      <c r="L40" s="17">
        <v>5.4350000000000006E-3</v>
      </c>
      <c r="M40" s="17">
        <v>1.2699999999999999E-2</v>
      </c>
      <c r="N40" s="17">
        <v>1.1640000000000001E-2</v>
      </c>
      <c r="Q40" s="17"/>
      <c r="R40" s="17"/>
      <c r="S40" s="17"/>
      <c r="T40" s="17"/>
      <c r="U40" s="17"/>
    </row>
    <row r="41" spans="1:21">
      <c r="A41" s="16">
        <v>43894</v>
      </c>
      <c r="B41" s="24">
        <v>4115.0523999999996</v>
      </c>
      <c r="C41" s="25">
        <v>0.94175348933110714</v>
      </c>
      <c r="D41" s="25">
        <v>1.0421064904478623</v>
      </c>
      <c r="E41" s="25">
        <v>1.1119854388034662</v>
      </c>
      <c r="F41" s="25">
        <v>1.0214062999037334</v>
      </c>
      <c r="G41" s="25">
        <v>1.0213979273964793</v>
      </c>
      <c r="I41" s="17">
        <v>5.5777207477072377E-3</v>
      </c>
      <c r="J41" s="17">
        <v>1.0550000000000002E-2</v>
      </c>
      <c r="K41" s="17">
        <v>5.5737809887235201E-4</v>
      </c>
      <c r="L41" s="17">
        <v>3.1850000000000003E-3</v>
      </c>
      <c r="M41" s="17">
        <v>1.5087500000000002E-2</v>
      </c>
      <c r="N41" s="17">
        <v>1.9200000000000003E-3</v>
      </c>
      <c r="Q41" s="17"/>
      <c r="R41" s="17"/>
      <c r="S41" s="17"/>
      <c r="T41" s="17"/>
      <c r="U41" s="17"/>
    </row>
    <row r="42" spans="1:21">
      <c r="A42" s="16">
        <v>43895</v>
      </c>
      <c r="B42" s="24">
        <v>4205.4926999999998</v>
      </c>
      <c r="C42" s="25">
        <v>0.9762828810174321</v>
      </c>
      <c r="D42" s="25">
        <v>1.0422490681484242</v>
      </c>
      <c r="E42" s="25">
        <v>1.1265246484158216</v>
      </c>
      <c r="F42" s="25">
        <v>1.0321821363677179</v>
      </c>
      <c r="G42" s="25">
        <v>1.0428574978510792</v>
      </c>
      <c r="I42" s="17">
        <v>2.1977921836426662E-2</v>
      </c>
      <c r="J42" s="17">
        <v>3.666500000000001E-2</v>
      </c>
      <c r="K42" s="17">
        <v>1.3681682425805696E-4</v>
      </c>
      <c r="L42" s="17">
        <v>1.3075000000000003E-2</v>
      </c>
      <c r="M42" s="17">
        <v>1.0549999999999999E-2</v>
      </c>
      <c r="N42" s="17">
        <v>2.1009999999999997E-2</v>
      </c>
      <c r="Q42" s="17"/>
      <c r="R42" s="17"/>
      <c r="S42" s="17"/>
      <c r="T42" s="17"/>
      <c r="U42" s="17"/>
    </row>
    <row r="43" spans="1:21">
      <c r="A43" s="16">
        <v>43896</v>
      </c>
      <c r="B43" s="24">
        <v>4138.5072</v>
      </c>
      <c r="C43" s="25">
        <v>0.95886599442008114</v>
      </c>
      <c r="D43" s="25">
        <v>1.0439879967276613</v>
      </c>
      <c r="E43" s="25">
        <v>1.131903803612007</v>
      </c>
      <c r="F43" s="25">
        <v>1.0196669279642594</v>
      </c>
      <c r="G43" s="25">
        <v>1.0259319206609563</v>
      </c>
      <c r="I43" s="17">
        <v>-1.5928098032366056E-2</v>
      </c>
      <c r="J43" s="17">
        <v>-1.7839999999999998E-2</v>
      </c>
      <c r="K43" s="17">
        <v>1.6684386029973907E-3</v>
      </c>
      <c r="L43" s="17">
        <v>4.7749999999999997E-3</v>
      </c>
      <c r="M43" s="17">
        <v>-1.2125000000000002E-2</v>
      </c>
      <c r="N43" s="17">
        <v>-1.6229999999999998E-2</v>
      </c>
      <c r="Q43" s="17"/>
      <c r="R43" s="17"/>
      <c r="S43" s="17"/>
      <c r="T43" s="17"/>
      <c r="U43" s="17"/>
    </row>
    <row r="44" spans="1:21">
      <c r="A44" s="16">
        <v>43899</v>
      </c>
      <c r="B44" s="24">
        <v>3997.1325000000002</v>
      </c>
      <c r="C44" s="25">
        <v>0.92866650992582067</v>
      </c>
      <c r="D44" s="25">
        <v>1.0451903306696104</v>
      </c>
      <c r="E44" s="25">
        <v>1.1148403537725562</v>
      </c>
      <c r="F44" s="25">
        <v>0.99063191219047708</v>
      </c>
      <c r="G44" s="25">
        <v>0.99030130505640124</v>
      </c>
      <c r="I44" s="17">
        <v>-3.4160795950771816E-2</v>
      </c>
      <c r="J44" s="17">
        <v>-3.1495000000000002E-2</v>
      </c>
      <c r="K44" s="17">
        <v>1.1516741051791791E-3</v>
      </c>
      <c r="L44" s="17">
        <v>-1.5075E-2</v>
      </c>
      <c r="M44" s="17">
        <v>-2.8475000000000004E-2</v>
      </c>
      <c r="N44" s="17">
        <v>-3.4729999999999997E-2</v>
      </c>
      <c r="Q44" s="17"/>
      <c r="R44" s="17"/>
      <c r="S44" s="17"/>
      <c r="T44" s="17"/>
      <c r="U44" s="17"/>
    </row>
    <row r="45" spans="1:21">
      <c r="A45" s="16">
        <v>43900</v>
      </c>
      <c r="B45" s="24">
        <v>4082.7314999999999</v>
      </c>
      <c r="C45" s="25">
        <v>0.94789455001383471</v>
      </c>
      <c r="D45" s="25">
        <v>1.046469012445651</v>
      </c>
      <c r="E45" s="25">
        <v>1.1241604191300947</v>
      </c>
      <c r="F45" s="25">
        <v>0.99638996018008419</v>
      </c>
      <c r="G45" s="25">
        <v>1.0071463302554107</v>
      </c>
      <c r="I45" s="17">
        <v>2.1415101951211213E-2</v>
      </c>
      <c r="J45" s="17">
        <v>2.0705000000000001E-2</v>
      </c>
      <c r="K45" s="17">
        <v>1.2233961016664186E-3</v>
      </c>
      <c r="L45" s="17">
        <v>8.3600000000000011E-3</v>
      </c>
      <c r="M45" s="17">
        <v>5.8125E-3</v>
      </c>
      <c r="N45" s="17">
        <v>1.7009999999999997E-2</v>
      </c>
      <c r="Q45" s="17"/>
      <c r="R45" s="17"/>
      <c r="S45" s="17"/>
      <c r="T45" s="17"/>
      <c r="U45" s="17"/>
    </row>
    <row r="46" spans="1:21">
      <c r="A46" s="16">
        <v>43901</v>
      </c>
      <c r="B46" s="24">
        <v>4028.4288999999999</v>
      </c>
      <c r="C46" s="25">
        <v>0.93756249941868386</v>
      </c>
      <c r="D46" s="25">
        <v>1.0486462740516007</v>
      </c>
      <c r="E46" s="25">
        <v>1.1248967442046249</v>
      </c>
      <c r="F46" s="25">
        <v>0.99983996041720768</v>
      </c>
      <c r="G46" s="25">
        <v>0.99533250380151472</v>
      </c>
      <c r="I46" s="17">
        <v>-1.330055625749571E-2</v>
      </c>
      <c r="J46" s="17">
        <v>-1.0899999999999998E-2</v>
      </c>
      <c r="K46" s="17">
        <v>2.0805791476437652E-3</v>
      </c>
      <c r="L46" s="17">
        <v>6.5499999999999977E-4</v>
      </c>
      <c r="M46" s="17">
        <v>3.4625000000000007E-3</v>
      </c>
      <c r="N46" s="17">
        <v>-1.1729999999999999E-2</v>
      </c>
      <c r="Q46" s="17"/>
      <c r="R46" s="17"/>
      <c r="S46" s="17"/>
      <c r="T46" s="17"/>
      <c r="U46" s="17"/>
    </row>
    <row r="47" spans="1:21">
      <c r="A47" s="16">
        <v>43902</v>
      </c>
      <c r="B47" s="24">
        <v>3950.9110999999998</v>
      </c>
      <c r="C47" s="25">
        <v>0.91857685880545548</v>
      </c>
      <c r="D47" s="25">
        <v>1.0479636056737156</v>
      </c>
      <c r="E47" s="25">
        <v>1.1214770581022429</v>
      </c>
      <c r="F47" s="25">
        <v>0.97818092727466988</v>
      </c>
      <c r="G47" s="25">
        <v>0.97147438368539241</v>
      </c>
      <c r="I47" s="17">
        <v>-1.9242687887578214E-2</v>
      </c>
      <c r="J47" s="17">
        <v>-2.0249999999999997E-2</v>
      </c>
      <c r="K47" s="17">
        <v>-6.5099966955263684E-4</v>
      </c>
      <c r="L47" s="17">
        <v>-3.0399999999999997E-3</v>
      </c>
      <c r="M47" s="17">
        <v>-2.1662500000000001E-2</v>
      </c>
      <c r="N47" s="17">
        <v>-2.3969999999999998E-2</v>
      </c>
      <c r="Q47" s="17"/>
      <c r="R47" s="17"/>
      <c r="S47" s="17"/>
      <c r="T47" s="17"/>
      <c r="U47" s="17"/>
    </row>
    <row r="48" spans="1:21">
      <c r="A48" s="16">
        <v>43903</v>
      </c>
      <c r="B48" s="24">
        <v>3895.3128000000002</v>
      </c>
      <c r="C48" s="25">
        <v>0.89854729039920256</v>
      </c>
      <c r="D48" s="25">
        <v>1.0448505299809492</v>
      </c>
      <c r="E48" s="25">
        <v>1.1150902462563506</v>
      </c>
      <c r="F48" s="25">
        <v>0.95032722537052361</v>
      </c>
      <c r="G48" s="25">
        <v>0.95743657884113853</v>
      </c>
      <c r="I48" s="17">
        <v>-1.4072273101766286E-2</v>
      </c>
      <c r="J48" s="17">
        <v>-2.1804999999999998E-2</v>
      </c>
      <c r="K48" s="17">
        <v>-2.9705952343307101E-3</v>
      </c>
      <c r="L48" s="17">
        <v>-5.6949999999999995E-3</v>
      </c>
      <c r="M48" s="17">
        <v>-2.8475E-2</v>
      </c>
      <c r="N48" s="17">
        <v>-1.4449999999999999E-2</v>
      </c>
      <c r="Q48" s="17"/>
      <c r="R48" s="17"/>
      <c r="S48" s="17"/>
      <c r="T48" s="17"/>
      <c r="U48" s="17"/>
    </row>
    <row r="49" spans="1:21">
      <c r="A49" s="16">
        <v>43906</v>
      </c>
      <c r="B49" s="24">
        <v>3727.8398000000002</v>
      </c>
      <c r="C49" s="25">
        <v>0.85924483191714141</v>
      </c>
      <c r="D49" s="25">
        <v>1.0446217907667918</v>
      </c>
      <c r="E49" s="25">
        <v>1.1074741798744197</v>
      </c>
      <c r="F49" s="25">
        <v>0.93627426152535709</v>
      </c>
      <c r="G49" s="25">
        <v>0.92739221899710367</v>
      </c>
      <c r="I49" s="17">
        <v>-4.2993466404033009E-2</v>
      </c>
      <c r="J49" s="17">
        <v>-4.3740000000000008E-2</v>
      </c>
      <c r="K49" s="17">
        <v>-2.1892051312016086E-4</v>
      </c>
      <c r="L49" s="17">
        <v>-6.830000000000001E-3</v>
      </c>
      <c r="M49" s="17">
        <v>-1.4787499999999999E-2</v>
      </c>
      <c r="N49" s="17">
        <v>-3.1380000000000005E-2</v>
      </c>
      <c r="Q49" s="17"/>
      <c r="R49" s="17"/>
      <c r="S49" s="17"/>
      <c r="T49" s="17"/>
      <c r="U49" s="17"/>
    </row>
    <row r="50" spans="1:21">
      <c r="A50" s="16">
        <v>43907</v>
      </c>
      <c r="B50" s="24">
        <v>3709.6822000000002</v>
      </c>
      <c r="C50" s="25">
        <v>0.84994780283579785</v>
      </c>
      <c r="D50" s="25">
        <v>1.041769607154682</v>
      </c>
      <c r="E50" s="25">
        <v>1.1275803736100396</v>
      </c>
      <c r="F50" s="25">
        <v>0.94692438125020795</v>
      </c>
      <c r="G50" s="25">
        <v>0.92009364223359646</v>
      </c>
      <c r="I50" s="17">
        <v>-4.870810167325379E-3</v>
      </c>
      <c r="J50" s="17">
        <v>-1.0820000000000003E-2</v>
      </c>
      <c r="K50" s="17">
        <v>-2.73035048408886E-3</v>
      </c>
      <c r="L50" s="17">
        <v>1.8154999999999998E-2</v>
      </c>
      <c r="M50" s="17">
        <v>1.1375000000000001E-2</v>
      </c>
      <c r="N50" s="17">
        <v>-7.8700000000000003E-3</v>
      </c>
      <c r="Q50" s="17"/>
      <c r="R50" s="17"/>
      <c r="S50" s="17"/>
      <c r="T50" s="17"/>
      <c r="U50" s="17"/>
    </row>
    <row r="51" spans="1:21">
      <c r="A51" s="16">
        <v>43908</v>
      </c>
      <c r="B51" s="24">
        <v>3636.2565</v>
      </c>
      <c r="C51" s="25">
        <v>0.83410052605192442</v>
      </c>
      <c r="D51" s="25">
        <v>1.0419155405147411</v>
      </c>
      <c r="E51" s="25">
        <v>1.1250602314750211</v>
      </c>
      <c r="F51" s="25">
        <v>0.910467792572075</v>
      </c>
      <c r="G51" s="25">
        <v>0.90292469486951754</v>
      </c>
      <c r="I51" s="17">
        <v>-1.9792989275469575E-2</v>
      </c>
      <c r="J51" s="17">
        <v>-1.8644999999999998E-2</v>
      </c>
      <c r="K51" s="17">
        <v>1.4008218233357056E-4</v>
      </c>
      <c r="L51" s="17">
        <v>-2.2350000000000004E-3</v>
      </c>
      <c r="M51" s="17">
        <v>-3.85E-2</v>
      </c>
      <c r="N51" s="17">
        <v>-1.866E-2</v>
      </c>
      <c r="Q51" s="17"/>
      <c r="R51" s="17"/>
      <c r="S51" s="17"/>
      <c r="T51" s="17"/>
      <c r="U51" s="17"/>
    </row>
    <row r="52" spans="1:21">
      <c r="A52" s="16">
        <v>43909</v>
      </c>
      <c r="B52" s="24">
        <v>3589.0925999999999</v>
      </c>
      <c r="C52" s="25">
        <v>0.81014098844108284</v>
      </c>
      <c r="D52" s="25">
        <v>1.0360231441440968</v>
      </c>
      <c r="E52" s="25">
        <v>1.1249027230426145</v>
      </c>
      <c r="F52" s="25">
        <v>0.91090026477354669</v>
      </c>
      <c r="G52" s="25">
        <v>0.89170134091228936</v>
      </c>
      <c r="I52" s="17">
        <v>-1.2970454642019846E-2</v>
      </c>
      <c r="J52" s="17">
        <v>-2.8725000000000001E-2</v>
      </c>
      <c r="K52" s="17">
        <v>-5.6553493460067394E-3</v>
      </c>
      <c r="L52" s="17">
        <v>-1.3999999999999999E-4</v>
      </c>
      <c r="M52" s="17">
        <v>4.7500000000000103E-4</v>
      </c>
      <c r="N52" s="17">
        <v>-1.243E-2</v>
      </c>
      <c r="Q52" s="17"/>
      <c r="R52" s="17"/>
      <c r="S52" s="17"/>
      <c r="T52" s="17"/>
      <c r="U52" s="17"/>
    </row>
    <row r="53" spans="1:21">
      <c r="A53" s="16">
        <v>43910</v>
      </c>
      <c r="B53" s="24">
        <v>3653.2239</v>
      </c>
      <c r="C53" s="25">
        <v>0.83523510555804537</v>
      </c>
      <c r="D53" s="25">
        <v>1.0381162487239084</v>
      </c>
      <c r="E53" s="25">
        <v>1.1518216452050243</v>
      </c>
      <c r="F53" s="25">
        <v>0.91602407876289793</v>
      </c>
      <c r="G53" s="25">
        <v>0.91856830231397668</v>
      </c>
      <c r="I53" s="17">
        <v>1.7868388238297284E-2</v>
      </c>
      <c r="J53" s="17">
        <v>3.0974999999999996E-2</v>
      </c>
      <c r="K53" s="17">
        <v>2.0203260821368379E-3</v>
      </c>
      <c r="L53" s="17">
        <v>2.393E-2</v>
      </c>
      <c r="M53" s="17">
        <v>5.6249999999999998E-3</v>
      </c>
      <c r="N53" s="17">
        <v>3.0130000000000001E-2</v>
      </c>
      <c r="Q53" s="17"/>
      <c r="R53" s="17"/>
      <c r="S53" s="17"/>
      <c r="T53" s="17"/>
      <c r="U53" s="17"/>
    </row>
    <row r="54" spans="1:21">
      <c r="A54" s="16">
        <v>43913</v>
      </c>
      <c r="B54" s="24">
        <v>3530.3058000000001</v>
      </c>
      <c r="C54" s="25">
        <v>0.8095140404823854</v>
      </c>
      <c r="D54" s="25">
        <v>1.037128434981148</v>
      </c>
      <c r="E54" s="25">
        <v>1.1222313471397072</v>
      </c>
      <c r="F54" s="25">
        <v>0.90265012721295967</v>
      </c>
      <c r="G54" s="25">
        <v>0.89118578122199699</v>
      </c>
      <c r="I54" s="17">
        <v>-3.3646473187695869E-2</v>
      </c>
      <c r="J54" s="17">
        <v>-3.0795000000000003E-2</v>
      </c>
      <c r="K54" s="17">
        <v>-9.5154443827903472E-4</v>
      </c>
      <c r="L54" s="17">
        <v>-2.5689999999999998E-2</v>
      </c>
      <c r="M54" s="17">
        <v>-1.4599999999999998E-2</v>
      </c>
      <c r="N54" s="17">
        <v>-2.9809999999999996E-2</v>
      </c>
      <c r="Q54" s="17"/>
      <c r="R54" s="17"/>
      <c r="S54" s="17"/>
      <c r="T54" s="17"/>
      <c r="U54" s="17"/>
    </row>
    <row r="55" spans="1:21">
      <c r="A55" s="16">
        <v>43914</v>
      </c>
      <c r="B55" s="24">
        <v>3625.8874999999998</v>
      </c>
      <c r="C55" s="25">
        <v>0.84105270749957917</v>
      </c>
      <c r="D55" s="25">
        <v>1.0395917964628936</v>
      </c>
      <c r="E55" s="25">
        <v>1.1380323645074344</v>
      </c>
      <c r="F55" s="25">
        <v>0.91984561213636662</v>
      </c>
      <c r="G55" s="25">
        <v>0.91835803569145558</v>
      </c>
      <c r="I55" s="17">
        <v>2.7074623393814612E-2</v>
      </c>
      <c r="J55" s="17">
        <v>3.8960000000000002E-2</v>
      </c>
      <c r="K55" s="17">
        <v>2.3751749529365507E-3</v>
      </c>
      <c r="L55" s="17">
        <v>1.4080000000000004E-2</v>
      </c>
      <c r="M55" s="17">
        <v>1.9050000000000001E-2</v>
      </c>
      <c r="N55" s="17">
        <v>3.049E-2</v>
      </c>
      <c r="Q55" s="17"/>
      <c r="R55" s="17"/>
      <c r="S55" s="17"/>
      <c r="T55" s="17"/>
      <c r="U55" s="17"/>
    </row>
    <row r="56" spans="1:21">
      <c r="A56" s="16">
        <v>43915</v>
      </c>
      <c r="B56" s="24">
        <v>3722.5180999999998</v>
      </c>
      <c r="C56" s="25">
        <v>0.86453489909296732</v>
      </c>
      <c r="D56" s="25">
        <v>1.0424107945803374</v>
      </c>
      <c r="E56" s="25">
        <v>1.169561551166113</v>
      </c>
      <c r="F56" s="25">
        <v>0.9383230108701559</v>
      </c>
      <c r="G56" s="25">
        <v>0.9463955065211157</v>
      </c>
      <c r="I56" s="17">
        <v>2.6650192539068085E-2</v>
      </c>
      <c r="J56" s="17">
        <v>2.7920000000000004E-2</v>
      </c>
      <c r="K56" s="17">
        <v>2.711639440629608E-3</v>
      </c>
      <c r="L56" s="17">
        <v>2.7704999999999997E-2</v>
      </c>
      <c r="M56" s="17">
        <v>2.0087499999999998E-2</v>
      </c>
      <c r="N56" s="17">
        <v>3.0530000000000002E-2</v>
      </c>
      <c r="Q56" s="17"/>
      <c r="R56" s="17"/>
      <c r="S56" s="17"/>
      <c r="T56" s="17"/>
      <c r="U56" s="17"/>
    </row>
    <row r="57" spans="1:21">
      <c r="A57" s="16">
        <v>43916</v>
      </c>
      <c r="B57" s="24">
        <v>3697.8719999999998</v>
      </c>
      <c r="C57" s="25">
        <v>0.85877277399051266</v>
      </c>
      <c r="D57" s="25">
        <v>1.043630776053017</v>
      </c>
      <c r="E57" s="25">
        <v>1.1553162914729098</v>
      </c>
      <c r="F57" s="25">
        <v>0.95346519845807298</v>
      </c>
      <c r="G57" s="25">
        <v>0.94623461928500707</v>
      </c>
      <c r="I57" s="17">
        <v>-6.6208140129661031E-3</v>
      </c>
      <c r="J57" s="17">
        <v>-6.6650000000000008E-3</v>
      </c>
      <c r="K57" s="17">
        <v>1.1703461620144542E-3</v>
      </c>
      <c r="L57" s="17">
        <v>-1.2180000000000002E-2</v>
      </c>
      <c r="M57" s="17">
        <v>1.6137499999999999E-2</v>
      </c>
      <c r="N57" s="17">
        <v>-1.7000000000000017E-4</v>
      </c>
      <c r="Q57" s="17"/>
      <c r="R57" s="17"/>
      <c r="S57" s="17"/>
      <c r="T57" s="17"/>
      <c r="U57" s="17"/>
    </row>
    <row r="58" spans="1:21">
      <c r="A58" s="16">
        <v>43917</v>
      </c>
      <c r="B58" s="24">
        <v>3710.0536000000002</v>
      </c>
      <c r="C58" s="25">
        <v>0.86128468435443495</v>
      </c>
      <c r="D58" s="25">
        <v>1.0412579071539931</v>
      </c>
      <c r="E58" s="25">
        <v>1.1391591931366611</v>
      </c>
      <c r="F58" s="25">
        <v>0.95227336696000042</v>
      </c>
      <c r="G58" s="25">
        <v>0.95132536153676039</v>
      </c>
      <c r="I58" s="17">
        <v>3.294218945382843E-3</v>
      </c>
      <c r="J58" s="17">
        <v>2.9250000000000005E-3</v>
      </c>
      <c r="K58" s="17">
        <v>-2.2736670415164678E-3</v>
      </c>
      <c r="L58" s="17">
        <v>-1.3985000000000003E-2</v>
      </c>
      <c r="M58" s="17">
        <v>-1.2500000000000002E-3</v>
      </c>
      <c r="N58" s="17">
        <v>5.3800000000000002E-3</v>
      </c>
      <c r="Q58" s="17"/>
      <c r="R58" s="17"/>
      <c r="S58" s="17"/>
      <c r="T58" s="17"/>
      <c r="U58" s="17"/>
    </row>
    <row r="59" spans="1:21">
      <c r="A59" s="16">
        <v>43920</v>
      </c>
      <c r="B59" s="24">
        <v>3674.1107999999999</v>
      </c>
      <c r="C59" s="25">
        <v>0.85663374705892104</v>
      </c>
      <c r="D59" s="25">
        <v>1.0399327408884596</v>
      </c>
      <c r="E59" s="25">
        <v>1.1307521982913125</v>
      </c>
      <c r="F59" s="25">
        <v>0.95105921841712637</v>
      </c>
      <c r="G59" s="25">
        <v>0.94109861390024019</v>
      </c>
      <c r="I59" s="17">
        <v>-9.6879462873529221E-3</v>
      </c>
      <c r="J59" s="17">
        <v>-5.3999999999999994E-3</v>
      </c>
      <c r="K59" s="17">
        <v>-1.2726590179330216E-3</v>
      </c>
      <c r="L59" s="17">
        <v>-7.3800000000000003E-3</v>
      </c>
      <c r="M59" s="17">
        <v>-1.2750000000000005E-3</v>
      </c>
      <c r="N59" s="17">
        <v>-1.0749999999999999E-2</v>
      </c>
      <c r="Q59" s="17"/>
      <c r="R59" s="17"/>
      <c r="S59" s="17"/>
      <c r="T59" s="17"/>
      <c r="U59" s="17"/>
    </row>
    <row r="60" spans="1:21">
      <c r="A60" s="16">
        <v>43921</v>
      </c>
      <c r="B60" s="24">
        <v>3686.1550999999999</v>
      </c>
      <c r="C60" s="25">
        <v>0.86652358366871618</v>
      </c>
      <c r="D60" s="25">
        <v>1.0412184591806504</v>
      </c>
      <c r="E60" s="25">
        <v>1.1290956463208157</v>
      </c>
      <c r="F60" s="25">
        <v>0.94620881640319898</v>
      </c>
      <c r="G60" s="25">
        <v>0.94950262452236944</v>
      </c>
      <c r="I60" s="17">
        <v>3.2781537236166169E-3</v>
      </c>
      <c r="J60" s="17">
        <v>1.1545000000000001E-2</v>
      </c>
      <c r="K60" s="17">
        <v>1.2363475459887491E-3</v>
      </c>
      <c r="L60" s="17">
        <v>-1.4650000000000002E-3</v>
      </c>
      <c r="M60" s="17">
        <v>-5.1000000000000004E-3</v>
      </c>
      <c r="N60" s="17">
        <v>8.9300000000000022E-3</v>
      </c>
      <c r="Q60" s="17"/>
      <c r="R60" s="17"/>
      <c r="S60" s="17"/>
      <c r="T60" s="17"/>
      <c r="U60" s="17"/>
    </row>
    <row r="61" spans="1:21">
      <c r="A61" s="16">
        <v>43922</v>
      </c>
      <c r="B61" s="24">
        <v>3675.0758000000001</v>
      </c>
      <c r="C61" s="25">
        <v>0.86333044426289696</v>
      </c>
      <c r="D61" s="25">
        <v>1.0416209340112361</v>
      </c>
      <c r="E61" s="25">
        <v>1.133211199951655</v>
      </c>
      <c r="F61" s="25">
        <v>0.94533357324802603</v>
      </c>
      <c r="G61" s="25">
        <v>0.93980820272599597</v>
      </c>
      <c r="I61" s="17">
        <v>-3.0056521495799293E-3</v>
      </c>
      <c r="J61" s="17">
        <v>-3.6850000000000003E-3</v>
      </c>
      <c r="K61" s="17">
        <v>3.8654215840761008E-4</v>
      </c>
      <c r="L61" s="17">
        <v>3.6450000000000002E-3</v>
      </c>
      <c r="M61" s="17">
        <v>-9.2500000000000004E-4</v>
      </c>
      <c r="N61" s="17">
        <v>-1.021E-2</v>
      </c>
      <c r="Q61" s="17"/>
      <c r="R61" s="17"/>
      <c r="S61" s="17"/>
      <c r="T61" s="17"/>
      <c r="U61" s="17"/>
    </row>
    <row r="62" spans="1:21">
      <c r="A62" s="16">
        <v>43923</v>
      </c>
      <c r="B62" s="24">
        <v>3734.5306</v>
      </c>
      <c r="C62" s="25">
        <v>0.87398394194510109</v>
      </c>
      <c r="D62" s="25">
        <v>1.0392322094764155</v>
      </c>
      <c r="E62" s="25">
        <v>1.1395571826713844</v>
      </c>
      <c r="F62" s="25">
        <v>0.94890220748703735</v>
      </c>
      <c r="G62" s="25">
        <v>0.95148062060385297</v>
      </c>
      <c r="I62" s="17">
        <v>1.617784318897586E-2</v>
      </c>
      <c r="J62" s="17">
        <v>1.2340000000000002E-2</v>
      </c>
      <c r="K62" s="17">
        <v>-2.2932762359353853E-3</v>
      </c>
      <c r="L62" s="17">
        <v>5.5999999999999999E-3</v>
      </c>
      <c r="M62" s="17">
        <v>3.7750000000000006E-3</v>
      </c>
      <c r="N62" s="17">
        <v>1.2420000000000002E-2</v>
      </c>
      <c r="Q62" s="17"/>
      <c r="R62" s="17"/>
      <c r="S62" s="17"/>
      <c r="T62" s="17"/>
      <c r="U62" s="17"/>
    </row>
    <row r="63" spans="1:21">
      <c r="A63" s="16">
        <v>43924</v>
      </c>
      <c r="B63" s="24">
        <v>3713.2183</v>
      </c>
      <c r="C63" s="25">
        <v>0.87101676646219739</v>
      </c>
      <c r="D63" s="25">
        <v>1.0377746405139094</v>
      </c>
      <c r="E63" s="25">
        <v>1.1263668082819631</v>
      </c>
      <c r="F63" s="25">
        <v>0.95163030133356252</v>
      </c>
      <c r="G63" s="25">
        <v>0.94726556145457785</v>
      </c>
      <c r="I63" s="17">
        <v>-5.7068216283995277E-3</v>
      </c>
      <c r="J63" s="17">
        <v>-3.3950000000000004E-3</v>
      </c>
      <c r="K63" s="17">
        <v>-1.4025440601388281E-3</v>
      </c>
      <c r="L63" s="17">
        <v>-1.1575000000000004E-2</v>
      </c>
      <c r="M63" s="17">
        <v>2.875E-3</v>
      </c>
      <c r="N63" s="17">
        <v>-4.429999999999999E-3</v>
      </c>
      <c r="Q63" s="17"/>
      <c r="R63" s="112"/>
      <c r="S63" s="17"/>
      <c r="T63" s="17"/>
      <c r="U63" s="17"/>
    </row>
    <row r="64" spans="1:21">
      <c r="A64" s="16">
        <v>43928</v>
      </c>
      <c r="B64" s="24">
        <v>3798.0214000000001</v>
      </c>
      <c r="C64" s="25">
        <v>0.88782739005491784</v>
      </c>
      <c r="D64" s="25">
        <v>1.0384233301215933</v>
      </c>
      <c r="E64" s="25">
        <v>1.132235179353112</v>
      </c>
      <c r="F64" s="25">
        <v>0.96341862169133208</v>
      </c>
      <c r="G64" s="25">
        <v>0.97233968086628053</v>
      </c>
      <c r="I64" s="17">
        <v>2.2838167096181694E-2</v>
      </c>
      <c r="J64" s="17">
        <v>1.9300000000000001E-2</v>
      </c>
      <c r="K64" s="17">
        <v>6.2507752874223818E-4</v>
      </c>
      <c r="L64" s="17">
        <v>5.2100000000000002E-3</v>
      </c>
      <c r="M64" s="17">
        <v>1.2387499999999999E-2</v>
      </c>
      <c r="N64" s="17">
        <v>2.647E-2</v>
      </c>
      <c r="Q64" s="17"/>
      <c r="R64" s="17"/>
      <c r="S64" s="17"/>
      <c r="T64" s="17"/>
      <c r="U64" s="17"/>
    </row>
    <row r="65" spans="1:21">
      <c r="A65" s="16">
        <v>43929</v>
      </c>
      <c r="B65" s="24">
        <v>3780.3445000000002</v>
      </c>
      <c r="C65" s="25">
        <v>0.87937971243854529</v>
      </c>
      <c r="D65" s="25">
        <v>1.037353346996934</v>
      </c>
      <c r="E65" s="25">
        <v>1.131029348887101</v>
      </c>
      <c r="F65" s="25">
        <v>0.97284808145113599</v>
      </c>
      <c r="G65" s="25">
        <v>0.96688485525662071</v>
      </c>
      <c r="I65" s="17">
        <v>-4.6542391783258585E-3</v>
      </c>
      <c r="J65" s="17">
        <v>-9.5150000000000009E-3</v>
      </c>
      <c r="K65" s="17">
        <v>-1.0303920314791754E-3</v>
      </c>
      <c r="L65" s="17">
        <v>-1.065E-3</v>
      </c>
      <c r="M65" s="17">
        <v>9.7875000000000011E-3</v>
      </c>
      <c r="N65" s="17">
        <v>-5.6099999999999995E-3</v>
      </c>
      <c r="Q65" s="17"/>
      <c r="R65" s="17"/>
      <c r="S65" s="17"/>
      <c r="T65" s="17"/>
      <c r="U65" s="17"/>
    </row>
    <row r="66" spans="1:21">
      <c r="A66" s="16">
        <v>43930</v>
      </c>
      <c r="B66" s="24">
        <v>3792.8105</v>
      </c>
      <c r="C66" s="25">
        <v>0.88131874470447225</v>
      </c>
      <c r="D66" s="25">
        <v>1.0371185574564483</v>
      </c>
      <c r="E66" s="25">
        <v>1.1310406591805899</v>
      </c>
      <c r="F66" s="25">
        <v>0.97799201568180893</v>
      </c>
      <c r="G66" s="25">
        <v>0.97431053094499143</v>
      </c>
      <c r="I66" s="17">
        <v>3.2975830641890358E-3</v>
      </c>
      <c r="J66" s="17">
        <v>2.2049999999999999E-3</v>
      </c>
      <c r="K66" s="17">
        <v>-2.2633516454674738E-4</v>
      </c>
      <c r="L66" s="17">
        <v>1.0000000000000048E-5</v>
      </c>
      <c r="M66" s="17">
        <v>5.2875000000000005E-3</v>
      </c>
      <c r="N66" s="17">
        <v>7.6800000000000011E-3</v>
      </c>
      <c r="Q66" s="17"/>
      <c r="R66" s="17"/>
      <c r="S66" s="17"/>
      <c r="T66" s="17"/>
      <c r="U66" s="17"/>
    </row>
    <row r="67" spans="1:21">
      <c r="A67" s="16">
        <v>43931</v>
      </c>
      <c r="B67" s="24">
        <v>3769.1781999999998</v>
      </c>
      <c r="C67" s="25">
        <v>0.8892418002193655</v>
      </c>
      <c r="D67" s="25">
        <v>1.0357787409986969</v>
      </c>
      <c r="E67" s="25">
        <v>1.1207764651985261</v>
      </c>
      <c r="F67" s="25">
        <v>0.9747401922296669</v>
      </c>
      <c r="G67" s="25">
        <v>0.97072506819111382</v>
      </c>
      <c r="I67" s="17">
        <v>-6.2308148535236141E-3</v>
      </c>
      <c r="J67" s="17">
        <v>8.9900000000000015E-3</v>
      </c>
      <c r="K67" s="17">
        <v>-1.2918643178436242E-3</v>
      </c>
      <c r="L67" s="17">
        <v>-9.0749999999999963E-3</v>
      </c>
      <c r="M67" s="17">
        <v>-3.3249999999999998E-3</v>
      </c>
      <c r="N67" s="17">
        <v>-3.6800000000000001E-3</v>
      </c>
      <c r="Q67" s="17"/>
      <c r="R67" s="17"/>
      <c r="S67" s="17"/>
      <c r="T67" s="17"/>
      <c r="U67" s="17"/>
    </row>
    <row r="68" spans="1:21">
      <c r="A68" s="16">
        <v>43934</v>
      </c>
      <c r="B68" s="24">
        <v>3753.2566000000002</v>
      </c>
      <c r="C68" s="25">
        <v>0.89517748923582974</v>
      </c>
      <c r="D68" s="25">
        <v>1.0352824814857382</v>
      </c>
      <c r="E68" s="25">
        <v>1.1083302425524966</v>
      </c>
      <c r="F68" s="25">
        <v>0.97190126141979805</v>
      </c>
      <c r="G68" s="25">
        <v>0.96435711174378014</v>
      </c>
      <c r="I68" s="17">
        <v>-4.2241568732408474E-3</v>
      </c>
      <c r="J68" s="17">
        <v>6.6749999999999995E-3</v>
      </c>
      <c r="K68" s="17">
        <v>-4.7911729920261222E-4</v>
      </c>
      <c r="L68" s="17">
        <v>-1.1105E-2</v>
      </c>
      <c r="M68" s="17">
        <v>-2.9124999999999997E-3</v>
      </c>
      <c r="N68" s="17">
        <v>-6.559999999999999E-3</v>
      </c>
      <c r="Q68" s="17"/>
      <c r="R68" s="17"/>
      <c r="S68" s="17"/>
      <c r="T68" s="17"/>
      <c r="U68" s="17"/>
    </row>
    <row r="69" spans="1:21">
      <c r="A69" s="16">
        <v>43935</v>
      </c>
      <c r="B69" s="24">
        <v>3825.6990999999998</v>
      </c>
      <c r="C69" s="25">
        <v>0.90782187127128577</v>
      </c>
      <c r="D69" s="25">
        <v>1.0359736144034901</v>
      </c>
      <c r="E69" s="25">
        <v>1.1116164417216647</v>
      </c>
      <c r="F69" s="25">
        <v>0.98547143278237204</v>
      </c>
      <c r="G69" s="25">
        <v>0.98073189550118955</v>
      </c>
      <c r="I69" s="17">
        <v>1.9301238289969103E-2</v>
      </c>
      <c r="J69" s="17">
        <v>1.4125E-2</v>
      </c>
      <c r="K69" s="17">
        <v>6.675790715207075E-4</v>
      </c>
      <c r="L69" s="17">
        <v>2.9649999999999998E-3</v>
      </c>
      <c r="M69" s="17">
        <v>1.3962500000000001E-2</v>
      </c>
      <c r="N69" s="17">
        <v>1.6980000000000002E-2</v>
      </c>
      <c r="Q69" s="17"/>
      <c r="R69" s="17"/>
      <c r="S69" s="17"/>
      <c r="T69" s="17"/>
      <c r="U69" s="17"/>
    </row>
    <row r="70" spans="1:21">
      <c r="A70" s="16">
        <v>43936</v>
      </c>
      <c r="B70" s="24">
        <v>3797.3622999999998</v>
      </c>
      <c r="C70" s="25">
        <v>0.89633338549034769</v>
      </c>
      <c r="D70" s="25">
        <v>1.0327355543532779</v>
      </c>
      <c r="E70" s="25">
        <v>1.1117109291192109</v>
      </c>
      <c r="F70" s="25">
        <v>0.98624749153568814</v>
      </c>
      <c r="G70" s="25">
        <v>0.97983942947628355</v>
      </c>
      <c r="I70" s="17">
        <v>-7.4069599462226465E-3</v>
      </c>
      <c r="J70" s="17">
        <v>-1.2655000000000001E-2</v>
      </c>
      <c r="K70" s="17">
        <v>-3.1256201945612278E-3</v>
      </c>
      <c r="L70" s="17">
        <v>8.500000000000006E-5</v>
      </c>
      <c r="M70" s="17">
        <v>7.8750000000000001E-4</v>
      </c>
      <c r="N70" s="17">
        <v>-9.1000000000000044E-4</v>
      </c>
      <c r="Q70" s="17"/>
      <c r="R70" s="17"/>
      <c r="S70" s="17"/>
      <c r="T70" s="17"/>
      <c r="U70" s="17"/>
    </row>
    <row r="71" spans="1:21">
      <c r="A71" s="16">
        <v>43937</v>
      </c>
      <c r="B71" s="24">
        <v>3802.3806</v>
      </c>
      <c r="C71" s="25">
        <v>0.89429870870528461</v>
      </c>
      <c r="D71" s="25">
        <v>1.0327946999415534</v>
      </c>
      <c r="E71" s="25">
        <v>1.1164079077947395</v>
      </c>
      <c r="F71" s="25">
        <v>0.98733236377637745</v>
      </c>
      <c r="G71" s="25">
        <v>0.98243600396439579</v>
      </c>
      <c r="I71" s="17">
        <v>1.3215225737086556E-3</v>
      </c>
      <c r="J71" s="17">
        <v>-2.2699999999999999E-3</v>
      </c>
      <c r="K71" s="17">
        <v>5.7270796987934123E-5</v>
      </c>
      <c r="L71" s="17">
        <v>4.2250000000000013E-3</v>
      </c>
      <c r="M71" s="17">
        <v>1.1000000000000003E-3</v>
      </c>
      <c r="N71" s="17">
        <v>2.65E-3</v>
      </c>
      <c r="Q71" s="17"/>
      <c r="R71" s="17"/>
      <c r="S71" s="17"/>
      <c r="T71" s="17"/>
      <c r="U71" s="17"/>
    </row>
    <row r="72" spans="1:21">
      <c r="A72" s="16">
        <v>43938</v>
      </c>
      <c r="B72" s="24">
        <v>3839.4870999999998</v>
      </c>
      <c r="C72" s="25">
        <v>0.91123225475461911</v>
      </c>
      <c r="D72" s="25">
        <v>1.0318915479734119</v>
      </c>
      <c r="E72" s="25">
        <v>1.1193663887503957</v>
      </c>
      <c r="F72" s="25">
        <v>0.99573703052302376</v>
      </c>
      <c r="G72" s="25">
        <v>0.99395997829089822</v>
      </c>
      <c r="I72" s="17">
        <v>9.7587548179685069E-3</v>
      </c>
      <c r="J72" s="17">
        <v>1.8935E-2</v>
      </c>
      <c r="K72" s="17">
        <v>-8.7447386028676507E-4</v>
      </c>
      <c r="L72" s="17">
        <v>2.65E-3</v>
      </c>
      <c r="M72" s="17">
        <v>8.5124999999999992E-3</v>
      </c>
      <c r="N72" s="17">
        <v>1.1730000000000001E-2</v>
      </c>
      <c r="Q72" s="17"/>
      <c r="R72" s="17"/>
      <c r="S72" s="17"/>
      <c r="T72" s="17"/>
      <c r="U72" s="17"/>
    </row>
    <row r="73" spans="1:21">
      <c r="A73" s="16">
        <v>43941</v>
      </c>
      <c r="B73" s="24">
        <v>3853.4551000000001</v>
      </c>
      <c r="C73" s="25">
        <v>0.91524623283681317</v>
      </c>
      <c r="D73" s="25">
        <v>1.0243447029612622</v>
      </c>
      <c r="E73" s="25">
        <v>1.1211461813085088</v>
      </c>
      <c r="F73" s="25">
        <v>1.0014002848841235</v>
      </c>
      <c r="G73" s="25">
        <v>0.99458617307722141</v>
      </c>
      <c r="I73" s="17">
        <v>3.6379859174420215E-3</v>
      </c>
      <c r="J73" s="17">
        <v>4.4050000000000009E-3</v>
      </c>
      <c r="K73" s="17">
        <v>-7.3136028945787034E-3</v>
      </c>
      <c r="L73" s="17">
        <v>1.5900000000000001E-3</v>
      </c>
      <c r="M73" s="17">
        <v>5.6874999999999998E-3</v>
      </c>
      <c r="N73" s="17">
        <v>6.2999999999999981E-4</v>
      </c>
      <c r="Q73" s="17"/>
      <c r="R73" s="17"/>
      <c r="S73" s="17"/>
      <c r="T73" s="17"/>
      <c r="U73" s="17"/>
    </row>
    <row r="74" spans="1:21">
      <c r="A74" s="16">
        <v>43942</v>
      </c>
      <c r="B74" s="24">
        <v>3808.0473999999999</v>
      </c>
      <c r="C74" s="25">
        <v>0.90191567145554496</v>
      </c>
      <c r="D74" s="25">
        <v>1.0241240477508202</v>
      </c>
      <c r="E74" s="25">
        <v>1.1189038889458918</v>
      </c>
      <c r="F74" s="25">
        <v>0.99298852249109693</v>
      </c>
      <c r="G74" s="25">
        <v>0.98480939099587228</v>
      </c>
      <c r="I74" s="17">
        <v>-1.1783632823436863E-2</v>
      </c>
      <c r="J74" s="17">
        <v>-1.4565000000000003E-2</v>
      </c>
      <c r="K74" s="17">
        <v>-2.154110914071821E-4</v>
      </c>
      <c r="L74" s="17">
        <v>-2E-3</v>
      </c>
      <c r="M74" s="17">
        <v>-8.4000000000000012E-3</v>
      </c>
      <c r="N74" s="17">
        <v>-9.8300000000000002E-3</v>
      </c>
      <c r="Q74" s="17"/>
      <c r="R74" s="17"/>
      <c r="S74" s="17"/>
      <c r="T74" s="17"/>
      <c r="U74" s="17"/>
    </row>
    <row r="75" spans="1:21">
      <c r="A75" s="16">
        <v>43943</v>
      </c>
      <c r="B75" s="24">
        <v>3839.3834000000002</v>
      </c>
      <c r="C75" s="25">
        <v>0.91410055217690933</v>
      </c>
      <c r="D75" s="25">
        <v>1.0254189726210454</v>
      </c>
      <c r="E75" s="25">
        <v>1.1217123377071461</v>
      </c>
      <c r="F75" s="25">
        <v>0.9933112437609064</v>
      </c>
      <c r="G75" s="25">
        <v>0.993731764078295</v>
      </c>
      <c r="I75" s="17">
        <v>8.2288891677135823E-3</v>
      </c>
      <c r="J75" s="17">
        <v>1.3510000000000001E-2</v>
      </c>
      <c r="K75" s="17">
        <v>1.264421896028172E-3</v>
      </c>
      <c r="L75" s="17">
        <v>2.5100000000000005E-3</v>
      </c>
      <c r="M75" s="17">
        <v>3.250000000000002E-4</v>
      </c>
      <c r="N75" s="17">
        <v>9.0600000000000021E-3</v>
      </c>
      <c r="Q75" s="17"/>
      <c r="R75" s="17"/>
      <c r="S75" s="17"/>
      <c r="T75" s="17"/>
      <c r="U75" s="17"/>
    </row>
    <row r="76" spans="1:21">
      <c r="A76" s="16">
        <v>43944</v>
      </c>
      <c r="B76" s="24">
        <v>3829.7525000000001</v>
      </c>
      <c r="C76" s="25">
        <v>0.91619841294415527</v>
      </c>
      <c r="D76" s="25">
        <v>1.0254189726210454</v>
      </c>
      <c r="E76" s="25">
        <v>1.1244380986877744</v>
      </c>
      <c r="F76" s="25">
        <v>1.000463084715985</v>
      </c>
      <c r="G76" s="25">
        <v>0.99488449292462589</v>
      </c>
      <c r="I76" s="17">
        <v>-2.5084496640789267E-3</v>
      </c>
      <c r="J76" s="17">
        <v>2.2949999999999993E-3</v>
      </c>
      <c r="K76" s="17">
        <v>0</v>
      </c>
      <c r="L76" s="17">
        <v>2.4300000000000003E-3</v>
      </c>
      <c r="M76" s="17">
        <v>7.1999999999999998E-3</v>
      </c>
      <c r="N76" s="17">
        <v>1.1600000000000002E-3</v>
      </c>
      <c r="Q76" s="17"/>
      <c r="R76" s="17"/>
      <c r="S76" s="17"/>
      <c r="T76" s="17"/>
      <c r="U76" s="17"/>
    </row>
    <row r="77" spans="1:21">
      <c r="A77" s="16">
        <v>43945</v>
      </c>
      <c r="B77" s="24">
        <v>3796.9721</v>
      </c>
      <c r="C77" s="25">
        <v>0.90873597687072516</v>
      </c>
      <c r="D77" s="25">
        <v>1.0237979208574179</v>
      </c>
      <c r="E77" s="25">
        <v>1.1204632100089131</v>
      </c>
      <c r="F77" s="25">
        <v>0.99250940319249292</v>
      </c>
      <c r="G77" s="25">
        <v>0.9874527057624789</v>
      </c>
      <c r="I77" s="17">
        <v>-8.5594042957084504E-3</v>
      </c>
      <c r="J77" s="17">
        <v>-8.1449999999999995E-3</v>
      </c>
      <c r="K77" s="17">
        <v>-1.5808677300791496E-3</v>
      </c>
      <c r="L77" s="17">
        <v>-3.5349999999999999E-3</v>
      </c>
      <c r="M77" s="17">
        <v>-7.9500000000000005E-3</v>
      </c>
      <c r="N77" s="17">
        <v>-7.4700000000000001E-3</v>
      </c>
      <c r="Q77" s="17"/>
      <c r="R77" s="17"/>
      <c r="S77" s="17"/>
      <c r="T77" s="17"/>
      <c r="U77" s="17"/>
    </row>
    <row r="78" spans="1:21">
      <c r="A78" s="16">
        <v>43948</v>
      </c>
      <c r="B78" s="24">
        <v>3821.9004</v>
      </c>
      <c r="C78" s="25">
        <v>0.92311218002481998</v>
      </c>
      <c r="D78" s="25">
        <v>1.0212612128829583</v>
      </c>
      <c r="E78" s="25">
        <v>1.1216340940633724</v>
      </c>
      <c r="F78" s="25">
        <v>0.9976084202513944</v>
      </c>
      <c r="G78" s="25">
        <v>0.99884790998697803</v>
      </c>
      <c r="I78" s="17">
        <v>6.5653102902705207E-3</v>
      </c>
      <c r="J78" s="17">
        <v>1.5820000000000004E-2</v>
      </c>
      <c r="K78" s="17">
        <v>-2.4777428462984092E-3</v>
      </c>
      <c r="L78" s="17">
        <v>1.0449999999999999E-3</v>
      </c>
      <c r="M78" s="17">
        <v>5.1374999999999997E-3</v>
      </c>
      <c r="N78" s="17">
        <v>1.154E-2</v>
      </c>
      <c r="U78" s="17"/>
    </row>
    <row r="79" spans="1:21">
      <c r="A79" s="16">
        <v>43949</v>
      </c>
      <c r="B79" s="24">
        <v>3849.1464999999998</v>
      </c>
      <c r="C79" s="25">
        <v>0.93298948035108553</v>
      </c>
      <c r="D79" s="25">
        <v>1.0228771310873332</v>
      </c>
      <c r="E79" s="25">
        <v>1.1160147072521149</v>
      </c>
      <c r="F79" s="25">
        <v>1.0057888092974558</v>
      </c>
      <c r="G79" s="25">
        <v>1.0059297416687858</v>
      </c>
      <c r="I79" s="17">
        <v>7.1289403564780418E-3</v>
      </c>
      <c r="J79" s="17">
        <v>1.0700000000000001E-2</v>
      </c>
      <c r="K79" s="17">
        <v>1.5822770746510364E-3</v>
      </c>
      <c r="L79" s="17">
        <v>-5.0099999999999997E-3</v>
      </c>
      <c r="M79" s="17">
        <v>8.199999999999999E-3</v>
      </c>
      <c r="N79" s="17">
        <v>7.0900000000000008E-3</v>
      </c>
      <c r="U79" s="17"/>
    </row>
    <row r="80" spans="1:21">
      <c r="A80" s="16">
        <v>43950</v>
      </c>
      <c r="B80" s="24">
        <v>3867.0320000000002</v>
      </c>
      <c r="C80" s="25">
        <v>0.94103184967171194</v>
      </c>
      <c r="D80" s="25">
        <v>1.0246981578026768</v>
      </c>
      <c r="E80" s="25">
        <v>1.1182690569607641</v>
      </c>
      <c r="F80" s="25">
        <v>1.0032994819944447</v>
      </c>
      <c r="G80" s="25">
        <v>1.0076498815270396</v>
      </c>
      <c r="I80" s="17">
        <v>4.6466145157115779E-3</v>
      </c>
      <c r="J80" s="17">
        <v>8.6200000000000009E-3</v>
      </c>
      <c r="K80" s="17">
        <v>1.7802985911005154E-3</v>
      </c>
      <c r="L80" s="17">
        <v>2.0200000000000005E-3</v>
      </c>
      <c r="M80" s="17">
        <v>-2.4750000000000002E-3</v>
      </c>
      <c r="N80" s="17">
        <v>1.7100000000000008E-3</v>
      </c>
      <c r="U80" s="17"/>
    </row>
    <row r="81" spans="1:21">
      <c r="A81" s="16">
        <v>43951</v>
      </c>
      <c r="B81" s="24">
        <v>3912.5772000000002</v>
      </c>
      <c r="C81" s="25">
        <v>0.93998259915932802</v>
      </c>
      <c r="D81" s="25">
        <v>1.0264434282557442</v>
      </c>
      <c r="E81" s="25">
        <v>1.1238380368644287</v>
      </c>
      <c r="F81" s="25">
        <v>1.014084951425885</v>
      </c>
      <c r="G81" s="25">
        <v>1.0214546849039601</v>
      </c>
      <c r="I81" s="17">
        <v>1.177781823372559E-2</v>
      </c>
      <c r="J81" s="17">
        <v>-1.1150000000000001E-3</v>
      </c>
      <c r="K81" s="17">
        <v>1.7032044410131286E-3</v>
      </c>
      <c r="L81" s="17">
        <v>4.9800000000000001E-3</v>
      </c>
      <c r="M81" s="17">
        <v>1.0750000000000001E-2</v>
      </c>
      <c r="N81" s="17">
        <v>1.3699999999999999E-2</v>
      </c>
      <c r="U81" s="17"/>
    </row>
    <row r="82" spans="1:21">
      <c r="A82" s="19">
        <v>43957</v>
      </c>
      <c r="B82" s="24">
        <v>3936.2539000000002</v>
      </c>
      <c r="C82" s="25">
        <v>0.94039619150295817</v>
      </c>
      <c r="D82" s="25">
        <v>0.98831741324084377</v>
      </c>
      <c r="E82" s="25">
        <v>1.1271926934044691</v>
      </c>
      <c r="F82" s="25">
        <v>1.0187877703881225</v>
      </c>
      <c r="G82" s="25">
        <v>1.0191053391286811</v>
      </c>
      <c r="I82" s="17">
        <v>6.0514333110155416E-3</v>
      </c>
      <c r="J82" s="17">
        <v>4.4000000000000034E-4</v>
      </c>
      <c r="K82" s="17">
        <v>-3.7143805460071726E-2</v>
      </c>
      <c r="L82" s="17">
        <v>2.9850000000000007E-3</v>
      </c>
      <c r="M82" s="17">
        <v>4.637500000000001E-3</v>
      </c>
      <c r="N82" s="17">
        <v>-2.3E-3</v>
      </c>
      <c r="U82" s="17"/>
    </row>
    <row r="83" spans="1:21">
      <c r="A83" s="16">
        <v>43958</v>
      </c>
      <c r="B83" s="24">
        <v>3924.8946000000001</v>
      </c>
      <c r="C83" s="25">
        <v>0.94027393999806286</v>
      </c>
      <c r="D83" s="25">
        <v>0.99680549732039336</v>
      </c>
      <c r="E83" s="25">
        <v>1.1241098213880079</v>
      </c>
      <c r="F83" s="25">
        <v>1.014980051096297</v>
      </c>
      <c r="G83" s="25">
        <v>1.019421261783811</v>
      </c>
      <c r="I83" s="17">
        <v>-2.8858148606725198E-3</v>
      </c>
      <c r="J83" s="17">
        <v>-1.3000000000000034E-4</v>
      </c>
      <c r="K83" s="17">
        <v>8.588419029991412E-3</v>
      </c>
      <c r="L83" s="17">
        <v>-2.735E-3</v>
      </c>
      <c r="M83" s="17">
        <v>-3.7375000000000004E-3</v>
      </c>
      <c r="N83" s="17">
        <v>3.0999999999999919E-4</v>
      </c>
      <c r="U83" s="17"/>
    </row>
    <row r="84" spans="1:21">
      <c r="A84" s="19">
        <v>43959</v>
      </c>
      <c r="B84" s="24">
        <v>3963.6217000000001</v>
      </c>
      <c r="C84" s="25">
        <v>0.95772072295472699</v>
      </c>
      <c r="D84" s="25">
        <v>0.99635730969339631</v>
      </c>
      <c r="E84" s="25">
        <v>1.1265097958566712</v>
      </c>
      <c r="F84" s="25">
        <v>1.0295577020801676</v>
      </c>
      <c r="G84" s="25">
        <v>1.0300334371189805</v>
      </c>
      <c r="I84" s="17">
        <v>9.8670420347084509E-3</v>
      </c>
      <c r="J84" s="17">
        <v>1.8555000000000002E-2</v>
      </c>
      <c r="K84" s="17">
        <v>-4.4962395191632573E-4</v>
      </c>
      <c r="L84" s="17">
        <v>2.1350000000000006E-3</v>
      </c>
      <c r="M84" s="17">
        <v>1.43625E-2</v>
      </c>
      <c r="N84" s="17">
        <v>1.0410000000000001E-2</v>
      </c>
      <c r="U84" s="17"/>
    </row>
    <row r="85" spans="1:21">
      <c r="A85" s="16">
        <v>43962</v>
      </c>
      <c r="B85" s="24">
        <v>3960.1803</v>
      </c>
      <c r="C85" s="25">
        <v>0.96220764454176988</v>
      </c>
      <c r="D85" s="25">
        <v>0.99273076332529742</v>
      </c>
      <c r="E85" s="25">
        <v>1.1245384037139221</v>
      </c>
      <c r="F85" s="25">
        <v>1.0327879393704442</v>
      </c>
      <c r="G85" s="25">
        <v>1.0266343267764879</v>
      </c>
      <c r="I85" s="17">
        <v>-8.6824633137927432E-4</v>
      </c>
      <c r="J85" s="17">
        <v>4.6849999999999999E-3</v>
      </c>
      <c r="K85" s="17">
        <v>-3.6398050506750079E-3</v>
      </c>
      <c r="L85" s="17">
        <v>-1.7500000000000003E-3</v>
      </c>
      <c r="M85" s="17">
        <v>3.1374999999999997E-3</v>
      </c>
      <c r="N85" s="17">
        <v>-3.3E-3</v>
      </c>
      <c r="U85" s="17"/>
    </row>
    <row r="86" spans="1:21">
      <c r="A86" s="16">
        <v>43963</v>
      </c>
      <c r="B86" s="24">
        <v>3960.2377999999999</v>
      </c>
      <c r="C86" s="25">
        <v>0.96431487928331627</v>
      </c>
      <c r="D86" s="25">
        <v>0.9950593245682996</v>
      </c>
      <c r="E86" s="25">
        <v>1.1211535431187432</v>
      </c>
      <c r="F86" s="25">
        <v>1.0385199124339501</v>
      </c>
      <c r="G86" s="25">
        <v>1.0262750047621161</v>
      </c>
      <c r="I86" s="17">
        <v>1.4519540941115849E-5</v>
      </c>
      <c r="J86" s="17">
        <v>2.1900000000000001E-3</v>
      </c>
      <c r="K86" s="17">
        <v>2.3456120521564267E-3</v>
      </c>
      <c r="L86" s="17">
        <v>-3.0099999999999997E-3</v>
      </c>
      <c r="M86" s="17">
        <v>5.5499999999999994E-3</v>
      </c>
      <c r="N86" s="17">
        <v>-3.5000000000000016E-4</v>
      </c>
      <c r="U86" s="17"/>
    </row>
    <row r="87" spans="1:21">
      <c r="A87" s="16">
        <v>43964</v>
      </c>
      <c r="B87" s="24">
        <v>3968.2529</v>
      </c>
      <c r="C87" s="25">
        <v>0.96232839063199271</v>
      </c>
      <c r="D87" s="25">
        <v>0.9936205024212873</v>
      </c>
      <c r="E87" s="25">
        <v>1.1196343800678172</v>
      </c>
      <c r="F87" s="25">
        <v>1.0444524574337291</v>
      </c>
      <c r="G87" s="25">
        <v>1.0312934895354029</v>
      </c>
      <c r="I87" s="17">
        <v>2.0238936156813381E-3</v>
      </c>
      <c r="J87" s="17">
        <v>-2.0600000000000002E-3</v>
      </c>
      <c r="K87" s="17">
        <v>-1.4459661966752207E-3</v>
      </c>
      <c r="L87" s="17">
        <v>-1.3549999999999999E-3</v>
      </c>
      <c r="M87" s="17">
        <v>5.7124999999999997E-3</v>
      </c>
      <c r="N87" s="17">
        <v>4.8900000000000002E-3</v>
      </c>
      <c r="U87" s="17"/>
    </row>
    <row r="88" spans="1:21">
      <c r="A88" s="16">
        <v>43965</v>
      </c>
      <c r="B88" s="24">
        <v>3925.2177000000001</v>
      </c>
      <c r="C88" s="25">
        <v>0.95058317262432923</v>
      </c>
      <c r="D88" s="25">
        <v>0.98655826913791167</v>
      </c>
      <c r="E88" s="25">
        <v>1.1121496242370639</v>
      </c>
      <c r="F88" s="25">
        <v>1.0345171034323906</v>
      </c>
      <c r="G88" s="25">
        <v>1.0235072236894107</v>
      </c>
      <c r="I88" s="17">
        <v>-1.0844873319439841E-2</v>
      </c>
      <c r="J88" s="17">
        <v>-1.2205000000000002E-2</v>
      </c>
      <c r="K88" s="17">
        <v>-7.1075760475614669E-3</v>
      </c>
      <c r="L88" s="17">
        <v>-6.6849999999999991E-3</v>
      </c>
      <c r="M88" s="17">
        <v>-9.5125000000000001E-3</v>
      </c>
      <c r="N88" s="17">
        <v>-7.5499999999999986E-3</v>
      </c>
      <c r="U88" s="17"/>
    </row>
    <row r="89" spans="1:21">
      <c r="A89" s="16">
        <v>43966</v>
      </c>
      <c r="B89" s="24">
        <v>3912.8159000000001</v>
      </c>
      <c r="C89" s="25">
        <v>0.94476085069200522</v>
      </c>
      <c r="D89" s="25">
        <v>0.98629284380439985</v>
      </c>
      <c r="E89" s="25">
        <v>1.1015508383180845</v>
      </c>
      <c r="F89" s="25">
        <v>1.0353059227237578</v>
      </c>
      <c r="G89" s="25">
        <v>1.0223813657433525</v>
      </c>
      <c r="I89" s="17">
        <v>-3.1595190248938643E-3</v>
      </c>
      <c r="J89" s="17">
        <v>-6.1250000000000002E-3</v>
      </c>
      <c r="K89" s="17">
        <v>-2.6904171990135443E-4</v>
      </c>
      <c r="L89" s="17">
        <v>-9.5299999999999985E-3</v>
      </c>
      <c r="M89" s="17">
        <v>7.6250000000000016E-4</v>
      </c>
      <c r="N89" s="17">
        <v>-1.1000000000000003E-3</v>
      </c>
      <c r="U89" s="17"/>
    </row>
    <row r="90" spans="1:21">
      <c r="A90" s="16">
        <v>43969</v>
      </c>
      <c r="B90" s="24">
        <v>3922.9117000000001</v>
      </c>
      <c r="C90" s="25">
        <v>0.95110019600014861</v>
      </c>
      <c r="D90" s="25">
        <v>0.98063666112341563</v>
      </c>
      <c r="E90" s="25">
        <v>1.0871921231406083</v>
      </c>
      <c r="F90" s="25">
        <v>1.0419189393051558</v>
      </c>
      <c r="G90" s="25">
        <v>1.0312454121843473</v>
      </c>
      <c r="I90" s="17">
        <v>2.5801878386355614E-3</v>
      </c>
      <c r="J90" s="17">
        <v>6.7099999999999998E-3</v>
      </c>
      <c r="K90" s="17">
        <v>-5.7347903480337182E-3</v>
      </c>
      <c r="L90" s="17">
        <v>-1.3035E-2</v>
      </c>
      <c r="M90" s="17">
        <v>6.3875000000000008E-3</v>
      </c>
      <c r="N90" s="17">
        <v>8.6700000000000006E-3</v>
      </c>
      <c r="U90" s="17"/>
    </row>
    <row r="91" spans="1:21">
      <c r="A91" s="16">
        <v>43970</v>
      </c>
      <c r="B91" s="24">
        <v>3956.2494999999999</v>
      </c>
      <c r="C91" s="25">
        <v>0.95810504894368975</v>
      </c>
      <c r="D91" s="25">
        <v>0.98569567999006646</v>
      </c>
      <c r="E91" s="25">
        <v>1.085349332491885</v>
      </c>
      <c r="F91" s="25">
        <v>1.0569876919648566</v>
      </c>
      <c r="G91" s="25">
        <v>1.0467862805459653</v>
      </c>
      <c r="I91" s="17">
        <v>8.4982284969605804E-3</v>
      </c>
      <c r="J91" s="17">
        <v>7.3649999999999983E-3</v>
      </c>
      <c r="K91" s="17">
        <v>5.1589126403404073E-3</v>
      </c>
      <c r="L91" s="17">
        <v>-1.6949999999999999E-3</v>
      </c>
      <c r="M91" s="17">
        <v>1.44625E-2</v>
      </c>
      <c r="N91" s="17">
        <v>1.5070000000000004E-2</v>
      </c>
      <c r="U91" s="17"/>
    </row>
    <row r="92" spans="1:21">
      <c r="A92" s="16">
        <v>43971</v>
      </c>
      <c r="B92" s="24">
        <v>3935.2220000000002</v>
      </c>
      <c r="C92" s="25">
        <v>0.956773282925658</v>
      </c>
      <c r="D92" s="25">
        <v>0.9880366161552917</v>
      </c>
      <c r="E92" s="25">
        <v>1.0756463094594075</v>
      </c>
      <c r="F92" s="25">
        <v>1.0526804671200998</v>
      </c>
      <c r="G92" s="25">
        <v>1.0458755764818903</v>
      </c>
      <c r="I92" s="17">
        <v>-5.3150085706170636E-3</v>
      </c>
      <c r="J92" s="17">
        <v>-1.3900000000000002E-3</v>
      </c>
      <c r="K92" s="17">
        <v>2.374907603580802E-3</v>
      </c>
      <c r="L92" s="17">
        <v>-8.94E-3</v>
      </c>
      <c r="M92" s="17">
        <v>-4.0750000000000005E-3</v>
      </c>
      <c r="N92" s="17">
        <v>-8.7000000000000033E-4</v>
      </c>
      <c r="U92" s="17"/>
    </row>
    <row r="93" spans="1:21">
      <c r="A93" s="16">
        <v>43972</v>
      </c>
      <c r="B93" s="24">
        <v>3913.7948999999999</v>
      </c>
      <c r="C93" s="25">
        <v>0.9548597363598067</v>
      </c>
      <c r="D93" s="25">
        <v>0.98857600753108377</v>
      </c>
      <c r="E93" s="25">
        <v>1.0761518632248535</v>
      </c>
      <c r="F93" s="25">
        <v>1.0522725534390907</v>
      </c>
      <c r="G93" s="25">
        <v>1.0424973983698538</v>
      </c>
      <c r="I93" s="17">
        <v>-5.4449532961546865E-3</v>
      </c>
      <c r="J93" s="17">
        <v>-2E-3</v>
      </c>
      <c r="K93" s="17">
        <v>5.4592245567871721E-4</v>
      </c>
      <c r="L93" s="17">
        <v>4.6999999999999993E-4</v>
      </c>
      <c r="M93" s="17">
        <v>-3.8749999999999993E-4</v>
      </c>
      <c r="N93" s="17">
        <v>-3.2300000000000002E-3</v>
      </c>
      <c r="U93" s="17"/>
    </row>
    <row r="94" spans="1:21">
      <c r="A94" s="16">
        <v>43973</v>
      </c>
      <c r="B94" s="24">
        <v>3824.0639999999999</v>
      </c>
      <c r="C94" s="25">
        <v>0.93011932059072411</v>
      </c>
      <c r="D94" s="25">
        <v>0.99134721027904982</v>
      </c>
      <c r="E94" s="25">
        <v>1.0710401418745354</v>
      </c>
      <c r="F94" s="25">
        <v>1.0326213635036157</v>
      </c>
      <c r="G94" s="25">
        <v>1.0214702258447339</v>
      </c>
      <c r="I94" s="17">
        <v>-2.2926827361341773E-2</v>
      </c>
      <c r="J94" s="17">
        <v>-2.5909999999999999E-2</v>
      </c>
      <c r="K94" s="17">
        <v>2.8032267897002733E-3</v>
      </c>
      <c r="L94" s="17">
        <v>-4.7499999999999999E-3</v>
      </c>
      <c r="M94" s="17">
        <v>-1.8675000000000001E-2</v>
      </c>
      <c r="N94" s="17">
        <v>-2.017E-2</v>
      </c>
      <c r="U94" s="17"/>
    </row>
    <row r="95" spans="1:21">
      <c r="A95" s="16">
        <v>43976</v>
      </c>
      <c r="B95" s="24">
        <v>3829.3245000000002</v>
      </c>
      <c r="C95" s="25">
        <v>0.93266784752914267</v>
      </c>
      <c r="D95" s="25">
        <v>0.98952178025591564</v>
      </c>
      <c r="E95" s="25">
        <v>1.0654760883374972</v>
      </c>
      <c r="F95" s="25">
        <v>1.034247742151134</v>
      </c>
      <c r="G95" s="25">
        <v>1.0265877916762161</v>
      </c>
      <c r="I95" s="17">
        <v>1.3756307425818459E-3</v>
      </c>
      <c r="J95" s="17">
        <v>2.7400000000000002E-3</v>
      </c>
      <c r="K95" s="17">
        <v>-1.8413629495364864E-3</v>
      </c>
      <c r="L95" s="17">
        <v>-5.1949999999999991E-3</v>
      </c>
      <c r="M95" s="17">
        <v>1.5750000000000002E-3</v>
      </c>
      <c r="N95" s="17">
        <v>5.0100000000000006E-3</v>
      </c>
      <c r="U95" s="17"/>
    </row>
    <row r="96" spans="1:21">
      <c r="A96" s="16">
        <v>43977</v>
      </c>
      <c r="B96" s="24">
        <v>3872.7701000000002</v>
      </c>
      <c r="C96" s="25">
        <v>0.94438681903334631</v>
      </c>
      <c r="D96" s="25">
        <v>0.99203896442915251</v>
      </c>
      <c r="E96" s="25">
        <v>1.0726360876511252</v>
      </c>
      <c r="F96" s="25">
        <v>1.0485332890895966</v>
      </c>
      <c r="G96" s="25">
        <v>1.0419455450396924</v>
      </c>
      <c r="I96" s="17">
        <v>1.1345499708891316E-2</v>
      </c>
      <c r="J96" s="17">
        <v>1.2565000000000003E-2</v>
      </c>
      <c r="K96" s="17">
        <v>2.5438390780908593E-3</v>
      </c>
      <c r="L96" s="17">
        <v>6.7199999999999994E-3</v>
      </c>
      <c r="M96" s="17">
        <v>1.3812499999999998E-2</v>
      </c>
      <c r="N96" s="17">
        <v>1.4960000000000001E-2</v>
      </c>
      <c r="U96" s="17"/>
    </row>
    <row r="97" spans="1:21">
      <c r="A97" s="16">
        <v>43978</v>
      </c>
      <c r="B97" s="24">
        <v>3845.6134999999999</v>
      </c>
      <c r="C97" s="25">
        <v>0.93546708552757629</v>
      </c>
      <c r="D97" s="25">
        <v>0.99371763701864002</v>
      </c>
      <c r="E97" s="25">
        <v>1.080691584669385</v>
      </c>
      <c r="F97" s="25">
        <v>1.0497915290365043</v>
      </c>
      <c r="G97" s="25">
        <v>1.0345998289471625</v>
      </c>
      <c r="I97" s="17">
        <v>-7.0121900600297327E-3</v>
      </c>
      <c r="J97" s="17">
        <v>-9.445000000000002E-3</v>
      </c>
      <c r="K97" s="17">
        <v>1.6921438065223679E-3</v>
      </c>
      <c r="L97" s="17">
        <v>7.510000000000001E-3</v>
      </c>
      <c r="M97" s="17">
        <v>1.2000000000000001E-3</v>
      </c>
      <c r="N97" s="17">
        <v>-7.049999999999999E-3</v>
      </c>
      <c r="U97" s="17"/>
    </row>
    <row r="98" spans="1:21">
      <c r="A98" s="16">
        <v>43979</v>
      </c>
      <c r="B98" s="24">
        <v>3856.6324</v>
      </c>
      <c r="C98" s="25">
        <v>0.94513046052107608</v>
      </c>
      <c r="D98" s="25">
        <v>0.99366319257564761</v>
      </c>
      <c r="E98" s="25">
        <v>1.077638630942694</v>
      </c>
      <c r="F98" s="25">
        <v>1.048977940601501</v>
      </c>
      <c r="G98" s="25">
        <v>1.0333583091524259</v>
      </c>
      <c r="I98" s="17">
        <v>2.8653165483218945E-3</v>
      </c>
      <c r="J98" s="17">
        <v>1.0330000000000001E-2</v>
      </c>
      <c r="K98" s="17">
        <v>-5.4788645148486281E-5</v>
      </c>
      <c r="L98" s="17">
        <v>-2.8250000000000003E-3</v>
      </c>
      <c r="M98" s="17">
        <v>-7.7499999999999986E-4</v>
      </c>
      <c r="N98" s="17">
        <v>-1.2000000000000001E-3</v>
      </c>
    </row>
    <row r="99" spans="1:21">
      <c r="A99" s="16">
        <v>43980</v>
      </c>
      <c r="B99" s="24">
        <v>3867.0232000000001</v>
      </c>
      <c r="C99" s="25">
        <v>0.94653397925494986</v>
      </c>
      <c r="D99" s="25">
        <v>1.0014760162141583</v>
      </c>
      <c r="E99" s="25">
        <v>1.0860549886503565</v>
      </c>
      <c r="F99" s="25">
        <v>1.0546030848079764</v>
      </c>
      <c r="G99" s="25">
        <v>1.0361380430040459</v>
      </c>
      <c r="I99" s="17">
        <v>2.6942676724905912E-3</v>
      </c>
      <c r="J99" s="17">
        <v>1.4849999999999998E-3</v>
      </c>
      <c r="K99" s="17">
        <v>7.862647722976639E-3</v>
      </c>
      <c r="L99" s="17">
        <v>7.8099999999999992E-3</v>
      </c>
      <c r="M99" s="17">
        <v>5.3624999999999992E-3</v>
      </c>
      <c r="N99" s="17">
        <v>2.6899999999999997E-3</v>
      </c>
    </row>
    <row r="100" spans="1:21">
      <c r="A100" s="16">
        <v>43983</v>
      </c>
      <c r="B100" s="24">
        <f>VLOOKUP(300,'1'!$J:$K,2,FALSE)</f>
        <v>3867.0232000000001</v>
      </c>
      <c r="C100" s="25">
        <f t="shared" ref="C100:C106" si="2">C99*(1+J100)</f>
        <v>0.94793958221414343</v>
      </c>
      <c r="D100" s="25">
        <f t="shared" ref="D100:D106" si="3">D99*(1+K100)</f>
        <v>1.0014760162141583</v>
      </c>
      <c r="E100" s="25">
        <f t="shared" ref="E100:E106" si="4">E99*(1+L100)</f>
        <v>1.092859123154251</v>
      </c>
      <c r="F100" s="25">
        <f t="shared" ref="F100:F106" si="5">F99*(1+M100)</f>
        <v>1.060258393850259</v>
      </c>
      <c r="G100" s="25">
        <f t="shared" ref="G100:G106" si="6">G99*(1+N100)</f>
        <v>1.0389252543397269</v>
      </c>
      <c r="I100" s="17">
        <f t="shared" ref="I100:I106" si="7">B100/B99-1</f>
        <v>0</v>
      </c>
      <c r="J100" s="17">
        <f>股票!G$10</f>
        <v>1.4849999999999998E-3</v>
      </c>
      <c r="K100" s="17">
        <f>债券!K$9</f>
        <v>0</v>
      </c>
      <c r="L100" s="17">
        <f>轮动可转债!E$22</f>
        <v>6.264999999999998E-3</v>
      </c>
      <c r="M100" s="17">
        <f>场外基金!E$10</f>
        <v>5.3624999999999992E-3</v>
      </c>
      <c r="N100" s="17">
        <f>场内基金!H$12</f>
        <v>2.6899999999999997E-3</v>
      </c>
    </row>
    <row r="101" spans="1:21">
      <c r="A101" s="16">
        <v>43984</v>
      </c>
      <c r="B101" s="24">
        <f>VLOOKUP(300,'1'!$J:$K,2,FALSE)</f>
        <v>3867.0232000000001</v>
      </c>
      <c r="C101" s="25">
        <f t="shared" si="2"/>
        <v>0.94934727249373141</v>
      </c>
      <c r="D101" s="25">
        <f t="shared" si="3"/>
        <v>1.0014760162141583</v>
      </c>
      <c r="E101" s="25">
        <f t="shared" si="4"/>
        <v>1.0997058855608124</v>
      </c>
      <c r="F101" s="25">
        <f t="shared" si="5"/>
        <v>1.0659440294872808</v>
      </c>
      <c r="G101" s="25">
        <f t="shared" si="6"/>
        <v>1.0417199632739009</v>
      </c>
      <c r="I101" s="17">
        <f t="shared" si="7"/>
        <v>0</v>
      </c>
      <c r="J101" s="17">
        <f>股票!G$10</f>
        <v>1.4849999999999998E-3</v>
      </c>
      <c r="K101" s="17">
        <f>债券!K$9</f>
        <v>0</v>
      </c>
      <c r="L101" s="17">
        <f>轮动可转债!E$22</f>
        <v>6.264999999999998E-3</v>
      </c>
      <c r="M101" s="17">
        <f>场外基金!E$10</f>
        <v>5.3624999999999992E-3</v>
      </c>
      <c r="N101" s="17">
        <f>场内基金!H$12</f>
        <v>2.6899999999999997E-3</v>
      </c>
    </row>
    <row r="102" spans="1:21">
      <c r="A102" s="16">
        <v>43985</v>
      </c>
      <c r="B102" s="24">
        <f>VLOOKUP(300,'1'!$J:$K,2,FALSE)</f>
        <v>3867.0232000000001</v>
      </c>
      <c r="C102" s="25">
        <f t="shared" si="2"/>
        <v>0.95075705319338455</v>
      </c>
      <c r="D102" s="25">
        <f t="shared" si="3"/>
        <v>1.0014760162141583</v>
      </c>
      <c r="E102" s="25">
        <f t="shared" si="4"/>
        <v>1.1065955429338508</v>
      </c>
      <c r="F102" s="25">
        <f t="shared" si="5"/>
        <v>1.0716601543454063</v>
      </c>
      <c r="G102" s="25">
        <f t="shared" si="6"/>
        <v>1.0445221899751078</v>
      </c>
      <c r="I102" s="17">
        <f t="shared" si="7"/>
        <v>0</v>
      </c>
      <c r="J102" s="17">
        <f>股票!G$10</f>
        <v>1.4849999999999998E-3</v>
      </c>
      <c r="K102" s="17">
        <f>债券!K$9</f>
        <v>0</v>
      </c>
      <c r="L102" s="17">
        <f>轮动可转债!E$22</f>
        <v>6.264999999999998E-3</v>
      </c>
      <c r="M102" s="17">
        <f>场外基金!E$10</f>
        <v>5.3624999999999992E-3</v>
      </c>
      <c r="N102" s="17">
        <f>场内基金!H$12</f>
        <v>2.6899999999999997E-3</v>
      </c>
    </row>
    <row r="103" spans="1:21">
      <c r="A103" s="16">
        <v>43986</v>
      </c>
      <c r="B103" s="24">
        <f>VLOOKUP(300,'1'!$J:$K,2,FALSE)</f>
        <v>3867.0232000000001</v>
      </c>
      <c r="C103" s="25">
        <f t="shared" si="2"/>
        <v>0.95216892741737669</v>
      </c>
      <c r="D103" s="25">
        <f t="shared" si="3"/>
        <v>1.0014760162141583</v>
      </c>
      <c r="E103" s="25">
        <f t="shared" si="4"/>
        <v>1.1135283640103313</v>
      </c>
      <c r="F103" s="25">
        <f t="shared" si="5"/>
        <v>1.0774069319230835</v>
      </c>
      <c r="G103" s="25">
        <f t="shared" si="6"/>
        <v>1.047331954666141</v>
      </c>
      <c r="I103" s="17">
        <f t="shared" si="7"/>
        <v>0</v>
      </c>
      <c r="J103" s="17">
        <f>股票!G$10</f>
        <v>1.4849999999999998E-3</v>
      </c>
      <c r="K103" s="17">
        <f>债券!K$9</f>
        <v>0</v>
      </c>
      <c r="L103" s="17">
        <f>轮动可转债!E$22</f>
        <v>6.264999999999998E-3</v>
      </c>
      <c r="M103" s="17">
        <f>场外基金!E$10</f>
        <v>5.3624999999999992E-3</v>
      </c>
      <c r="N103" s="17">
        <f>场内基金!H$12</f>
        <v>2.6899999999999997E-3</v>
      </c>
    </row>
    <row r="104" spans="1:21">
      <c r="A104" s="16">
        <v>43987</v>
      </c>
      <c r="B104" s="24">
        <f>VLOOKUP(300,'1'!$J:$K,2,FALSE)</f>
        <v>3867.0232000000001</v>
      </c>
      <c r="C104" s="25">
        <f t="shared" si="2"/>
        <v>0.95358289827459142</v>
      </c>
      <c r="D104" s="25">
        <f t="shared" si="3"/>
        <v>1.0014760162141583</v>
      </c>
      <c r="E104" s="25">
        <f t="shared" si="4"/>
        <v>1.1205046192108559</v>
      </c>
      <c r="F104" s="25">
        <f t="shared" si="5"/>
        <v>1.0831845265955209</v>
      </c>
      <c r="G104" s="25">
        <f t="shared" si="6"/>
        <v>1.050149277624193</v>
      </c>
      <c r="I104" s="17">
        <f t="shared" si="7"/>
        <v>0</v>
      </c>
      <c r="J104" s="17">
        <f>股票!G$10</f>
        <v>1.4849999999999998E-3</v>
      </c>
      <c r="K104" s="17">
        <f>债券!K$9</f>
        <v>0</v>
      </c>
      <c r="L104" s="17">
        <f>轮动可转债!E$22</f>
        <v>6.264999999999998E-3</v>
      </c>
      <c r="M104" s="17">
        <f>场外基金!E$10</f>
        <v>5.3624999999999992E-3</v>
      </c>
      <c r="N104" s="17">
        <f>场内基金!H$12</f>
        <v>2.6899999999999997E-3</v>
      </c>
    </row>
    <row r="105" spans="1:21">
      <c r="B105" s="24">
        <f>VLOOKUP(300,'1'!$J:$K,2,FALSE)</f>
        <v>3867.0232000000001</v>
      </c>
      <c r="C105" s="25">
        <f t="shared" si="2"/>
        <v>0.9549989688785292</v>
      </c>
      <c r="D105" s="25">
        <f t="shared" si="3"/>
        <v>1.0014760162141583</v>
      </c>
      <c r="E105" s="25">
        <f t="shared" si="4"/>
        <v>1.1275245806502119</v>
      </c>
      <c r="F105" s="25">
        <f t="shared" si="5"/>
        <v>1.0889931036193894</v>
      </c>
      <c r="G105" s="25">
        <f t="shared" si="6"/>
        <v>1.0529741791810021</v>
      </c>
      <c r="I105" s="17">
        <f t="shared" si="7"/>
        <v>0</v>
      </c>
      <c r="J105" s="17">
        <f>股票!G$10</f>
        <v>1.4849999999999998E-3</v>
      </c>
      <c r="K105" s="17">
        <f>债券!K$9</f>
        <v>0</v>
      </c>
      <c r="L105" s="17">
        <f>轮动可转债!E$22</f>
        <v>6.264999999999998E-3</v>
      </c>
      <c r="M105" s="17">
        <f>场外基金!E$10</f>
        <v>5.3624999999999992E-3</v>
      </c>
      <c r="N105" s="17">
        <f>场内基金!H$12</f>
        <v>2.6899999999999997E-3</v>
      </c>
    </row>
    <row r="106" spans="1:21">
      <c r="B106" s="24">
        <f>VLOOKUP(300,'1'!$J:$K,2,FALSE)</f>
        <v>3867.0232000000001</v>
      </c>
      <c r="C106" s="25">
        <f t="shared" si="2"/>
        <v>0.95641714234731379</v>
      </c>
      <c r="D106" s="25">
        <f t="shared" si="3"/>
        <v>1.0014760162141583</v>
      </c>
      <c r="E106" s="25">
        <f t="shared" si="4"/>
        <v>1.1345885221479854</v>
      </c>
      <c r="F106" s="25">
        <f t="shared" si="5"/>
        <v>1.0948328291375482</v>
      </c>
      <c r="G106" s="25">
        <f t="shared" si="6"/>
        <v>1.055806679722999</v>
      </c>
      <c r="I106" s="17">
        <f t="shared" si="7"/>
        <v>0</v>
      </c>
      <c r="J106" s="17">
        <f>股票!G$10</f>
        <v>1.4849999999999998E-3</v>
      </c>
      <c r="K106" s="17">
        <f>债券!K$9</f>
        <v>0</v>
      </c>
      <c r="L106" s="17">
        <f>轮动可转债!E$22</f>
        <v>6.264999999999998E-3</v>
      </c>
      <c r="M106" s="17">
        <f>场外基金!E$10</f>
        <v>5.3624999999999992E-3</v>
      </c>
      <c r="N106" s="17">
        <f>场内基金!H$12</f>
        <v>2.6899999999999997E-3</v>
      </c>
    </row>
    <row r="107" spans="1:21">
      <c r="B107" s="24"/>
      <c r="M107" s="17"/>
      <c r="N107" s="17"/>
    </row>
    <row r="108" spans="1:21">
      <c r="B108" s="24"/>
      <c r="M108" s="17"/>
      <c r="N108" s="17"/>
    </row>
    <row r="109" spans="1:21">
      <c r="B109" s="24"/>
      <c r="M109" s="17"/>
      <c r="N109" s="17"/>
    </row>
    <row r="110" spans="1:21">
      <c r="B110" s="24"/>
      <c r="M110" s="17"/>
      <c r="N110" s="17"/>
    </row>
    <row r="111" spans="1:21">
      <c r="B111" s="24"/>
      <c r="M111" s="17"/>
      <c r="N111" s="17"/>
    </row>
    <row r="112" spans="1:21">
      <c r="B112" s="24"/>
      <c r="M112" s="17"/>
      <c r="N112" s="17"/>
    </row>
    <row r="113" spans="2:20">
      <c r="B113" s="24"/>
      <c r="M113" s="17"/>
      <c r="N113" s="17"/>
    </row>
    <row r="114" spans="2:20">
      <c r="B114" s="24"/>
      <c r="M114" s="17"/>
      <c r="N114" s="17"/>
    </row>
    <row r="115" spans="2:20">
      <c r="B115" s="24"/>
      <c r="M115" s="17"/>
      <c r="N115" s="17"/>
      <c r="P115" s="24"/>
      <c r="Q115" s="24"/>
      <c r="R115" s="24"/>
      <c r="S115" s="24"/>
      <c r="T115" s="24"/>
    </row>
    <row r="116" spans="2:20">
      <c r="B116" s="24"/>
      <c r="M116" s="17"/>
      <c r="N116" s="17"/>
      <c r="P116" s="31"/>
      <c r="Q116" s="24"/>
      <c r="R116" s="24"/>
      <c r="S116" s="24"/>
      <c r="T116" s="24"/>
    </row>
    <row r="117" spans="2:20">
      <c r="B117" s="24"/>
      <c r="M117" s="17"/>
      <c r="N117" s="17"/>
      <c r="P117" s="24"/>
      <c r="Q117" s="24"/>
      <c r="R117" s="24"/>
      <c r="S117" s="24"/>
      <c r="T117" s="24"/>
    </row>
    <row r="118" spans="2:20">
      <c r="B118" s="24"/>
      <c r="M118" s="17"/>
      <c r="N118" s="17"/>
      <c r="P118" s="24"/>
      <c r="Q118" s="24"/>
      <c r="R118" s="24"/>
      <c r="S118" s="24"/>
      <c r="T118" s="24"/>
    </row>
    <row r="119" spans="2:20">
      <c r="B119" s="24"/>
      <c r="M119" s="17"/>
      <c r="N119" s="17"/>
      <c r="P119" s="24"/>
      <c r="Q119" s="24"/>
      <c r="R119" s="24"/>
      <c r="S119" s="24"/>
      <c r="T119" s="24"/>
    </row>
    <row r="120" spans="2:20">
      <c r="B120" s="24"/>
      <c r="M120" s="17"/>
      <c r="N120" s="17"/>
      <c r="P120" s="24"/>
      <c r="Q120" s="24"/>
      <c r="R120" s="24"/>
      <c r="S120" s="24"/>
      <c r="T120" s="24"/>
    </row>
    <row r="121" spans="2:20">
      <c r="B121" s="24"/>
      <c r="M121" s="17"/>
      <c r="N121" s="17"/>
      <c r="P121" s="24"/>
      <c r="Q121" s="24"/>
      <c r="R121" s="24"/>
      <c r="S121" s="24"/>
      <c r="T121" s="24"/>
    </row>
    <row r="122" spans="2:20">
      <c r="B122" s="24"/>
      <c r="M122" s="17"/>
      <c r="N122" s="17"/>
      <c r="P122" s="24"/>
      <c r="Q122" s="24"/>
      <c r="R122" s="24"/>
      <c r="S122" s="24"/>
      <c r="T122" s="24"/>
    </row>
    <row r="123" spans="2:20">
      <c r="B123" s="24"/>
      <c r="M123" s="17"/>
      <c r="N123" s="17"/>
      <c r="P123" s="24"/>
      <c r="Q123" s="24"/>
      <c r="R123" s="24"/>
      <c r="S123" s="24"/>
      <c r="T123" s="24"/>
    </row>
    <row r="124" spans="2:20">
      <c r="B124" s="24"/>
      <c r="M124" s="17"/>
      <c r="N124" s="17"/>
      <c r="P124" s="24"/>
      <c r="Q124" s="24"/>
      <c r="R124" s="24"/>
      <c r="S124" s="24"/>
      <c r="T124" s="24"/>
    </row>
    <row r="125" spans="2:20">
      <c r="B125" s="24"/>
      <c r="M125" s="17"/>
      <c r="N125" s="17"/>
      <c r="P125" s="24"/>
      <c r="Q125" s="24"/>
      <c r="R125" s="24"/>
      <c r="S125" s="24"/>
      <c r="T125" s="24"/>
    </row>
    <row r="126" spans="2:20">
      <c r="B126" s="24"/>
      <c r="M126" s="17"/>
      <c r="N126" s="17"/>
      <c r="P126" s="24"/>
      <c r="Q126" s="24"/>
      <c r="R126" s="24"/>
      <c r="S126" s="24"/>
      <c r="T126" s="24"/>
    </row>
    <row r="127" spans="2:20">
      <c r="B127" s="24"/>
      <c r="M127" s="17"/>
      <c r="N127" s="17"/>
      <c r="P127" s="24"/>
      <c r="Q127" s="24"/>
      <c r="R127" s="24"/>
      <c r="S127" s="24"/>
      <c r="T127" s="24"/>
    </row>
    <row r="128" spans="2:20">
      <c r="B128" s="24"/>
      <c r="M128" s="17"/>
      <c r="N128" s="17"/>
      <c r="P128" s="24"/>
      <c r="Q128" s="24"/>
      <c r="R128" s="24"/>
      <c r="S128" s="24"/>
      <c r="T128" s="24"/>
    </row>
    <row r="129" spans="2:20">
      <c r="B129" s="24"/>
      <c r="M129" s="17"/>
      <c r="N129" s="17"/>
      <c r="P129" s="24"/>
      <c r="Q129" s="24"/>
      <c r="R129" s="24"/>
      <c r="S129" s="24"/>
      <c r="T129" s="24"/>
    </row>
    <row r="130" spans="2:20">
      <c r="B130" s="24"/>
      <c r="M130" s="17"/>
      <c r="N130" s="17"/>
      <c r="P130" s="24"/>
      <c r="Q130" s="24"/>
      <c r="R130" s="24"/>
      <c r="S130" s="24"/>
      <c r="T130" s="24"/>
    </row>
    <row r="131" spans="2:20">
      <c r="B131" s="24"/>
      <c r="M131" s="17"/>
      <c r="N131" s="17"/>
      <c r="P131" s="17"/>
      <c r="Q131" s="24"/>
      <c r="R131" s="24"/>
      <c r="S131" s="24"/>
      <c r="T131" s="24"/>
    </row>
    <row r="132" spans="2:20">
      <c r="B132" s="24"/>
      <c r="M132" s="17"/>
      <c r="N132" s="17"/>
      <c r="P132" s="17"/>
      <c r="Q132" s="24"/>
      <c r="R132" s="24"/>
      <c r="S132" s="24"/>
      <c r="T132" s="24"/>
    </row>
    <row r="133" spans="2:20">
      <c r="B133" s="24"/>
      <c r="M133" s="17"/>
      <c r="N133" s="17"/>
      <c r="P133" s="17"/>
      <c r="Q133" s="24"/>
      <c r="R133" s="24"/>
      <c r="S133" s="24"/>
      <c r="T133" s="24"/>
    </row>
    <row r="134" spans="2:20">
      <c r="B134" s="24"/>
      <c r="M134" s="17"/>
      <c r="N134" s="17"/>
      <c r="P134" s="17"/>
      <c r="Q134" s="24"/>
      <c r="R134" s="24"/>
      <c r="S134" s="24"/>
      <c r="T134" s="24"/>
    </row>
    <row r="135" spans="2:20">
      <c r="B135" s="24"/>
      <c r="M135" s="17"/>
      <c r="N135" s="17"/>
      <c r="P135" s="17"/>
      <c r="Q135" s="24"/>
      <c r="R135" s="24"/>
      <c r="S135" s="24"/>
      <c r="T135" s="24"/>
    </row>
    <row r="136" spans="2:20">
      <c r="B136" s="24"/>
      <c r="M136" s="17"/>
      <c r="N136" s="17"/>
      <c r="P136" s="17"/>
      <c r="Q136" s="24"/>
      <c r="R136" s="24"/>
      <c r="S136" s="24"/>
      <c r="T136" s="24"/>
    </row>
    <row r="137" spans="2:20">
      <c r="B137" s="24"/>
      <c r="M137" s="17"/>
      <c r="N137" s="17"/>
      <c r="P137" s="17"/>
      <c r="Q137" s="24"/>
      <c r="R137" s="24"/>
      <c r="S137" s="24"/>
      <c r="T137" s="24"/>
    </row>
    <row r="138" spans="2:20">
      <c r="B138" s="24"/>
      <c r="M138" s="17"/>
      <c r="N138" s="17"/>
      <c r="P138" s="17"/>
      <c r="Q138" s="24"/>
      <c r="R138" s="24"/>
      <c r="S138" s="24"/>
      <c r="T138" s="24"/>
    </row>
    <row r="139" spans="2:20">
      <c r="B139" s="24"/>
      <c r="M139" s="17"/>
      <c r="N139" s="17"/>
      <c r="P139" s="17"/>
      <c r="Q139" s="24"/>
      <c r="R139" s="24"/>
      <c r="S139" s="24"/>
      <c r="T139" s="24"/>
    </row>
    <row r="140" spans="2:20">
      <c r="B140" s="24"/>
      <c r="M140" s="17"/>
      <c r="N140" s="17"/>
      <c r="P140" s="17"/>
    </row>
    <row r="141" spans="2:20">
      <c r="B141" s="24"/>
      <c r="M141" s="17"/>
      <c r="N141" s="17"/>
      <c r="P141" s="17"/>
    </row>
    <row r="142" spans="2:20">
      <c r="B142" s="24"/>
      <c r="M142" s="17"/>
      <c r="N142" s="17"/>
      <c r="P142" s="17"/>
    </row>
    <row r="143" spans="2:20">
      <c r="B143" s="24"/>
      <c r="M143" s="17"/>
      <c r="N143" s="17"/>
      <c r="P143" s="17"/>
    </row>
    <row r="144" spans="2:20">
      <c r="B144" s="24"/>
      <c r="M144" s="17"/>
      <c r="N144" s="17"/>
      <c r="P144" s="17"/>
    </row>
    <row r="145" spans="2:16">
      <c r="B145" s="24"/>
      <c r="M145" s="17"/>
      <c r="N145" s="17"/>
      <c r="P145" s="17"/>
    </row>
    <row r="146" spans="2:16">
      <c r="B146" s="24"/>
      <c r="M146" s="17"/>
      <c r="N146" s="17"/>
      <c r="P146" s="17"/>
    </row>
    <row r="147" spans="2:16">
      <c r="B147" s="24"/>
      <c r="M147" s="17"/>
      <c r="N147" s="17"/>
      <c r="P147" s="17"/>
    </row>
    <row r="148" spans="2:16">
      <c r="B148" s="24"/>
      <c r="M148" s="17"/>
      <c r="N148" s="17"/>
      <c r="P148" s="17"/>
    </row>
    <row r="149" spans="2:16">
      <c r="B149" s="24"/>
      <c r="M149" s="17"/>
      <c r="N149" s="17"/>
      <c r="P149" s="17"/>
    </row>
    <row r="150" spans="2:16">
      <c r="B150" s="24"/>
      <c r="M150" s="17"/>
      <c r="N150" s="17"/>
      <c r="P150" s="17"/>
    </row>
    <row r="151" spans="2:16">
      <c r="B151" s="24"/>
      <c r="M151" s="17"/>
      <c r="N151" s="17"/>
      <c r="P151" s="17"/>
    </row>
    <row r="152" spans="2:16">
      <c r="B152" s="24"/>
      <c r="M152" s="17"/>
      <c r="N152" s="17"/>
      <c r="P152" s="17"/>
    </row>
    <row r="153" spans="2:16">
      <c r="B153" s="24"/>
      <c r="M153" s="17"/>
      <c r="N153" s="17"/>
      <c r="P153" s="17"/>
    </row>
    <row r="154" spans="2:16">
      <c r="B154" s="24"/>
      <c r="M154" s="17"/>
      <c r="N154" s="17"/>
      <c r="P154" s="17"/>
    </row>
    <row r="155" spans="2:16">
      <c r="B155" s="24"/>
      <c r="M155" s="17"/>
      <c r="N155" s="17"/>
      <c r="P155" s="17"/>
    </row>
    <row r="156" spans="2:16">
      <c r="B156" s="24"/>
      <c r="M156" s="17"/>
      <c r="N156" s="17"/>
      <c r="P156" s="17"/>
    </row>
    <row r="157" spans="2:16">
      <c r="B157" s="24"/>
      <c r="M157" s="17"/>
      <c r="N157" s="17"/>
      <c r="P157" s="17"/>
    </row>
    <row r="158" spans="2:16">
      <c r="B158" s="24"/>
      <c r="M158" s="17"/>
      <c r="N158" s="17"/>
      <c r="P158" s="17"/>
    </row>
    <row r="159" spans="2:16">
      <c r="B159" s="24"/>
      <c r="M159" s="17"/>
      <c r="N159" s="17"/>
      <c r="P159" s="17"/>
    </row>
    <row r="160" spans="2:16">
      <c r="B160" s="24"/>
      <c r="M160" s="17"/>
      <c r="N160" s="17"/>
      <c r="P160" s="17"/>
    </row>
    <row r="161" spans="2:16">
      <c r="B161" s="24"/>
      <c r="M161" s="17"/>
      <c r="N161" s="17"/>
      <c r="P161" s="17"/>
    </row>
    <row r="162" spans="2:16">
      <c r="B162" s="24"/>
      <c r="M162" s="17"/>
      <c r="N162" s="17"/>
      <c r="P162" s="17"/>
    </row>
    <row r="163" spans="2:16">
      <c r="B163" s="24"/>
      <c r="M163" s="17"/>
      <c r="N163" s="17"/>
      <c r="P163" s="17"/>
    </row>
    <row r="164" spans="2:16">
      <c r="B164" s="24"/>
      <c r="M164" s="17"/>
      <c r="N164" s="17"/>
      <c r="P164" s="17"/>
    </row>
    <row r="165" spans="2:16">
      <c r="B165" s="24"/>
      <c r="M165" s="17"/>
      <c r="N165" s="17"/>
      <c r="P165" s="17"/>
    </row>
    <row r="166" spans="2:16">
      <c r="B166" s="24"/>
      <c r="M166" s="17"/>
      <c r="N166" s="17"/>
      <c r="P166" s="17"/>
    </row>
    <row r="167" spans="2:16">
      <c r="B167" s="24"/>
      <c r="M167" s="17"/>
      <c r="N167" s="17"/>
      <c r="P167" s="17"/>
    </row>
    <row r="168" spans="2:16">
      <c r="B168" s="24"/>
      <c r="M168" s="17"/>
      <c r="N168" s="17"/>
      <c r="P168" s="17"/>
    </row>
    <row r="169" spans="2:16">
      <c r="B169" s="24"/>
      <c r="M169" s="17"/>
      <c r="N169" s="17"/>
      <c r="P169" s="17"/>
    </row>
    <row r="170" spans="2:16">
      <c r="B170" s="24"/>
      <c r="M170" s="17"/>
      <c r="N170" s="17"/>
      <c r="P170" s="17"/>
    </row>
    <row r="171" spans="2:16">
      <c r="B171" s="24"/>
      <c r="M171" s="17"/>
      <c r="N171" s="17"/>
      <c r="P171" s="17"/>
    </row>
    <row r="172" spans="2:16">
      <c r="B172" s="24"/>
      <c r="M172" s="17"/>
      <c r="N172" s="17"/>
      <c r="P172" s="17"/>
    </row>
    <row r="173" spans="2:16">
      <c r="B173" s="24"/>
      <c r="M173" s="17"/>
      <c r="N173" s="17"/>
      <c r="P173" s="17"/>
    </row>
    <row r="174" spans="2:16">
      <c r="B174" s="24"/>
      <c r="M174" s="17"/>
      <c r="N174" s="17"/>
      <c r="P174" s="17"/>
    </row>
    <row r="175" spans="2:16">
      <c r="B175" s="24"/>
      <c r="M175" s="17"/>
      <c r="N175" s="17"/>
      <c r="P175" s="17"/>
    </row>
    <row r="176" spans="2:16">
      <c r="B176" s="24"/>
      <c r="M176" s="17"/>
      <c r="N176" s="17"/>
      <c r="P176" s="17"/>
    </row>
    <row r="177" spans="2:16">
      <c r="B177" s="24"/>
      <c r="M177" s="17"/>
      <c r="N177" s="17"/>
      <c r="P177" s="17"/>
    </row>
    <row r="178" spans="2:16">
      <c r="B178" s="24"/>
      <c r="M178" s="17"/>
      <c r="N178" s="17"/>
      <c r="P178" s="17"/>
    </row>
    <row r="179" spans="2:16">
      <c r="B179" s="24"/>
      <c r="M179" s="17"/>
      <c r="N179" s="17"/>
      <c r="P179" s="17"/>
    </row>
    <row r="180" spans="2:16">
      <c r="B180" s="24"/>
      <c r="M180" s="17"/>
      <c r="N180" s="17"/>
      <c r="P180" s="17"/>
    </row>
    <row r="181" spans="2:16">
      <c r="B181" s="24"/>
      <c r="M181" s="17"/>
      <c r="N181" s="17"/>
      <c r="P181" s="17"/>
    </row>
    <row r="182" spans="2:16">
      <c r="B182" s="24"/>
      <c r="M182" s="17"/>
      <c r="N182" s="17"/>
      <c r="P182" s="17"/>
    </row>
    <row r="183" spans="2:16">
      <c r="B183" s="24"/>
      <c r="M183" s="17"/>
      <c r="N183" s="17"/>
      <c r="P183" s="17"/>
    </row>
    <row r="184" spans="2:16">
      <c r="B184" s="24"/>
      <c r="M184" s="17"/>
      <c r="N184" s="17"/>
      <c r="P184" s="17"/>
    </row>
    <row r="185" spans="2:16">
      <c r="B185" s="24"/>
      <c r="M185" s="17"/>
      <c r="N185" s="17"/>
      <c r="P185" s="17"/>
    </row>
    <row r="186" spans="2:16">
      <c r="B186" s="24"/>
      <c r="M186" s="17"/>
      <c r="N186" s="17"/>
      <c r="P186" s="17"/>
    </row>
    <row r="187" spans="2:16">
      <c r="B187" s="24"/>
      <c r="M187" s="17"/>
      <c r="N187" s="17"/>
      <c r="P187" s="17"/>
    </row>
    <row r="188" spans="2:16">
      <c r="B188" s="24"/>
      <c r="M188" s="17"/>
      <c r="N188" s="17"/>
      <c r="P188" s="17"/>
    </row>
    <row r="189" spans="2:16">
      <c r="B189" s="24"/>
      <c r="M189" s="17"/>
      <c r="N189" s="17"/>
      <c r="P189" s="17"/>
    </row>
    <row r="190" spans="2:16">
      <c r="B190" s="24"/>
      <c r="M190" s="17"/>
      <c r="N190" s="17"/>
      <c r="P190" s="17"/>
    </row>
    <row r="191" spans="2:16">
      <c r="B191" s="24"/>
      <c r="M191" s="17"/>
      <c r="N191" s="17"/>
      <c r="P191" s="17"/>
    </row>
    <row r="192" spans="2:16">
      <c r="B192" s="24"/>
      <c r="M192" s="17"/>
      <c r="N192" s="17"/>
      <c r="P192" s="17"/>
    </row>
    <row r="193" spans="2:16">
      <c r="B193" s="24"/>
      <c r="M193" s="17"/>
      <c r="N193" s="17"/>
      <c r="P193" s="17"/>
    </row>
    <row r="194" spans="2:16">
      <c r="B194" s="24"/>
      <c r="M194" s="17"/>
      <c r="N194" s="17"/>
      <c r="P194" s="17"/>
    </row>
    <row r="195" spans="2:16">
      <c r="B195" s="24"/>
      <c r="M195" s="17"/>
      <c r="N195" s="17"/>
      <c r="P195" s="17"/>
    </row>
    <row r="196" spans="2:16">
      <c r="B196" s="24"/>
      <c r="M196" s="17"/>
      <c r="N196" s="17"/>
      <c r="P196" s="17"/>
    </row>
    <row r="197" spans="2:16">
      <c r="B197" s="24"/>
      <c r="M197" s="17"/>
      <c r="N197" s="17"/>
      <c r="P197" s="17"/>
    </row>
    <row r="198" spans="2:16">
      <c r="B198" s="24"/>
      <c r="M198" s="17"/>
      <c r="N198" s="17"/>
      <c r="P198" s="17"/>
    </row>
    <row r="199" spans="2:16">
      <c r="B199" s="24"/>
      <c r="M199" s="17"/>
      <c r="N199" s="17"/>
      <c r="P199" s="43"/>
    </row>
    <row r="200" spans="2:16">
      <c r="B200" s="24"/>
      <c r="M200" s="17"/>
      <c r="N200" s="17"/>
      <c r="P200" s="43"/>
    </row>
    <row r="201" spans="2:16">
      <c r="B201" s="24"/>
      <c r="M201" s="17"/>
      <c r="N201" s="17"/>
      <c r="P201" s="43"/>
    </row>
    <row r="202" spans="2:16">
      <c r="B202" s="24"/>
      <c r="M202" s="17"/>
      <c r="N202" s="17"/>
      <c r="P202" s="43"/>
    </row>
    <row r="203" spans="2:16">
      <c r="B203" s="24"/>
      <c r="M203" s="17"/>
      <c r="N203" s="17"/>
      <c r="P203" s="43"/>
    </row>
    <row r="204" spans="2:16">
      <c r="B204" s="24"/>
      <c r="M204" s="17"/>
      <c r="N204" s="17"/>
      <c r="P204" s="43"/>
    </row>
    <row r="205" spans="2:16">
      <c r="B205" s="24"/>
      <c r="M205" s="17"/>
      <c r="N205" s="17"/>
      <c r="P205" s="43"/>
    </row>
    <row r="206" spans="2:16">
      <c r="B206" s="24"/>
      <c r="M206" s="17"/>
      <c r="N206" s="17"/>
      <c r="P206" s="43"/>
    </row>
    <row r="207" spans="2:16">
      <c r="B207" s="24"/>
      <c r="M207" s="17"/>
      <c r="N207" s="17"/>
      <c r="P207" s="43"/>
    </row>
    <row r="208" spans="2:16">
      <c r="B208" s="24"/>
      <c r="M208" s="17"/>
      <c r="N208" s="17"/>
      <c r="P208" s="43"/>
    </row>
    <row r="209" spans="2:16">
      <c r="B209" s="24"/>
      <c r="M209" s="17"/>
      <c r="N209" s="17"/>
      <c r="P209" s="43"/>
    </row>
    <row r="210" spans="2:16">
      <c r="B210" s="24"/>
      <c r="M210" s="17"/>
      <c r="N210" s="17"/>
      <c r="P210" s="43"/>
    </row>
    <row r="211" spans="2:16">
      <c r="B211" s="24"/>
      <c r="M211" s="17"/>
      <c r="N211" s="17"/>
      <c r="P211" s="43"/>
    </row>
    <row r="212" spans="2:16">
      <c r="B212" s="24"/>
      <c r="M212" s="17"/>
      <c r="N212" s="17"/>
      <c r="P212" s="17"/>
    </row>
    <row r="213" spans="2:16">
      <c r="B213" s="24"/>
      <c r="M213" s="17"/>
      <c r="N213" s="17"/>
      <c r="P213" s="17"/>
    </row>
    <row r="214" spans="2:16">
      <c r="B214" s="24"/>
      <c r="M214" s="17"/>
      <c r="N214" s="17"/>
    </row>
    <row r="215" spans="2:16">
      <c r="B215" s="24"/>
      <c r="M215" s="17"/>
      <c r="N215" s="17"/>
    </row>
    <row r="216" spans="2:16">
      <c r="B216" s="24"/>
      <c r="M216" s="17"/>
      <c r="N216" s="17"/>
    </row>
    <row r="217" spans="2:16">
      <c r="B217" s="24"/>
      <c r="M217" s="17"/>
      <c r="N217" s="17"/>
    </row>
    <row r="218" spans="2:16">
      <c r="B218" s="24"/>
      <c r="M218" s="17"/>
      <c r="N218" s="17"/>
    </row>
    <row r="219" spans="2:16">
      <c r="B219" s="24"/>
      <c r="M219" s="17"/>
      <c r="N219" s="17"/>
    </row>
    <row r="220" spans="2:16">
      <c r="B220" s="24"/>
      <c r="M220" s="17"/>
      <c r="N220" s="17"/>
    </row>
    <row r="221" spans="2:16">
      <c r="B221" s="24"/>
      <c r="M221" s="17"/>
      <c r="N221" s="17"/>
    </row>
    <row r="222" spans="2:16">
      <c r="B222" s="24"/>
      <c r="M222" s="17"/>
      <c r="N222" s="17"/>
    </row>
    <row r="223" spans="2:16">
      <c r="B223" s="24"/>
      <c r="M223" s="17"/>
      <c r="N223" s="17"/>
    </row>
    <row r="224" spans="2:16">
      <c r="B224" s="24"/>
      <c r="M224" s="17"/>
      <c r="N224" s="17"/>
    </row>
    <row r="225" spans="2:14">
      <c r="B225" s="24"/>
      <c r="M225" s="17"/>
      <c r="N225" s="17"/>
    </row>
    <row r="226" spans="2:14">
      <c r="B226" s="24"/>
      <c r="M226" s="17"/>
      <c r="N226" s="17"/>
    </row>
    <row r="227" spans="2:14">
      <c r="B227" s="24"/>
      <c r="M227" s="17"/>
      <c r="N227" s="17"/>
    </row>
    <row r="228" spans="2:14">
      <c r="B228" s="24"/>
      <c r="M228" s="17"/>
      <c r="N228" s="17"/>
    </row>
    <row r="229" spans="2:14">
      <c r="B229" s="24"/>
      <c r="M229" s="17"/>
      <c r="N229" s="17"/>
    </row>
    <row r="230" spans="2:14">
      <c r="B230" s="24"/>
      <c r="M230" s="17"/>
      <c r="N230" s="17"/>
    </row>
    <row r="231" spans="2:14">
      <c r="B231" s="24"/>
      <c r="M231" s="17"/>
      <c r="N231" s="17"/>
    </row>
    <row r="232" spans="2:14">
      <c r="B232" s="24"/>
      <c r="M232" s="17"/>
      <c r="N232" s="17"/>
    </row>
    <row r="233" spans="2:14">
      <c r="B233" s="24"/>
      <c r="M233" s="17"/>
      <c r="N233" s="17"/>
    </row>
    <row r="234" spans="2:14">
      <c r="B234" s="24"/>
      <c r="M234" s="17"/>
      <c r="N234" s="17"/>
    </row>
    <row r="235" spans="2:14">
      <c r="B235" s="24"/>
      <c r="M235" s="17"/>
      <c r="N235" s="17"/>
    </row>
    <row r="236" spans="2:14">
      <c r="B236" s="24"/>
      <c r="M236" s="17"/>
      <c r="N236" s="17"/>
    </row>
    <row r="237" spans="2:14">
      <c r="B237" s="24"/>
      <c r="M237" s="17"/>
      <c r="N237" s="17"/>
    </row>
    <row r="238" spans="2:14">
      <c r="B238" s="24"/>
      <c r="M238" s="17"/>
      <c r="N238" s="17"/>
    </row>
    <row r="239" spans="2:14">
      <c r="B239" s="24"/>
      <c r="M239" s="17"/>
      <c r="N239" s="17"/>
    </row>
    <row r="240" spans="2:14">
      <c r="B240" s="24"/>
      <c r="M240" s="17"/>
      <c r="N240" s="17"/>
    </row>
    <row r="241" spans="2:16">
      <c r="B241" s="24"/>
      <c r="M241" s="17"/>
      <c r="N241" s="17"/>
      <c r="P241" s="17"/>
    </row>
    <row r="242" spans="2:16">
      <c r="B242" s="24"/>
      <c r="M242" s="17"/>
      <c r="N242" s="17"/>
      <c r="P242" s="17"/>
    </row>
    <row r="243" spans="2:16">
      <c r="B243" s="24"/>
      <c r="M243" s="17"/>
      <c r="N243" s="17"/>
    </row>
    <row r="244" spans="2:16">
      <c r="B244" s="24"/>
      <c r="M244" s="17"/>
      <c r="N244" s="17"/>
    </row>
    <row r="245" spans="2:16">
      <c r="B245" s="24"/>
      <c r="M245" s="17"/>
      <c r="N245" s="17"/>
    </row>
    <row r="246" spans="2:16">
      <c r="B246" s="24"/>
      <c r="M246" s="17"/>
      <c r="N246" s="17"/>
    </row>
    <row r="247" spans="2:16">
      <c r="B247" s="24"/>
      <c r="M247" s="17"/>
      <c r="N247" s="17"/>
    </row>
    <row r="248" spans="2:16">
      <c r="B248" s="24"/>
      <c r="M248" s="17"/>
      <c r="N248" s="17"/>
    </row>
    <row r="249" spans="2:16">
      <c r="B249" s="24"/>
      <c r="M249" s="17"/>
      <c r="N249" s="17"/>
    </row>
    <row r="250" spans="2:16">
      <c r="B250" s="24"/>
      <c r="M250" s="17"/>
      <c r="N250" s="17"/>
    </row>
    <row r="251" spans="2:16">
      <c r="B251" s="24"/>
      <c r="M251" s="17"/>
      <c r="N251" s="17"/>
    </row>
    <row r="252" spans="2:16">
      <c r="B252" s="24"/>
      <c r="M252" s="17"/>
      <c r="N252" s="17"/>
    </row>
    <row r="253" spans="2:16">
      <c r="B253" s="24"/>
      <c r="M253" s="17"/>
      <c r="N253" s="17"/>
    </row>
    <row r="254" spans="2:16">
      <c r="B254" s="24"/>
      <c r="M254" s="17"/>
      <c r="N254" s="17"/>
    </row>
    <row r="255" spans="2:16">
      <c r="B255" s="24"/>
      <c r="M255" s="17"/>
      <c r="N255" s="17"/>
    </row>
    <row r="256" spans="2:16">
      <c r="B256" s="24"/>
      <c r="M256" s="17"/>
      <c r="N256" s="17"/>
    </row>
    <row r="257" spans="2:14">
      <c r="B257" s="24"/>
      <c r="M257" s="17"/>
      <c r="N257" s="17"/>
    </row>
    <row r="258" spans="2:14">
      <c r="B258" s="24"/>
      <c r="M258" s="17"/>
      <c r="N258" s="17"/>
    </row>
    <row r="259" spans="2:14">
      <c r="B259" s="24"/>
      <c r="M259" s="17"/>
      <c r="N259" s="17"/>
    </row>
    <row r="260" spans="2:14">
      <c r="B260" s="24"/>
      <c r="M260" s="17"/>
      <c r="N260" s="17"/>
    </row>
    <row r="261" spans="2:14">
      <c r="B261" s="24"/>
      <c r="M261" s="17"/>
      <c r="N261" s="17"/>
    </row>
    <row r="262" spans="2:14">
      <c r="B262" s="24"/>
      <c r="M262" s="17"/>
      <c r="N262" s="17"/>
    </row>
    <row r="263" spans="2:14">
      <c r="B263" s="24"/>
      <c r="M263" s="17"/>
      <c r="N263" s="17"/>
    </row>
    <row r="264" spans="2:14">
      <c r="B264" s="24"/>
      <c r="M264" s="17"/>
      <c r="N264" s="17"/>
    </row>
    <row r="265" spans="2:14">
      <c r="B265" s="24"/>
      <c r="M265" s="17"/>
      <c r="N265" s="17"/>
    </row>
    <row r="266" spans="2:14">
      <c r="B266" s="24"/>
      <c r="M266" s="17"/>
      <c r="N266" s="17"/>
    </row>
    <row r="267" spans="2:14">
      <c r="B267" s="24"/>
      <c r="M267" s="17"/>
      <c r="N267" s="17"/>
    </row>
    <row r="268" spans="2:14">
      <c r="B268" s="24"/>
      <c r="M268" s="17"/>
      <c r="N268" s="17"/>
    </row>
    <row r="269" spans="2:14">
      <c r="B269" s="24"/>
      <c r="M269" s="17"/>
      <c r="N269" s="17"/>
    </row>
    <row r="270" spans="2:14">
      <c r="B270" s="24"/>
      <c r="M270" s="17"/>
      <c r="N270" s="17"/>
    </row>
    <row r="271" spans="2:14">
      <c r="B271" s="24"/>
      <c r="M271" s="17"/>
      <c r="N271" s="17"/>
    </row>
    <row r="272" spans="2:14">
      <c r="B272" s="24"/>
      <c r="M272" s="17"/>
      <c r="N272" s="17"/>
    </row>
    <row r="273" spans="2:17">
      <c r="B273" s="24"/>
      <c r="M273" s="17"/>
      <c r="N273" s="17"/>
    </row>
    <row r="274" spans="2:17">
      <c r="B274" s="24"/>
      <c r="M274" s="17"/>
      <c r="N274" s="17"/>
    </row>
    <row r="275" spans="2:17">
      <c r="B275" s="24"/>
      <c r="M275" s="17"/>
      <c r="N275" s="17"/>
      <c r="Q275">
        <f>21*8</f>
        <v>168</v>
      </c>
    </row>
    <row r="276" spans="2:17">
      <c r="B276" s="24"/>
      <c r="M276" s="17"/>
      <c r="N276" s="17"/>
    </row>
    <row r="277" spans="2:17">
      <c r="B277" s="24"/>
      <c r="M277" s="17"/>
      <c r="N277" s="17"/>
    </row>
    <row r="278" spans="2:17">
      <c r="B278" s="24"/>
      <c r="M278" s="17"/>
      <c r="N278" s="17"/>
    </row>
    <row r="279" spans="2:17">
      <c r="B279" s="24"/>
      <c r="M279" s="17"/>
      <c r="N279" s="17"/>
    </row>
    <row r="280" spans="2:17">
      <c r="B280" s="24"/>
      <c r="M280" s="17"/>
      <c r="N280" s="17"/>
    </row>
    <row r="281" spans="2:17">
      <c r="B281" s="24"/>
      <c r="M281" s="17"/>
      <c r="N281" s="17"/>
    </row>
    <row r="282" spans="2:17">
      <c r="B282" s="24"/>
      <c r="M282" s="17"/>
      <c r="N282" s="17"/>
    </row>
    <row r="283" spans="2:17">
      <c r="B283" s="24"/>
      <c r="M283" s="17"/>
      <c r="N283" s="17"/>
    </row>
    <row r="284" spans="2:17">
      <c r="B284" s="24"/>
      <c r="M284" s="17"/>
      <c r="N284" s="17"/>
    </row>
    <row r="285" spans="2:17">
      <c r="B285" s="24"/>
      <c r="M285" s="17"/>
      <c r="N285" s="17"/>
    </row>
    <row r="286" spans="2:17">
      <c r="B286" s="24"/>
      <c r="M286" s="17"/>
      <c r="N286" s="17"/>
    </row>
    <row r="287" spans="2:17">
      <c r="B287" s="24"/>
      <c r="M287" s="17"/>
      <c r="N287" s="17"/>
      <c r="O287" s="17"/>
    </row>
    <row r="288" spans="2:17">
      <c r="B288" s="24"/>
      <c r="M288" s="17"/>
      <c r="N288" s="17"/>
      <c r="O288" s="17"/>
    </row>
    <row r="289" spans="2:14">
      <c r="B289" s="24"/>
      <c r="M289" s="17"/>
      <c r="N289" s="17"/>
    </row>
    <row r="290" spans="2:14">
      <c r="B290" s="24"/>
      <c r="M290" s="17"/>
      <c r="N290" s="17"/>
    </row>
    <row r="291" spans="2:14">
      <c r="B291" s="24"/>
      <c r="M291" s="17"/>
      <c r="N291" s="17"/>
    </row>
    <row r="292" spans="2:14">
      <c r="B292" s="24"/>
      <c r="M292" s="17"/>
      <c r="N292" s="17"/>
    </row>
    <row r="293" spans="2:14">
      <c r="B293" s="24"/>
      <c r="M293" s="17"/>
      <c r="N293" s="17"/>
    </row>
    <row r="294" spans="2:14">
      <c r="B294" s="24"/>
      <c r="M294" s="17"/>
      <c r="N294" s="17"/>
    </row>
    <row r="295" spans="2:14">
      <c r="B295" s="24"/>
      <c r="M295" s="17"/>
      <c r="N295" s="17"/>
    </row>
    <row r="296" spans="2:14">
      <c r="B296" s="24"/>
      <c r="M296" s="17"/>
      <c r="N296" s="17"/>
    </row>
    <row r="297" spans="2:14">
      <c r="B297" s="24"/>
      <c r="M297" s="17"/>
      <c r="N297" s="17"/>
    </row>
    <row r="298" spans="2:14">
      <c r="B298" s="24"/>
      <c r="M298" s="17"/>
      <c r="N298" s="17"/>
    </row>
    <row r="299" spans="2:14">
      <c r="B299" s="24"/>
      <c r="M299" s="17"/>
      <c r="N299" s="17"/>
    </row>
    <row r="300" spans="2:14">
      <c r="B300" s="24"/>
      <c r="M300" s="17"/>
      <c r="N300" s="17"/>
    </row>
    <row r="301" spans="2:14">
      <c r="B301" s="24"/>
      <c r="M301" s="17"/>
      <c r="N301" s="17"/>
    </row>
    <row r="302" spans="2:14">
      <c r="B302" s="24"/>
      <c r="M302" s="17"/>
      <c r="N302" s="17"/>
    </row>
    <row r="303" spans="2:14">
      <c r="B303" s="24"/>
      <c r="M303" s="17"/>
      <c r="N303" s="17"/>
    </row>
    <row r="304" spans="2:14">
      <c r="B304" s="24"/>
      <c r="M304" s="17"/>
      <c r="N304" s="17"/>
    </row>
    <row r="305" spans="2:25">
      <c r="B305" s="24"/>
      <c r="M305" s="17"/>
      <c r="N305" s="17"/>
    </row>
    <row r="306" spans="2:25">
      <c r="B306" s="24"/>
      <c r="M306" s="17"/>
      <c r="N306" s="17"/>
      <c r="W306" s="67"/>
      <c r="X306" s="67"/>
      <c r="Y306" s="67"/>
    </row>
    <row r="307" spans="2:25">
      <c r="B307" s="24"/>
      <c r="M307" s="17"/>
      <c r="N307" s="17"/>
      <c r="W307" s="67"/>
      <c r="X307" s="67"/>
      <c r="Y307" s="67"/>
    </row>
    <row r="308" spans="2:25">
      <c r="B308" s="24"/>
      <c r="M308" s="17"/>
      <c r="N308" s="17"/>
      <c r="W308" s="67"/>
      <c r="X308" s="67"/>
      <c r="Y308" s="67"/>
    </row>
    <row r="309" spans="2:25">
      <c r="B309" s="24"/>
      <c r="M309" s="17"/>
      <c r="N309" s="17"/>
      <c r="W309" s="67"/>
      <c r="X309" s="67"/>
      <c r="Y309" s="67"/>
    </row>
    <row r="310" spans="2:25">
      <c r="B310" s="24"/>
      <c r="M310" s="17"/>
      <c r="N310" s="17"/>
      <c r="W310" s="67"/>
      <c r="X310" s="67"/>
      <c r="Y310" s="67"/>
    </row>
    <row r="311" spans="2:25">
      <c r="B311" s="24"/>
      <c r="M311" s="17"/>
      <c r="N311" s="17"/>
      <c r="W311" s="67"/>
      <c r="X311" s="67"/>
      <c r="Y311" s="67"/>
    </row>
    <row r="312" spans="2:25">
      <c r="B312" s="24"/>
      <c r="M312" s="17"/>
      <c r="N312" s="17"/>
      <c r="W312" s="67"/>
      <c r="X312" s="67"/>
      <c r="Y312" s="67"/>
    </row>
    <row r="313" spans="2:25">
      <c r="B313" s="24"/>
      <c r="M313" s="17"/>
      <c r="N313" s="17"/>
      <c r="W313" s="67"/>
      <c r="X313" s="67"/>
      <c r="Y313" s="67"/>
    </row>
    <row r="314" spans="2:25">
      <c r="B314" s="24"/>
      <c r="M314" s="17"/>
      <c r="N314" s="17"/>
      <c r="W314" s="67"/>
      <c r="X314" s="67"/>
      <c r="Y314" s="67"/>
    </row>
    <row r="315" spans="2:25">
      <c r="B315" s="24"/>
      <c r="M315" s="17"/>
      <c r="N315" s="17"/>
      <c r="W315" s="67"/>
      <c r="X315" s="67"/>
      <c r="Y315" s="67"/>
    </row>
    <row r="316" spans="2:25">
      <c r="B316" s="24"/>
      <c r="M316" s="17"/>
      <c r="N316" s="17"/>
      <c r="W316" s="67"/>
      <c r="X316" s="67"/>
      <c r="Y316" s="67"/>
    </row>
    <row r="317" spans="2:25">
      <c r="B317" s="24"/>
      <c r="M317" s="17"/>
      <c r="N317" s="17"/>
      <c r="W317" s="67"/>
      <c r="X317" s="67"/>
      <c r="Y317" s="67"/>
    </row>
    <row r="318" spans="2:25">
      <c r="B318" s="24"/>
      <c r="M318" s="17"/>
      <c r="N318" s="17"/>
      <c r="W318" s="67"/>
      <c r="X318" s="67"/>
      <c r="Y318" s="67"/>
    </row>
    <row r="319" spans="2:25">
      <c r="B319" s="24"/>
      <c r="M319" s="17"/>
      <c r="N319" s="17"/>
      <c r="W319" s="67"/>
      <c r="X319" s="67"/>
      <c r="Y319" s="67"/>
    </row>
    <row r="320" spans="2:25">
      <c r="B320" s="24"/>
      <c r="M320" s="17"/>
      <c r="N320" s="17"/>
      <c r="P320" s="67"/>
      <c r="Q320" s="67"/>
      <c r="R320" s="67"/>
      <c r="S320" s="67"/>
      <c r="T320" s="67"/>
      <c r="U320" s="67"/>
      <c r="V320" s="67"/>
      <c r="W320" s="67"/>
      <c r="X320" s="67"/>
      <c r="Y320" s="67"/>
    </row>
    <row r="321" spans="2:25">
      <c r="B321" s="24"/>
      <c r="M321" s="17"/>
      <c r="N321" s="17"/>
      <c r="P321" s="67"/>
      <c r="Q321" s="67"/>
      <c r="R321" s="67"/>
      <c r="S321" s="67"/>
      <c r="T321" s="67"/>
      <c r="U321" s="67"/>
      <c r="V321" s="67"/>
      <c r="W321" s="67"/>
      <c r="X321" s="67"/>
      <c r="Y321" s="67"/>
    </row>
    <row r="322" spans="2:25">
      <c r="B322" s="24"/>
      <c r="M322" s="17"/>
      <c r="N322" s="17"/>
      <c r="P322" s="67"/>
      <c r="Q322" s="67"/>
      <c r="R322" s="67"/>
      <c r="S322" s="67"/>
      <c r="T322" s="67"/>
      <c r="U322" s="67"/>
      <c r="V322" s="67"/>
      <c r="W322" s="67"/>
      <c r="X322" s="67"/>
      <c r="Y322" s="67"/>
    </row>
    <row r="323" spans="2:25">
      <c r="B323" s="24"/>
      <c r="M323" s="17"/>
      <c r="N323" s="17"/>
      <c r="P323" s="67"/>
      <c r="Q323" s="67"/>
      <c r="R323" s="67"/>
      <c r="S323" s="67"/>
      <c r="T323" s="67"/>
      <c r="U323" s="67"/>
      <c r="V323" s="67"/>
    </row>
    <row r="324" spans="2:25">
      <c r="B324" s="24"/>
      <c r="M324" s="17"/>
      <c r="N324" s="17"/>
      <c r="P324" s="67"/>
      <c r="Q324" s="67"/>
      <c r="R324" s="67"/>
      <c r="S324" s="67"/>
      <c r="T324" s="67"/>
      <c r="U324" s="67"/>
      <c r="V324" s="67"/>
    </row>
    <row r="325" spans="2:25">
      <c r="B325" s="24"/>
      <c r="M325" s="17"/>
      <c r="N325" s="17"/>
      <c r="P325" s="67"/>
      <c r="Q325" s="67"/>
      <c r="R325" s="67"/>
      <c r="S325" s="67"/>
      <c r="T325" s="67"/>
      <c r="U325" s="67"/>
      <c r="V325" s="67"/>
    </row>
    <row r="326" spans="2:25">
      <c r="B326" s="24"/>
      <c r="M326" s="17"/>
      <c r="N326" s="17"/>
      <c r="P326" s="67"/>
      <c r="Q326" s="67"/>
      <c r="R326" s="67"/>
      <c r="S326" s="67"/>
      <c r="T326" s="67"/>
      <c r="U326" s="67"/>
      <c r="V326" s="67"/>
    </row>
    <row r="327" spans="2:25">
      <c r="B327" s="24"/>
      <c r="M327" s="17"/>
      <c r="N327" s="17"/>
      <c r="P327" s="17"/>
      <c r="Q327" s="67"/>
      <c r="R327" s="67"/>
      <c r="S327" s="67"/>
      <c r="T327" s="67"/>
      <c r="U327" s="67"/>
      <c r="V327" s="67"/>
    </row>
    <row r="328" spans="2:25">
      <c r="B328" s="24"/>
      <c r="M328" s="17"/>
      <c r="N328" s="17"/>
      <c r="P328" s="67"/>
      <c r="Q328" s="67"/>
      <c r="R328" s="67"/>
      <c r="S328" s="67"/>
      <c r="T328" s="67"/>
      <c r="U328" s="67"/>
      <c r="V328" s="67"/>
    </row>
    <row r="329" spans="2:25">
      <c r="B329" s="24"/>
      <c r="M329" s="17"/>
      <c r="N329" s="17"/>
      <c r="P329" s="67"/>
      <c r="Q329" s="67"/>
      <c r="R329" s="67"/>
      <c r="S329" s="67"/>
      <c r="T329" s="67"/>
      <c r="U329" s="67"/>
      <c r="V329" s="67"/>
    </row>
    <row r="330" spans="2:25">
      <c r="B330" s="24"/>
      <c r="M330" s="17"/>
      <c r="N330" s="17"/>
      <c r="P330" s="67"/>
      <c r="Q330" s="67"/>
      <c r="R330" s="67"/>
      <c r="S330" s="67"/>
      <c r="T330" s="67"/>
      <c r="U330" s="67"/>
      <c r="V330" s="67"/>
    </row>
    <row r="331" spans="2:25">
      <c r="B331" s="24"/>
      <c r="M331" s="17"/>
      <c r="N331" s="17"/>
      <c r="P331" s="67"/>
      <c r="Q331" s="67"/>
      <c r="R331" s="67"/>
      <c r="S331" s="67"/>
      <c r="T331" s="67"/>
      <c r="U331" s="67"/>
      <c r="V331" s="67"/>
    </row>
    <row r="332" spans="2:25">
      <c r="B332" s="24"/>
      <c r="M332" s="17"/>
      <c r="N332" s="17"/>
      <c r="P332" s="67"/>
      <c r="Q332" s="67"/>
      <c r="R332" s="67"/>
      <c r="S332" s="67"/>
      <c r="T332" s="67"/>
      <c r="U332" s="67"/>
      <c r="V332" s="67"/>
    </row>
    <row r="333" spans="2:25">
      <c r="B333" s="24"/>
      <c r="M333" s="17"/>
      <c r="N333" s="17"/>
      <c r="P333" s="67"/>
      <c r="Q333" s="67"/>
      <c r="R333" s="67"/>
      <c r="S333" s="67"/>
      <c r="T333" s="67"/>
      <c r="U333" s="67"/>
      <c r="V333" s="67"/>
    </row>
    <row r="334" spans="2:25">
      <c r="B334" s="24"/>
      <c r="M334" s="17"/>
      <c r="N334" s="17"/>
      <c r="P334" s="67"/>
      <c r="Q334" s="67"/>
      <c r="R334" s="67"/>
      <c r="S334" s="67"/>
      <c r="T334" s="67"/>
      <c r="U334" s="67"/>
      <c r="V334" s="67"/>
    </row>
    <row r="335" spans="2:25">
      <c r="B335" s="24"/>
      <c r="M335" s="17"/>
      <c r="N335" s="17"/>
      <c r="P335" s="67"/>
      <c r="Q335" s="67"/>
      <c r="R335" s="67"/>
      <c r="S335" s="67"/>
      <c r="T335" s="67"/>
      <c r="U335" s="67"/>
      <c r="V335" s="67"/>
    </row>
    <row r="336" spans="2:25">
      <c r="B336" s="24"/>
      <c r="M336" s="17"/>
      <c r="N336" s="17"/>
      <c r="P336" s="67"/>
      <c r="Q336" s="67"/>
      <c r="R336" s="67"/>
      <c r="S336" s="67"/>
      <c r="T336" s="67"/>
      <c r="U336" s="67"/>
      <c r="V336" s="67"/>
    </row>
    <row r="337" spans="2:22">
      <c r="B337" s="24"/>
      <c r="M337" s="17"/>
      <c r="N337" s="17"/>
      <c r="P337" s="67"/>
      <c r="Q337" s="67"/>
      <c r="R337" s="67"/>
      <c r="S337" s="67"/>
      <c r="T337" s="67"/>
      <c r="U337" s="67"/>
      <c r="V337" s="67"/>
    </row>
    <row r="338" spans="2:22">
      <c r="B338" s="24"/>
      <c r="M338" s="17"/>
      <c r="N338" s="17"/>
      <c r="P338" s="67"/>
      <c r="Q338" s="67"/>
      <c r="R338" s="67"/>
      <c r="S338" s="67"/>
      <c r="T338" s="67"/>
      <c r="U338" s="67"/>
      <c r="V338" s="67"/>
    </row>
    <row r="339" spans="2:22">
      <c r="B339" s="24"/>
      <c r="M339" s="17"/>
      <c r="N339" s="17"/>
      <c r="P339" s="67"/>
      <c r="Q339" s="67"/>
      <c r="R339" s="67"/>
      <c r="S339" s="67"/>
      <c r="T339" s="67"/>
      <c r="U339" s="67"/>
      <c r="V339" s="67"/>
    </row>
    <row r="340" spans="2:22">
      <c r="B340" s="24"/>
      <c r="M340" s="17"/>
      <c r="N340" s="17"/>
      <c r="P340" s="67"/>
      <c r="Q340" s="67"/>
      <c r="R340" s="67"/>
      <c r="S340" s="67"/>
      <c r="T340" s="67"/>
      <c r="U340" s="67"/>
      <c r="V340" s="67"/>
    </row>
    <row r="341" spans="2:22">
      <c r="B341" s="24"/>
      <c r="M341" s="17"/>
      <c r="N341" s="17"/>
      <c r="P341" s="67"/>
      <c r="Q341" s="67"/>
      <c r="R341" s="67"/>
      <c r="S341" s="67"/>
      <c r="T341" s="67"/>
      <c r="U341" s="67"/>
      <c r="V341" s="67"/>
    </row>
    <row r="342" spans="2:22">
      <c r="B342" s="24"/>
      <c r="M342" s="17"/>
      <c r="N342" s="17"/>
      <c r="P342" s="96"/>
      <c r="Q342" s="67"/>
      <c r="R342" s="67"/>
      <c r="S342" s="67"/>
      <c r="T342" s="67"/>
      <c r="U342" s="67"/>
      <c r="V342" s="67"/>
    </row>
    <row r="343" spans="2:22">
      <c r="B343" s="24"/>
      <c r="M343" s="17"/>
      <c r="N343" s="17"/>
      <c r="P343" s="67"/>
      <c r="Q343" s="67"/>
      <c r="R343" s="67"/>
      <c r="S343" s="67"/>
      <c r="T343" s="67"/>
      <c r="U343" s="67"/>
      <c r="V343" s="67"/>
    </row>
    <row r="344" spans="2:22">
      <c r="B344" s="24"/>
      <c r="M344" s="17"/>
      <c r="N344" s="17"/>
      <c r="P344" s="67"/>
      <c r="Q344" s="67"/>
      <c r="R344" s="67"/>
      <c r="S344" s="67"/>
      <c r="T344" s="67"/>
      <c r="U344" s="67"/>
      <c r="V344" s="67"/>
    </row>
    <row r="345" spans="2:22">
      <c r="B345" s="24"/>
      <c r="M345" s="17"/>
      <c r="N345" s="17"/>
      <c r="P345" s="67"/>
      <c r="Q345" s="67"/>
      <c r="R345" s="67"/>
      <c r="S345" s="67"/>
      <c r="T345" s="67"/>
      <c r="U345" s="67"/>
      <c r="V345" s="67"/>
    </row>
    <row r="346" spans="2:22">
      <c r="B346" s="24"/>
      <c r="M346" s="17"/>
      <c r="N346" s="17"/>
      <c r="P346" s="67"/>
      <c r="Q346" s="67"/>
      <c r="R346" s="67"/>
      <c r="S346" s="67"/>
      <c r="T346" s="67"/>
      <c r="U346" s="67"/>
      <c r="V346" s="67"/>
    </row>
    <row r="347" spans="2:22">
      <c r="B347" s="24"/>
      <c r="M347" s="17"/>
      <c r="N347" s="17"/>
      <c r="P347" s="67"/>
      <c r="Q347" s="67"/>
      <c r="R347" s="67"/>
      <c r="S347" s="67"/>
      <c r="T347" s="67"/>
      <c r="U347" s="67"/>
      <c r="V347" s="67"/>
    </row>
    <row r="348" spans="2:22">
      <c r="B348" s="24"/>
      <c r="M348" s="17"/>
      <c r="N348" s="17"/>
      <c r="P348" s="67"/>
      <c r="Q348" s="67"/>
      <c r="R348" s="67"/>
      <c r="S348" s="67"/>
      <c r="T348" s="67"/>
      <c r="U348" s="67"/>
      <c r="V348" s="67"/>
    </row>
    <row r="349" spans="2:22">
      <c r="B349" s="24"/>
      <c r="M349" s="17"/>
      <c r="N349" s="17"/>
      <c r="P349" s="67"/>
      <c r="Q349" s="67"/>
      <c r="R349" s="67"/>
      <c r="S349" s="67"/>
      <c r="T349" s="67"/>
      <c r="U349" s="67"/>
      <c r="V349" s="67"/>
    </row>
    <row r="350" spans="2:22">
      <c r="B350" s="24"/>
      <c r="M350" s="17"/>
      <c r="N350" s="17"/>
      <c r="P350" s="67"/>
      <c r="Q350" s="67"/>
      <c r="R350" s="67"/>
      <c r="S350" s="67"/>
      <c r="T350" s="67"/>
      <c r="U350" s="67"/>
      <c r="V350" s="67"/>
    </row>
    <row r="351" spans="2:22">
      <c r="B351" s="24"/>
      <c r="M351" s="17"/>
      <c r="N351" s="17"/>
      <c r="P351" s="67"/>
      <c r="Q351" s="67"/>
      <c r="R351" s="67"/>
      <c r="S351" s="67"/>
      <c r="T351" s="67"/>
      <c r="U351" s="67"/>
      <c r="V351" s="67"/>
    </row>
    <row r="352" spans="2:22">
      <c r="B352" s="24"/>
      <c r="M352" s="17"/>
      <c r="N352" s="17"/>
      <c r="P352" s="67"/>
      <c r="Q352" s="67"/>
      <c r="R352" s="67"/>
      <c r="S352" s="67"/>
      <c r="T352" s="67"/>
      <c r="U352" s="67"/>
      <c r="V352" s="67"/>
    </row>
    <row r="353" spans="2:22">
      <c r="B353" s="24"/>
      <c r="M353" s="17"/>
      <c r="N353" s="17"/>
      <c r="P353" s="67"/>
      <c r="Q353" s="67"/>
      <c r="R353" s="67"/>
      <c r="S353" s="67"/>
      <c r="T353" s="67"/>
      <c r="U353" s="67"/>
      <c r="V353" s="67"/>
    </row>
    <row r="354" spans="2:22">
      <c r="B354" s="24"/>
      <c r="M354" s="17"/>
      <c r="N354" s="17"/>
      <c r="P354" s="67"/>
      <c r="Q354" s="67"/>
      <c r="R354" s="67"/>
      <c r="S354" s="67"/>
      <c r="T354" s="67"/>
      <c r="U354" s="67"/>
      <c r="V354" s="67"/>
    </row>
    <row r="355" spans="2:22">
      <c r="B355" s="24"/>
      <c r="M355" s="17"/>
      <c r="N355" s="17"/>
    </row>
    <row r="356" spans="2:22">
      <c r="B356" s="24"/>
      <c r="M356" s="17"/>
      <c r="N356" s="17"/>
    </row>
    <row r="357" spans="2:22">
      <c r="B357" s="24"/>
      <c r="M357" s="17"/>
      <c r="N357" s="17"/>
    </row>
    <row r="358" spans="2:22">
      <c r="B358" s="24"/>
      <c r="M358" s="17"/>
      <c r="N358" s="17"/>
    </row>
    <row r="359" spans="2:22">
      <c r="B359" s="24"/>
      <c r="M359" s="17"/>
      <c r="N359" s="17"/>
    </row>
    <row r="360" spans="2:22">
      <c r="B360" s="24"/>
      <c r="M360" s="17"/>
      <c r="N360" s="17"/>
    </row>
    <row r="361" spans="2:22">
      <c r="B361" s="24"/>
      <c r="M361" s="17"/>
      <c r="N361" s="17"/>
    </row>
    <row r="362" spans="2:22">
      <c r="B362" s="24"/>
      <c r="M362" s="17"/>
      <c r="N362" s="17"/>
    </row>
    <row r="363" spans="2:22">
      <c r="B363" s="24"/>
      <c r="M363" s="17"/>
      <c r="N363" s="17"/>
    </row>
    <row r="364" spans="2:22">
      <c r="B364" s="24"/>
      <c r="M364" s="17"/>
      <c r="N364" s="17"/>
    </row>
    <row r="365" spans="2:22">
      <c r="B365" s="24"/>
      <c r="M365" s="17"/>
      <c r="N365" s="17"/>
    </row>
    <row r="366" spans="2:22">
      <c r="B366" s="24"/>
      <c r="M366" s="17"/>
      <c r="N366" s="17"/>
    </row>
    <row r="367" spans="2:22">
      <c r="B367" s="24"/>
      <c r="M367" s="17"/>
      <c r="N367" s="17"/>
    </row>
    <row r="368" spans="2:22">
      <c r="B368" s="24"/>
      <c r="M368" s="17"/>
      <c r="N368" s="17"/>
    </row>
    <row r="369" spans="2:14">
      <c r="B369" s="24"/>
      <c r="M369" s="17"/>
      <c r="N369" s="17"/>
    </row>
    <row r="370" spans="2:14">
      <c r="B370" s="24"/>
      <c r="M370" s="17"/>
      <c r="N370" s="17"/>
    </row>
    <row r="371" spans="2:14">
      <c r="B371" s="24"/>
      <c r="M371" s="17"/>
      <c r="N371" s="17"/>
    </row>
    <row r="372" spans="2:14">
      <c r="B372" s="24"/>
      <c r="M372" s="17"/>
      <c r="N372" s="17"/>
    </row>
    <row r="373" spans="2:14">
      <c r="B373" s="24"/>
      <c r="M373" s="17"/>
      <c r="N373" s="17"/>
    </row>
    <row r="374" spans="2:14">
      <c r="B374" s="24"/>
      <c r="M374" s="17"/>
      <c r="N374" s="17"/>
    </row>
    <row r="375" spans="2:14">
      <c r="B375" s="24"/>
      <c r="M375" s="17"/>
      <c r="N375" s="17"/>
    </row>
    <row r="376" spans="2:14">
      <c r="B376" s="24"/>
      <c r="M376" s="17"/>
      <c r="N376" s="17"/>
    </row>
    <row r="377" spans="2:14">
      <c r="B377" s="24"/>
      <c r="M377" s="17"/>
      <c r="N377" s="17"/>
    </row>
    <row r="378" spans="2:14">
      <c r="B378" s="24"/>
      <c r="M378" s="17"/>
      <c r="N378" s="17"/>
    </row>
    <row r="379" spans="2:14">
      <c r="B379" s="24"/>
      <c r="M379" s="17"/>
      <c r="N379" s="17"/>
    </row>
    <row r="380" spans="2:14">
      <c r="B380" s="24"/>
      <c r="M380" s="17"/>
      <c r="N380" s="17"/>
    </row>
    <row r="381" spans="2:14">
      <c r="B381" s="24"/>
      <c r="M381" s="17"/>
      <c r="N381" s="17"/>
    </row>
    <row r="382" spans="2:14">
      <c r="B382" s="24"/>
      <c r="M382" s="17"/>
      <c r="N382" s="17"/>
    </row>
    <row r="383" spans="2:14">
      <c r="B383" s="24"/>
      <c r="M383" s="17"/>
      <c r="N383" s="17"/>
    </row>
    <row r="384" spans="2:14">
      <c r="B384" s="24"/>
      <c r="M384" s="17"/>
      <c r="N384" s="17"/>
    </row>
    <row r="385" spans="2:14">
      <c r="B385" s="24"/>
      <c r="M385" s="17"/>
      <c r="N385" s="17"/>
    </row>
    <row r="386" spans="2:14">
      <c r="B386" s="24"/>
      <c r="M386" s="17"/>
      <c r="N386" s="17"/>
    </row>
    <row r="387" spans="2:14">
      <c r="B387" s="24"/>
      <c r="M387" s="17"/>
      <c r="N387" s="17"/>
    </row>
    <row r="388" spans="2:14">
      <c r="B388" s="24"/>
      <c r="M388" s="17"/>
      <c r="N388" s="17"/>
    </row>
    <row r="389" spans="2:14">
      <c r="B389" s="24"/>
      <c r="M389" s="17"/>
      <c r="N389" s="17"/>
    </row>
    <row r="390" spans="2:14">
      <c r="B390" s="24"/>
      <c r="M390" s="17"/>
      <c r="N390" s="17"/>
    </row>
    <row r="391" spans="2:14">
      <c r="B391" s="24"/>
      <c r="M391" s="17"/>
      <c r="N391" s="17"/>
    </row>
    <row r="392" spans="2:14">
      <c r="B392" s="24"/>
      <c r="M392" s="17"/>
      <c r="N392" s="17"/>
    </row>
    <row r="393" spans="2:14">
      <c r="B393" s="24"/>
      <c r="M393" s="17"/>
      <c r="N393" s="17"/>
    </row>
    <row r="394" spans="2:14">
      <c r="B394" s="24"/>
      <c r="M394" s="17"/>
      <c r="N394" s="17"/>
    </row>
    <row r="395" spans="2:14">
      <c r="B395" s="24"/>
      <c r="M395" s="17"/>
      <c r="N395" s="17"/>
    </row>
    <row r="396" spans="2:14">
      <c r="B396" s="24"/>
      <c r="M396" s="17"/>
      <c r="N396" s="17"/>
    </row>
    <row r="397" spans="2:14">
      <c r="B397" s="24"/>
      <c r="M397" s="17"/>
      <c r="N397" s="17"/>
    </row>
    <row r="398" spans="2:14">
      <c r="B398" s="24"/>
      <c r="M398" s="17"/>
      <c r="N398" s="17"/>
    </row>
    <row r="399" spans="2:14">
      <c r="B399" s="24"/>
      <c r="M399" s="17"/>
      <c r="N399" s="17"/>
    </row>
    <row r="400" spans="2:14">
      <c r="B400" s="24"/>
      <c r="M400" s="17"/>
      <c r="N400" s="17"/>
    </row>
    <row r="401" spans="2:14">
      <c r="B401" s="24"/>
      <c r="M401" s="17"/>
      <c r="N401" s="17"/>
    </row>
    <row r="402" spans="2:14">
      <c r="B402" s="24"/>
      <c r="M402" s="17"/>
      <c r="N402" s="17"/>
    </row>
    <row r="403" spans="2:14">
      <c r="B403" s="24"/>
      <c r="M403" s="17"/>
      <c r="N403" s="17"/>
    </row>
    <row r="404" spans="2:14">
      <c r="B404" s="24"/>
      <c r="M404" s="17"/>
      <c r="N404" s="17"/>
    </row>
    <row r="405" spans="2:14">
      <c r="B405" s="24"/>
      <c r="M405" s="17"/>
      <c r="N405" s="17"/>
    </row>
    <row r="406" spans="2:14">
      <c r="B406" s="24"/>
      <c r="M406" s="17"/>
      <c r="N406" s="17"/>
    </row>
    <row r="407" spans="2:14">
      <c r="B407" s="24"/>
      <c r="M407" s="17"/>
      <c r="N407" s="17"/>
    </row>
    <row r="408" spans="2:14">
      <c r="B408" s="24"/>
      <c r="M408" s="17"/>
      <c r="N408" s="17"/>
    </row>
    <row r="409" spans="2:14">
      <c r="B409" s="24"/>
      <c r="M409" s="17"/>
      <c r="N409" s="17"/>
    </row>
    <row r="410" spans="2:14">
      <c r="B410" s="24"/>
      <c r="M410" s="17"/>
      <c r="N410" s="17"/>
    </row>
    <row r="411" spans="2:14">
      <c r="B411" s="24"/>
      <c r="M411" s="17"/>
      <c r="N411" s="17"/>
    </row>
    <row r="412" spans="2:14">
      <c r="B412" s="24"/>
      <c r="M412" s="17"/>
      <c r="N412" s="17"/>
    </row>
    <row r="413" spans="2:14">
      <c r="B413" s="24"/>
      <c r="M413" s="17"/>
      <c r="N413" s="17"/>
    </row>
    <row r="414" spans="2:14">
      <c r="B414" s="24"/>
      <c r="M414" s="17"/>
      <c r="N414" s="17"/>
    </row>
    <row r="415" spans="2:14">
      <c r="B415" s="24"/>
      <c r="M415" s="17"/>
      <c r="N415" s="17"/>
    </row>
    <row r="416" spans="2:14">
      <c r="B416" s="24"/>
      <c r="M416" s="17"/>
      <c r="N416" s="17"/>
    </row>
    <row r="417" spans="2:14">
      <c r="B417" s="24"/>
      <c r="M417" s="17"/>
      <c r="N417" s="17"/>
    </row>
    <row r="418" spans="2:14">
      <c r="B418" s="24"/>
      <c r="M418" s="17"/>
      <c r="N418" s="17"/>
    </row>
    <row r="419" spans="2:14">
      <c r="B419" s="24"/>
      <c r="M419" s="17"/>
      <c r="N419" s="17"/>
    </row>
    <row r="420" spans="2:14">
      <c r="B420" s="24"/>
      <c r="M420" s="17"/>
      <c r="N420" s="17"/>
    </row>
    <row r="421" spans="2:14">
      <c r="B421" s="24"/>
      <c r="M421" s="17"/>
      <c r="N421" s="17"/>
    </row>
    <row r="422" spans="2:14">
      <c r="B422" s="24"/>
      <c r="M422" s="17"/>
      <c r="N422" s="17"/>
    </row>
    <row r="423" spans="2:14">
      <c r="B423" s="24"/>
      <c r="M423" s="17"/>
      <c r="N423" s="17"/>
    </row>
    <row r="424" spans="2:14">
      <c r="B424" s="24"/>
      <c r="M424" s="17"/>
      <c r="N424" s="17"/>
    </row>
    <row r="425" spans="2:14">
      <c r="B425" s="24"/>
      <c r="M425" s="17"/>
      <c r="N425" s="17"/>
    </row>
    <row r="426" spans="2:14">
      <c r="B426" s="24"/>
      <c r="M426" s="17"/>
      <c r="N426" s="17"/>
    </row>
    <row r="427" spans="2:14">
      <c r="B427" s="24"/>
      <c r="M427" s="17"/>
      <c r="N427" s="17"/>
    </row>
    <row r="428" spans="2:14">
      <c r="B428" s="24"/>
      <c r="M428" s="17"/>
      <c r="N428" s="17"/>
    </row>
    <row r="429" spans="2:14">
      <c r="B429" s="24"/>
      <c r="M429" s="17"/>
      <c r="N429" s="17"/>
    </row>
    <row r="430" spans="2:14">
      <c r="B430" s="24"/>
      <c r="M430" s="17"/>
      <c r="N430" s="17"/>
    </row>
    <row r="431" spans="2:14">
      <c r="B431" s="24"/>
      <c r="M431" s="17"/>
      <c r="N431" s="17"/>
    </row>
    <row r="432" spans="2:14">
      <c r="B432" s="24"/>
      <c r="M432" s="17"/>
      <c r="N432" s="17"/>
    </row>
    <row r="433" spans="2:14">
      <c r="B433" s="24"/>
      <c r="M433" s="17"/>
      <c r="N433" s="17"/>
    </row>
    <row r="434" spans="2:14">
      <c r="B434" s="24"/>
      <c r="M434" s="17"/>
      <c r="N434" s="17"/>
    </row>
    <row r="435" spans="2:14">
      <c r="B435" s="24"/>
      <c r="M435" s="17"/>
      <c r="N435" s="17"/>
    </row>
    <row r="436" spans="2:14">
      <c r="B436" s="24"/>
      <c r="M436" s="17"/>
      <c r="N436" s="17"/>
    </row>
    <row r="437" spans="2:14">
      <c r="B437" s="24"/>
      <c r="M437" s="17"/>
      <c r="N437" s="17"/>
    </row>
    <row r="438" spans="2:14">
      <c r="B438" s="24"/>
      <c r="M438" s="17"/>
      <c r="N438" s="17"/>
    </row>
    <row r="439" spans="2:14">
      <c r="B439" s="24"/>
      <c r="M439" s="17"/>
      <c r="N439" s="17"/>
    </row>
    <row r="440" spans="2:14">
      <c r="B440" s="24"/>
      <c r="M440" s="17"/>
      <c r="N440" s="17"/>
    </row>
    <row r="441" spans="2:14">
      <c r="B441" s="24"/>
      <c r="M441" s="17"/>
      <c r="N441" s="17"/>
    </row>
    <row r="442" spans="2:14">
      <c r="B442" s="24"/>
      <c r="M442" s="17"/>
      <c r="N442" s="17"/>
    </row>
    <row r="443" spans="2:14">
      <c r="B443" s="24"/>
      <c r="M443" s="17"/>
      <c r="N443" s="17"/>
    </row>
    <row r="444" spans="2:14">
      <c r="B444" s="24"/>
      <c r="M444" s="17"/>
      <c r="N444" s="17"/>
    </row>
    <row r="445" spans="2:14">
      <c r="B445" s="24"/>
      <c r="M445" s="17"/>
      <c r="N445" s="17"/>
    </row>
    <row r="446" spans="2:14">
      <c r="B446" s="24"/>
      <c r="M446" s="17"/>
      <c r="N446" s="17"/>
    </row>
    <row r="447" spans="2:14">
      <c r="B447" s="24"/>
      <c r="M447" s="17"/>
      <c r="N447" s="17"/>
    </row>
    <row r="448" spans="2:14">
      <c r="B448" s="24"/>
      <c r="M448" s="17"/>
      <c r="N448" s="17"/>
    </row>
    <row r="449" spans="2:14">
      <c r="B449" s="24"/>
      <c r="M449" s="17"/>
      <c r="N449" s="17"/>
    </row>
    <row r="450" spans="2:14">
      <c r="B450" s="24"/>
      <c r="M450" s="17"/>
      <c r="N450" s="17"/>
    </row>
    <row r="451" spans="2:14">
      <c r="B451" s="24"/>
      <c r="M451" s="17"/>
      <c r="N451" s="17"/>
    </row>
    <row r="452" spans="2:14">
      <c r="B452" s="24"/>
      <c r="M452" s="17"/>
      <c r="N452" s="17"/>
    </row>
    <row r="453" spans="2:14">
      <c r="B453" s="24"/>
      <c r="M453" s="17"/>
      <c r="N453" s="17"/>
    </row>
    <row r="454" spans="2:14">
      <c r="B454" s="24"/>
      <c r="M454" s="17"/>
      <c r="N454" s="17"/>
    </row>
    <row r="455" spans="2:14">
      <c r="B455" s="24"/>
      <c r="M455" s="17"/>
      <c r="N455" s="17"/>
    </row>
    <row r="456" spans="2:14">
      <c r="B456" s="24"/>
      <c r="M456" s="17"/>
      <c r="N456" s="17"/>
    </row>
    <row r="457" spans="2:14">
      <c r="B457" s="24"/>
      <c r="M457" s="17"/>
      <c r="N457" s="17"/>
    </row>
    <row r="458" spans="2:14">
      <c r="B458" s="24"/>
      <c r="M458" s="17"/>
      <c r="N458" s="17"/>
    </row>
    <row r="459" spans="2:14">
      <c r="B459" s="24"/>
      <c r="M459" s="17"/>
      <c r="N459" s="17"/>
    </row>
    <row r="460" spans="2:14">
      <c r="B460" s="24"/>
      <c r="M460" s="17"/>
      <c r="N460" s="17"/>
    </row>
    <row r="461" spans="2:14">
      <c r="B461" s="24"/>
      <c r="M461" s="17"/>
      <c r="N461" s="17"/>
    </row>
    <row r="462" spans="2:14">
      <c r="B462" s="24"/>
      <c r="M462" s="17"/>
      <c r="N462" s="17"/>
    </row>
    <row r="463" spans="2:14">
      <c r="B463" s="24"/>
      <c r="M463" s="17"/>
      <c r="N463" s="17"/>
    </row>
    <row r="464" spans="2:14">
      <c r="B464" s="24"/>
      <c r="M464" s="17"/>
      <c r="N464" s="17"/>
    </row>
    <row r="465" spans="2:14">
      <c r="B465" s="24"/>
      <c r="M465" s="17"/>
      <c r="N465" s="17"/>
    </row>
    <row r="466" spans="2:14">
      <c r="B466" s="24"/>
      <c r="M466" s="17"/>
      <c r="N466" s="17"/>
    </row>
    <row r="467" spans="2:14">
      <c r="B467" s="24"/>
      <c r="M467" s="17"/>
      <c r="N467" s="17"/>
    </row>
    <row r="468" spans="2:14">
      <c r="B468" s="24"/>
      <c r="M468" s="17"/>
      <c r="N468" s="17"/>
    </row>
    <row r="469" spans="2:14">
      <c r="B469" s="24"/>
      <c r="M469" s="17"/>
      <c r="N469" s="17"/>
    </row>
    <row r="470" spans="2:14">
      <c r="B470" s="24"/>
      <c r="M470" s="17"/>
      <c r="N470" s="17"/>
    </row>
    <row r="471" spans="2:14">
      <c r="B471" s="24"/>
      <c r="M471" s="17"/>
      <c r="N471" s="17"/>
    </row>
    <row r="472" spans="2:14">
      <c r="B472" s="24"/>
      <c r="M472" s="17"/>
      <c r="N472" s="17"/>
    </row>
    <row r="473" spans="2:14">
      <c r="B473" s="24"/>
      <c r="M473" s="17"/>
      <c r="N473" s="17"/>
    </row>
    <row r="474" spans="2:14">
      <c r="B474" s="24"/>
      <c r="M474" s="17"/>
      <c r="N474" s="17"/>
    </row>
    <row r="475" spans="2:14">
      <c r="B475" s="24"/>
      <c r="M475" s="17"/>
      <c r="N475" s="17"/>
    </row>
    <row r="476" spans="2:14">
      <c r="B476" s="24"/>
      <c r="M476" s="17"/>
      <c r="N476" s="17"/>
    </row>
    <row r="477" spans="2:14">
      <c r="B477" s="24"/>
      <c r="M477" s="17"/>
      <c r="N477" s="17"/>
    </row>
    <row r="478" spans="2:14">
      <c r="B478" s="24"/>
      <c r="M478" s="17"/>
      <c r="N478" s="17"/>
    </row>
    <row r="479" spans="2:14">
      <c r="B479" s="24"/>
      <c r="M479" s="17"/>
      <c r="N479" s="17"/>
    </row>
    <row r="480" spans="2:14">
      <c r="B480" s="24"/>
    </row>
    <row r="481" spans="2:2">
      <c r="B481" s="24"/>
    </row>
    <row r="482" spans="2:2">
      <c r="B482" s="24"/>
    </row>
    <row r="483" spans="2:2">
      <c r="B483" s="24"/>
    </row>
    <row r="484" spans="2:2">
      <c r="B484" s="24"/>
    </row>
    <row r="485" spans="2:2">
      <c r="B485" s="24"/>
    </row>
    <row r="486" spans="2:2">
      <c r="B486" s="24"/>
    </row>
    <row r="487" spans="2:2">
      <c r="B487" s="24"/>
    </row>
    <row r="488" spans="2:2">
      <c r="B488" s="24"/>
    </row>
    <row r="489" spans="2:2">
      <c r="B489" s="24"/>
    </row>
    <row r="490" spans="2:2">
      <c r="B490" s="24"/>
    </row>
    <row r="491" spans="2:2">
      <c r="B491" s="24"/>
    </row>
    <row r="492" spans="2:2">
      <c r="B492" s="24"/>
    </row>
    <row r="493" spans="2:2">
      <c r="B493" s="24"/>
    </row>
    <row r="494" spans="2:2">
      <c r="B494" s="24"/>
    </row>
    <row r="495" spans="2:2">
      <c r="B495" s="24"/>
    </row>
    <row r="496" spans="2:2">
      <c r="B496" s="24"/>
    </row>
    <row r="497" spans="2:2">
      <c r="B497" s="24"/>
    </row>
    <row r="498" spans="2:2">
      <c r="B498" s="24"/>
    </row>
    <row r="499" spans="2:2">
      <c r="B499" s="24"/>
    </row>
    <row r="500" spans="2:2">
      <c r="B500" s="24"/>
    </row>
    <row r="501" spans="2:2">
      <c r="B501" s="24"/>
    </row>
    <row r="502" spans="2:2">
      <c r="B502" s="24"/>
    </row>
    <row r="503" spans="2:2">
      <c r="B503" s="24"/>
    </row>
    <row r="504" spans="2:2">
      <c r="B504" s="24"/>
    </row>
    <row r="505" spans="2:2">
      <c r="B505" s="24"/>
    </row>
    <row r="506" spans="2:2">
      <c r="B506" s="24"/>
    </row>
    <row r="507" spans="2:2">
      <c r="B507" s="24"/>
    </row>
    <row r="508" spans="2:2">
      <c r="B508" s="24"/>
    </row>
    <row r="509" spans="2:2">
      <c r="B509" s="24"/>
    </row>
    <row r="510" spans="2:2">
      <c r="B510" s="24"/>
    </row>
    <row r="511" spans="2:2">
      <c r="B511" s="24"/>
    </row>
    <row r="512" spans="2:2">
      <c r="B512" s="24"/>
    </row>
    <row r="513" spans="2:2">
      <c r="B513" s="24"/>
    </row>
    <row r="514" spans="2:2">
      <c r="B514" s="24"/>
    </row>
    <row r="515" spans="2:2">
      <c r="B515" s="24"/>
    </row>
    <row r="516" spans="2:2">
      <c r="B516" s="24"/>
    </row>
    <row r="517" spans="2:2">
      <c r="B517" s="24"/>
    </row>
    <row r="518" spans="2:2">
      <c r="B518" s="24"/>
    </row>
    <row r="519" spans="2:2">
      <c r="B519" s="24"/>
    </row>
    <row r="520" spans="2:2">
      <c r="B520" s="24"/>
    </row>
    <row r="521" spans="2:2">
      <c r="B521" s="24"/>
    </row>
    <row r="522" spans="2:2">
      <c r="B522" s="24"/>
    </row>
    <row r="523" spans="2:2">
      <c r="B523" s="24"/>
    </row>
    <row r="524" spans="2:2">
      <c r="B524" s="24"/>
    </row>
    <row r="525" spans="2:2">
      <c r="B525" s="24"/>
    </row>
    <row r="526" spans="2:2">
      <c r="B526" s="24"/>
    </row>
    <row r="527" spans="2:2">
      <c r="B527" s="24"/>
    </row>
    <row r="528" spans="2:2">
      <c r="B528" s="24"/>
    </row>
    <row r="529" spans="2:2">
      <c r="B529" s="24"/>
    </row>
    <row r="530" spans="2:2">
      <c r="B530" s="24"/>
    </row>
    <row r="531" spans="2:2">
      <c r="B531" s="24"/>
    </row>
    <row r="532" spans="2:2">
      <c r="B532" s="24"/>
    </row>
    <row r="533" spans="2:2">
      <c r="B533" s="24"/>
    </row>
    <row r="534" spans="2:2">
      <c r="B534" s="24"/>
    </row>
    <row r="535" spans="2:2">
      <c r="B535" s="24"/>
    </row>
    <row r="536" spans="2:2">
      <c r="B536" s="24"/>
    </row>
    <row r="537" spans="2:2">
      <c r="B537" s="24"/>
    </row>
    <row r="538" spans="2:2">
      <c r="B538" s="24"/>
    </row>
    <row r="539" spans="2:2">
      <c r="B539" s="24"/>
    </row>
    <row r="540" spans="2:2">
      <c r="B540" s="24"/>
    </row>
    <row r="541" spans="2:2">
      <c r="B541" s="24"/>
    </row>
    <row r="542" spans="2:2">
      <c r="B542" s="24"/>
    </row>
    <row r="543" spans="2:2">
      <c r="B543" s="24"/>
    </row>
    <row r="544" spans="2:2">
      <c r="B544" s="24"/>
    </row>
    <row r="545" spans="2:2">
      <c r="B545" s="24"/>
    </row>
    <row r="546" spans="2:2">
      <c r="B546" s="24"/>
    </row>
    <row r="547" spans="2:2">
      <c r="B547" s="24"/>
    </row>
    <row r="548" spans="2:2">
      <c r="B548" s="24"/>
    </row>
    <row r="549" spans="2:2">
      <c r="B549" s="24"/>
    </row>
    <row r="550" spans="2:2">
      <c r="B550" s="24"/>
    </row>
    <row r="551" spans="2:2">
      <c r="B551" s="24"/>
    </row>
    <row r="552" spans="2:2">
      <c r="B552" s="24"/>
    </row>
    <row r="553" spans="2:2">
      <c r="B553" s="24"/>
    </row>
    <row r="554" spans="2:2">
      <c r="B554" s="24"/>
    </row>
    <row r="555" spans="2:2">
      <c r="B555" s="24"/>
    </row>
    <row r="556" spans="2:2">
      <c r="B556" s="24"/>
    </row>
    <row r="557" spans="2:2">
      <c r="B557" s="24"/>
    </row>
    <row r="558" spans="2:2">
      <c r="B558" s="24"/>
    </row>
    <row r="559" spans="2:2">
      <c r="B559" s="24"/>
    </row>
    <row r="560" spans="2:2">
      <c r="B560" s="24"/>
    </row>
    <row r="561" spans="2:2">
      <c r="B561" s="24"/>
    </row>
    <row r="562" spans="2:2">
      <c r="B562" s="24"/>
    </row>
    <row r="563" spans="2:2">
      <c r="B563" s="24"/>
    </row>
    <row r="564" spans="2:2">
      <c r="B564" s="24"/>
    </row>
    <row r="565" spans="2:2">
      <c r="B565" s="24"/>
    </row>
    <row r="566" spans="2:2">
      <c r="B566" s="24"/>
    </row>
    <row r="567" spans="2:2">
      <c r="B567" s="24"/>
    </row>
    <row r="568" spans="2:2">
      <c r="B568" s="24"/>
    </row>
    <row r="569" spans="2:2">
      <c r="B569" s="24"/>
    </row>
    <row r="570" spans="2:2">
      <c r="B570" s="24"/>
    </row>
    <row r="571" spans="2:2">
      <c r="B571" s="24"/>
    </row>
    <row r="572" spans="2:2">
      <c r="B572" s="24"/>
    </row>
    <row r="573" spans="2:2">
      <c r="B573" s="24"/>
    </row>
    <row r="574" spans="2:2">
      <c r="B574" s="24"/>
    </row>
    <row r="575" spans="2:2">
      <c r="B575" s="24"/>
    </row>
    <row r="576" spans="2:2">
      <c r="B576" s="24"/>
    </row>
    <row r="577" spans="2:13">
      <c r="B577" s="24"/>
    </row>
    <row r="578" spans="2:13">
      <c r="B578" s="24"/>
    </row>
    <row r="579" spans="2:13">
      <c r="B579" s="24"/>
    </row>
    <row r="580" spans="2:13">
      <c r="B580" s="24"/>
    </row>
    <row r="581" spans="2:13">
      <c r="B581" s="24"/>
    </row>
    <row r="582" spans="2:13">
      <c r="B582" s="24"/>
    </row>
    <row r="583" spans="2:13">
      <c r="B583" s="24"/>
    </row>
    <row r="584" spans="2:13">
      <c r="B584" s="24"/>
    </row>
    <row r="585" spans="2:13">
      <c r="B585" s="24"/>
      <c r="M585" s="104"/>
    </row>
    <row r="586" spans="2:13">
      <c r="B586" s="24"/>
    </row>
    <row r="587" spans="2:13">
      <c r="B587" s="24"/>
    </row>
    <row r="588" spans="2:13">
      <c r="B588" s="24"/>
    </row>
    <row r="589" spans="2:13">
      <c r="B589" s="24"/>
    </row>
    <row r="590" spans="2:13">
      <c r="B590" s="24"/>
    </row>
    <row r="591" spans="2:13">
      <c r="B591" s="24"/>
    </row>
    <row r="592" spans="2:13">
      <c r="B592" s="24"/>
    </row>
    <row r="593" spans="2:14">
      <c r="B593" s="24"/>
    </row>
    <row r="594" spans="2:14">
      <c r="B594" s="24"/>
    </row>
    <row r="595" spans="2:14">
      <c r="B595" s="24"/>
    </row>
    <row r="596" spans="2:14">
      <c r="B596" s="24"/>
    </row>
    <row r="597" spans="2:14">
      <c r="B597" s="24"/>
    </row>
    <row r="598" spans="2:14">
      <c r="B598" s="24"/>
    </row>
    <row r="599" spans="2:14">
      <c r="B599" s="24"/>
    </row>
    <row r="600" spans="2:14">
      <c r="B600" s="24"/>
    </row>
    <row r="601" spans="2:14">
      <c r="B601" s="24"/>
    </row>
    <row r="602" spans="2:14">
      <c r="B602" s="24"/>
    </row>
    <row r="603" spans="2:14">
      <c r="B603" s="24"/>
    </row>
    <row r="604" spans="2:14">
      <c r="B604" s="24"/>
    </row>
    <row r="605" spans="2:14">
      <c r="B605" s="24"/>
    </row>
    <row r="606" spans="2:14">
      <c r="B606" s="24"/>
      <c r="N606" s="17"/>
    </row>
    <row r="607" spans="2:14">
      <c r="B607" s="24"/>
    </row>
    <row r="608" spans="2:14">
      <c r="B608" s="24"/>
    </row>
    <row r="609" spans="2:2">
      <c r="B609" s="24"/>
    </row>
    <row r="610" spans="2:2">
      <c r="B610" s="24"/>
    </row>
    <row r="611" spans="2:2">
      <c r="B611" s="24"/>
    </row>
    <row r="612" spans="2:2">
      <c r="B612" s="24"/>
    </row>
    <row r="613" spans="2:2">
      <c r="B613" s="24"/>
    </row>
    <row r="614" spans="2:2">
      <c r="B614" s="24"/>
    </row>
    <row r="615" spans="2:2">
      <c r="B615" s="24"/>
    </row>
    <row r="616" spans="2:2">
      <c r="B616" s="24"/>
    </row>
    <row r="617" spans="2:2">
      <c r="B617" s="24"/>
    </row>
    <row r="618" spans="2:2">
      <c r="B618" s="24"/>
    </row>
    <row r="619" spans="2:2">
      <c r="B619" s="24"/>
    </row>
    <row r="620" spans="2:2">
      <c r="B620" s="24"/>
    </row>
    <row r="621" spans="2:2">
      <c r="B621" s="24"/>
    </row>
    <row r="622" spans="2:2">
      <c r="B622" s="24"/>
    </row>
    <row r="623" spans="2:2">
      <c r="B623" s="24"/>
    </row>
    <row r="624" spans="2:2">
      <c r="B624" s="24"/>
    </row>
    <row r="625" spans="2:14">
      <c r="B625" s="24"/>
    </row>
    <row r="626" spans="2:14">
      <c r="B626" s="24"/>
    </row>
    <row r="627" spans="2:14">
      <c r="B627" s="24"/>
    </row>
    <row r="628" spans="2:14">
      <c r="B628" s="24"/>
    </row>
    <row r="629" spans="2:14">
      <c r="B629" s="24"/>
    </row>
    <row r="630" spans="2:14">
      <c r="B630" s="24"/>
    </row>
    <row r="631" spans="2:14">
      <c r="B631" s="24"/>
      <c r="N631" s="16"/>
    </row>
    <row r="632" spans="2:14">
      <c r="B632" s="24"/>
      <c r="N632" s="16"/>
    </row>
    <row r="633" spans="2:14">
      <c r="B633" s="24"/>
      <c r="N633" s="16"/>
    </row>
    <row r="634" spans="2:14">
      <c r="B634" s="24"/>
      <c r="N634" s="16"/>
    </row>
    <row r="635" spans="2:14">
      <c r="B635" s="24"/>
      <c r="N635" s="16"/>
    </row>
    <row r="636" spans="2:14">
      <c r="B636" s="24"/>
      <c r="N636" s="16"/>
    </row>
    <row r="637" spans="2:14">
      <c r="B637" s="24"/>
      <c r="N637" s="16"/>
    </row>
    <row r="638" spans="2:14">
      <c r="B638" s="24"/>
      <c r="N638" s="16"/>
    </row>
    <row r="639" spans="2:14">
      <c r="B639" s="24"/>
      <c r="N639" s="16"/>
    </row>
    <row r="640" spans="2:14">
      <c r="B640" s="24"/>
      <c r="N640" s="16"/>
    </row>
    <row r="641" spans="2:14">
      <c r="B641" s="24"/>
      <c r="N641" s="16"/>
    </row>
    <row r="642" spans="2:14">
      <c r="B642" s="24"/>
      <c r="N642" s="16"/>
    </row>
    <row r="643" spans="2:14">
      <c r="B643" s="24"/>
      <c r="N643" s="16"/>
    </row>
    <row r="644" spans="2:14">
      <c r="B644" s="24"/>
      <c r="N644" s="16"/>
    </row>
    <row r="645" spans="2:14">
      <c r="B645" s="24"/>
      <c r="N645" s="16"/>
    </row>
    <row r="646" spans="2:14">
      <c r="B646" s="24"/>
      <c r="N646" s="16"/>
    </row>
    <row r="647" spans="2:14">
      <c r="B647" s="24"/>
      <c r="N647" s="16"/>
    </row>
    <row r="648" spans="2:14">
      <c r="B648" s="24"/>
      <c r="N648" s="16"/>
    </row>
    <row r="649" spans="2:14">
      <c r="B649" s="24"/>
      <c r="N649" s="16"/>
    </row>
    <row r="650" spans="2:14">
      <c r="B650" s="24"/>
      <c r="N650" s="16"/>
    </row>
    <row r="651" spans="2:14">
      <c r="B651" s="24"/>
      <c r="N651" s="16"/>
    </row>
    <row r="652" spans="2:14">
      <c r="B652" s="24"/>
      <c r="N652" s="16"/>
    </row>
    <row r="653" spans="2:14">
      <c r="B653" s="24"/>
      <c r="N653" s="16"/>
    </row>
    <row r="654" spans="2:14">
      <c r="B654" s="24"/>
      <c r="N654" s="16"/>
    </row>
    <row r="655" spans="2:14">
      <c r="B655" s="24"/>
      <c r="N655" s="16"/>
    </row>
    <row r="656" spans="2:14">
      <c r="B656" s="24"/>
      <c r="N656" s="16"/>
    </row>
    <row r="657" spans="2:14">
      <c r="B657" s="24"/>
      <c r="N657" s="16"/>
    </row>
    <row r="658" spans="2:14">
      <c r="B658" s="24"/>
      <c r="N658" s="16"/>
    </row>
    <row r="659" spans="2:14">
      <c r="B659" s="24"/>
      <c r="N659" s="16"/>
    </row>
    <row r="660" spans="2:14">
      <c r="B660" s="24"/>
      <c r="N660" s="16"/>
    </row>
    <row r="661" spans="2:14">
      <c r="B661" s="24"/>
      <c r="N661" s="16"/>
    </row>
    <row r="662" spans="2:14">
      <c r="B662" s="24"/>
      <c r="N662" s="16"/>
    </row>
    <row r="663" spans="2:14">
      <c r="B663" s="24"/>
      <c r="N663" s="16"/>
    </row>
    <row r="664" spans="2:14">
      <c r="B664" s="24"/>
      <c r="N664" s="16"/>
    </row>
    <row r="665" spans="2:14">
      <c r="B665" s="24"/>
      <c r="N665" s="16"/>
    </row>
    <row r="666" spans="2:14">
      <c r="B666" s="24"/>
      <c r="N666" s="16"/>
    </row>
    <row r="667" spans="2:14">
      <c r="B667" s="24"/>
      <c r="N667" s="16"/>
    </row>
    <row r="668" spans="2:14">
      <c r="B668" s="24"/>
      <c r="N668" s="16"/>
    </row>
    <row r="669" spans="2:14">
      <c r="B669" s="24"/>
      <c r="N669" s="16"/>
    </row>
    <row r="670" spans="2:14">
      <c r="B670" s="24"/>
    </row>
    <row r="671" spans="2:14">
      <c r="B671" s="24"/>
    </row>
    <row r="672" spans="2:14">
      <c r="B672" s="24"/>
    </row>
    <row r="673" spans="2:2">
      <c r="B673" s="24"/>
    </row>
    <row r="674" spans="2:2">
      <c r="B674" s="24"/>
    </row>
    <row r="675" spans="2:2">
      <c r="B675" s="24"/>
    </row>
    <row r="676" spans="2:2">
      <c r="B676" s="24"/>
    </row>
    <row r="677" spans="2:2">
      <c r="B677" s="24"/>
    </row>
    <row r="678" spans="2:2">
      <c r="B678" s="24"/>
    </row>
    <row r="679" spans="2:2">
      <c r="B679" s="24"/>
    </row>
    <row r="680" spans="2:2">
      <c r="B680" s="24"/>
    </row>
    <row r="681" spans="2:2">
      <c r="B681" s="24"/>
    </row>
    <row r="682" spans="2:2">
      <c r="B682" s="24"/>
    </row>
    <row r="683" spans="2:2">
      <c r="B683" s="24"/>
    </row>
    <row r="684" spans="2:2">
      <c r="B684" s="24"/>
    </row>
    <row r="685" spans="2:2">
      <c r="B685" s="24"/>
    </row>
    <row r="686" spans="2:2">
      <c r="B686" s="24"/>
    </row>
    <row r="687" spans="2:2">
      <c r="B687" s="24"/>
    </row>
    <row r="688" spans="2:2">
      <c r="B688" s="24"/>
    </row>
    <row r="689" spans="2:2">
      <c r="B689" s="24"/>
    </row>
    <row r="690" spans="2:2">
      <c r="B690" s="24"/>
    </row>
    <row r="691" spans="2:2">
      <c r="B691" s="24"/>
    </row>
    <row r="692" spans="2:2">
      <c r="B692" s="24"/>
    </row>
    <row r="693" spans="2:2">
      <c r="B693" s="24"/>
    </row>
    <row r="694" spans="2:2">
      <c r="B694" s="24"/>
    </row>
    <row r="695" spans="2:2">
      <c r="B695" s="24"/>
    </row>
    <row r="696" spans="2:2">
      <c r="B696" s="24"/>
    </row>
    <row r="697" spans="2:2">
      <c r="B697" s="24"/>
    </row>
    <row r="698" spans="2:2">
      <c r="B698" s="24"/>
    </row>
    <row r="699" spans="2:2">
      <c r="B699" s="24"/>
    </row>
    <row r="700" spans="2:2">
      <c r="B700" s="24"/>
    </row>
    <row r="701" spans="2:2">
      <c r="B701" s="24"/>
    </row>
    <row r="702" spans="2:2">
      <c r="B702" s="24"/>
    </row>
    <row r="703" spans="2:2">
      <c r="B703" s="24"/>
    </row>
    <row r="704" spans="2:2">
      <c r="B704" s="24"/>
    </row>
    <row r="705" spans="2:2">
      <c r="B705" s="24"/>
    </row>
    <row r="706" spans="2:2">
      <c r="B706" s="24"/>
    </row>
    <row r="707" spans="2:2">
      <c r="B707" s="24"/>
    </row>
    <row r="708" spans="2:2">
      <c r="B708" s="24"/>
    </row>
    <row r="709" spans="2:2">
      <c r="B709" s="24"/>
    </row>
    <row r="710" spans="2:2">
      <c r="B710" s="24"/>
    </row>
    <row r="711" spans="2:2">
      <c r="B711" s="24"/>
    </row>
    <row r="712" spans="2:2">
      <c r="B712" s="24"/>
    </row>
    <row r="713" spans="2:2">
      <c r="B713" s="24"/>
    </row>
    <row r="714" spans="2:2">
      <c r="B714" s="24"/>
    </row>
    <row r="715" spans="2:2">
      <c r="B715" s="24"/>
    </row>
    <row r="716" spans="2:2">
      <c r="B716" s="24"/>
    </row>
    <row r="717" spans="2:2">
      <c r="B717" s="24"/>
    </row>
    <row r="718" spans="2:2">
      <c r="B718" s="24"/>
    </row>
    <row r="719" spans="2:2">
      <c r="B719" s="24"/>
    </row>
    <row r="720" spans="2:2">
      <c r="B720" s="24"/>
    </row>
    <row r="721" spans="2:2">
      <c r="B721" s="24"/>
    </row>
    <row r="722" spans="2:2">
      <c r="B722" s="24"/>
    </row>
    <row r="723" spans="2:2">
      <c r="B723" s="24"/>
    </row>
    <row r="724" spans="2:2">
      <c r="B724" s="24"/>
    </row>
    <row r="725" spans="2:2">
      <c r="B725" s="24"/>
    </row>
    <row r="726" spans="2:2">
      <c r="B726" s="24"/>
    </row>
    <row r="727" spans="2:2">
      <c r="B727" s="24"/>
    </row>
    <row r="728" spans="2:2">
      <c r="B728" s="24"/>
    </row>
    <row r="729" spans="2:2">
      <c r="B729" s="24"/>
    </row>
    <row r="730" spans="2:2">
      <c r="B730" s="24"/>
    </row>
    <row r="731" spans="2:2">
      <c r="B731" s="24"/>
    </row>
    <row r="732" spans="2:2">
      <c r="B732" s="24"/>
    </row>
    <row r="733" spans="2:2">
      <c r="B733" s="24"/>
    </row>
    <row r="734" spans="2:2">
      <c r="B734" s="24"/>
    </row>
    <row r="735" spans="2:2">
      <c r="B735" s="24"/>
    </row>
    <row r="736" spans="2:2">
      <c r="B736" s="24"/>
    </row>
    <row r="737" spans="2:2">
      <c r="B737" s="24"/>
    </row>
    <row r="738" spans="2:2">
      <c r="B738" s="24"/>
    </row>
    <row r="739" spans="2:2">
      <c r="B739" s="24"/>
    </row>
    <row r="740" spans="2:2">
      <c r="B740" s="24"/>
    </row>
    <row r="741" spans="2:2">
      <c r="B741" s="24"/>
    </row>
    <row r="742" spans="2:2">
      <c r="B742" s="24"/>
    </row>
    <row r="743" spans="2:2">
      <c r="B743" s="24"/>
    </row>
    <row r="744" spans="2:2">
      <c r="B744" s="24"/>
    </row>
    <row r="745" spans="2:2">
      <c r="B745" s="24"/>
    </row>
    <row r="746" spans="2:2">
      <c r="B746" s="24"/>
    </row>
    <row r="747" spans="2:2">
      <c r="B747" s="24"/>
    </row>
    <row r="748" spans="2:2">
      <c r="B748" s="24"/>
    </row>
    <row r="749" spans="2:2">
      <c r="B749" s="24"/>
    </row>
    <row r="750" spans="2:2">
      <c r="B750" s="24"/>
    </row>
    <row r="751" spans="2:2">
      <c r="B751" s="24"/>
    </row>
    <row r="752" spans="2:2">
      <c r="B752" s="24"/>
    </row>
    <row r="753" spans="2:2">
      <c r="B753" s="24"/>
    </row>
    <row r="754" spans="2:2">
      <c r="B754" s="24"/>
    </row>
    <row r="755" spans="2:2">
      <c r="B755" s="24"/>
    </row>
    <row r="756" spans="2:2">
      <c r="B756" s="24"/>
    </row>
    <row r="757" spans="2:2">
      <c r="B757" s="24"/>
    </row>
    <row r="758" spans="2:2">
      <c r="B758" s="24"/>
    </row>
    <row r="759" spans="2:2">
      <c r="B759" s="24"/>
    </row>
    <row r="760" spans="2:2">
      <c r="B760" s="24"/>
    </row>
    <row r="761" spans="2:2">
      <c r="B761" s="24"/>
    </row>
    <row r="762" spans="2:2">
      <c r="B762" s="24"/>
    </row>
    <row r="763" spans="2:2">
      <c r="B763" s="24"/>
    </row>
    <row r="764" spans="2:2">
      <c r="B764" s="24"/>
    </row>
    <row r="765" spans="2:2">
      <c r="B765" s="24"/>
    </row>
    <row r="766" spans="2:2">
      <c r="B766" s="24"/>
    </row>
    <row r="767" spans="2:2">
      <c r="B767" s="24"/>
    </row>
    <row r="768" spans="2:2">
      <c r="B768" s="24"/>
    </row>
    <row r="769" spans="2:2">
      <c r="B769" s="24"/>
    </row>
    <row r="770" spans="2:2">
      <c r="B770" s="24"/>
    </row>
    <row r="771" spans="2:2">
      <c r="B771" s="24"/>
    </row>
    <row r="772" spans="2:2">
      <c r="B772" s="24"/>
    </row>
    <row r="773" spans="2:2">
      <c r="B773" s="24"/>
    </row>
    <row r="774" spans="2:2">
      <c r="B774" s="24"/>
    </row>
    <row r="775" spans="2:2">
      <c r="B775" s="24"/>
    </row>
    <row r="776" spans="2:2">
      <c r="B776" s="24"/>
    </row>
    <row r="777" spans="2:2">
      <c r="B777" s="24"/>
    </row>
    <row r="778" spans="2:2">
      <c r="B778" s="24"/>
    </row>
    <row r="779" spans="2:2">
      <c r="B779" s="24"/>
    </row>
    <row r="780" spans="2:2">
      <c r="B780" s="24"/>
    </row>
    <row r="781" spans="2:2">
      <c r="B781" s="24"/>
    </row>
    <row r="782" spans="2:2">
      <c r="B782" s="24"/>
    </row>
    <row r="783" spans="2:2">
      <c r="B783" s="24"/>
    </row>
    <row r="784" spans="2:2">
      <c r="B784" s="24"/>
    </row>
    <row r="785" spans="2:2">
      <c r="B785" s="24"/>
    </row>
    <row r="786" spans="2:2">
      <c r="B786" s="24"/>
    </row>
    <row r="787" spans="2:2">
      <c r="B787" s="24"/>
    </row>
    <row r="788" spans="2:2">
      <c r="B788" s="24"/>
    </row>
    <row r="789" spans="2:2">
      <c r="B789" s="24"/>
    </row>
    <row r="790" spans="2:2">
      <c r="B790" s="24"/>
    </row>
    <row r="791" spans="2:2">
      <c r="B791" s="24"/>
    </row>
    <row r="792" spans="2:2">
      <c r="B792" s="24"/>
    </row>
    <row r="793" spans="2:2">
      <c r="B793" s="24"/>
    </row>
    <row r="794" spans="2:2">
      <c r="B794" s="24"/>
    </row>
    <row r="795" spans="2:2">
      <c r="B795" s="24"/>
    </row>
    <row r="796" spans="2:2">
      <c r="B796" s="24"/>
    </row>
    <row r="797" spans="2:2">
      <c r="B797" s="24"/>
    </row>
    <row r="798" spans="2:2">
      <c r="B798" s="24"/>
    </row>
    <row r="799" spans="2:2">
      <c r="B799" s="24"/>
    </row>
    <row r="800" spans="2:2">
      <c r="B800" s="24"/>
    </row>
    <row r="801" spans="2:2">
      <c r="B801" s="24"/>
    </row>
    <row r="802" spans="2:2">
      <c r="B802" s="24"/>
    </row>
    <row r="803" spans="2:2">
      <c r="B803" s="24"/>
    </row>
    <row r="804" spans="2:2">
      <c r="B804" s="24"/>
    </row>
    <row r="805" spans="2:2">
      <c r="B805" s="24"/>
    </row>
    <row r="806" spans="2:2">
      <c r="B806" s="24"/>
    </row>
    <row r="807" spans="2:2">
      <c r="B807" s="24"/>
    </row>
    <row r="808" spans="2:2">
      <c r="B808" s="24"/>
    </row>
    <row r="809" spans="2:2">
      <c r="B809" s="24"/>
    </row>
    <row r="810" spans="2:2">
      <c r="B810" s="24"/>
    </row>
    <row r="811" spans="2:2">
      <c r="B811" s="24"/>
    </row>
    <row r="812" spans="2:2">
      <c r="B812" s="24"/>
    </row>
    <row r="813" spans="2:2">
      <c r="B813" s="24"/>
    </row>
    <row r="814" spans="2:2">
      <c r="B814" s="24"/>
    </row>
    <row r="815" spans="2:2">
      <c r="B815" s="24"/>
    </row>
    <row r="816" spans="2:2">
      <c r="B816" s="24"/>
    </row>
    <row r="817" spans="2:2">
      <c r="B817" s="24"/>
    </row>
    <row r="818" spans="2:2">
      <c r="B818" s="24"/>
    </row>
    <row r="819" spans="2:2">
      <c r="B819" s="24"/>
    </row>
    <row r="820" spans="2:2">
      <c r="B820" s="24"/>
    </row>
    <row r="821" spans="2:2">
      <c r="B821" s="24"/>
    </row>
    <row r="822" spans="2:2">
      <c r="B822" s="24"/>
    </row>
    <row r="823" spans="2:2">
      <c r="B823" s="24"/>
    </row>
    <row r="824" spans="2:2">
      <c r="B824" s="24"/>
    </row>
    <row r="825" spans="2:2">
      <c r="B825" s="24"/>
    </row>
    <row r="826" spans="2:2">
      <c r="B826" s="24"/>
    </row>
    <row r="827" spans="2:2">
      <c r="B827" s="24"/>
    </row>
    <row r="828" spans="2:2">
      <c r="B828" s="24"/>
    </row>
    <row r="829" spans="2:2">
      <c r="B829" s="24"/>
    </row>
    <row r="830" spans="2:2">
      <c r="B830" s="24"/>
    </row>
    <row r="831" spans="2:2">
      <c r="B831" s="24"/>
    </row>
    <row r="832" spans="2:2">
      <c r="B832" s="24"/>
    </row>
    <row r="833" spans="2:2">
      <c r="B833" s="24"/>
    </row>
    <row r="834" spans="2:2">
      <c r="B834" s="24"/>
    </row>
    <row r="835" spans="2:2">
      <c r="B835" s="24"/>
    </row>
    <row r="836" spans="2:2">
      <c r="B836" s="24"/>
    </row>
    <row r="837" spans="2:2">
      <c r="B837" s="24"/>
    </row>
    <row r="838" spans="2:2">
      <c r="B838" s="24"/>
    </row>
    <row r="839" spans="2:2">
      <c r="B839" s="24"/>
    </row>
    <row r="840" spans="2:2">
      <c r="B840" s="24"/>
    </row>
    <row r="841" spans="2:2">
      <c r="B841" s="24"/>
    </row>
    <row r="842" spans="2:2">
      <c r="B842" s="24"/>
    </row>
    <row r="843" spans="2:2">
      <c r="B843" s="24"/>
    </row>
    <row r="844" spans="2:2">
      <c r="B844" s="24"/>
    </row>
    <row r="845" spans="2:2">
      <c r="B845" s="24"/>
    </row>
    <row r="846" spans="2:2">
      <c r="B846" s="24"/>
    </row>
    <row r="847" spans="2:2">
      <c r="B847" s="24"/>
    </row>
    <row r="848" spans="2:2">
      <c r="B848" s="24"/>
    </row>
    <row r="849" spans="2:2">
      <c r="B849" s="24"/>
    </row>
    <row r="850" spans="2:2">
      <c r="B850" s="24"/>
    </row>
    <row r="851" spans="2:2">
      <c r="B851" s="24"/>
    </row>
    <row r="852" spans="2:2">
      <c r="B852" s="24"/>
    </row>
    <row r="853" spans="2:2">
      <c r="B853" s="24"/>
    </row>
    <row r="854" spans="2:2">
      <c r="B854" s="24"/>
    </row>
    <row r="855" spans="2:2">
      <c r="B855" s="24"/>
    </row>
    <row r="856" spans="2:2">
      <c r="B856" s="24"/>
    </row>
    <row r="857" spans="2:2">
      <c r="B857" s="24"/>
    </row>
    <row r="858" spans="2:2">
      <c r="B858" s="24"/>
    </row>
    <row r="859" spans="2:2">
      <c r="B859" s="24"/>
    </row>
    <row r="860" spans="2:2">
      <c r="B860" s="24"/>
    </row>
    <row r="861" spans="2:2">
      <c r="B861" s="24"/>
    </row>
    <row r="862" spans="2:2">
      <c r="B862" s="24"/>
    </row>
    <row r="863" spans="2:2">
      <c r="B863" s="24"/>
    </row>
    <row r="864" spans="2:2">
      <c r="B864" s="24"/>
    </row>
    <row r="865" spans="2:2">
      <c r="B865" s="24"/>
    </row>
    <row r="866" spans="2:2">
      <c r="B866" s="24"/>
    </row>
    <row r="867" spans="2:2">
      <c r="B867" s="24"/>
    </row>
    <row r="868" spans="2:2">
      <c r="B868" s="24"/>
    </row>
    <row r="869" spans="2:2">
      <c r="B869" s="24"/>
    </row>
    <row r="870" spans="2:2">
      <c r="B870" s="24"/>
    </row>
    <row r="871" spans="2:2">
      <c r="B871" s="24"/>
    </row>
    <row r="872" spans="2:2">
      <c r="B872" s="24"/>
    </row>
    <row r="873" spans="2:2">
      <c r="B873" s="24"/>
    </row>
    <row r="874" spans="2:2">
      <c r="B874" s="24"/>
    </row>
    <row r="875" spans="2:2">
      <c r="B875" s="24"/>
    </row>
    <row r="876" spans="2:2">
      <c r="B876" s="24"/>
    </row>
    <row r="877" spans="2:2">
      <c r="B877" s="24"/>
    </row>
    <row r="878" spans="2:2">
      <c r="B878" s="24"/>
    </row>
    <row r="879" spans="2:2">
      <c r="B879" s="24"/>
    </row>
    <row r="880" spans="2:2">
      <c r="B880" s="24"/>
    </row>
    <row r="881" spans="2:2">
      <c r="B881" s="24"/>
    </row>
    <row r="882" spans="2:2">
      <c r="B882" s="24"/>
    </row>
    <row r="883" spans="2:2">
      <c r="B883" s="24"/>
    </row>
    <row r="884" spans="2:2">
      <c r="B884" s="24"/>
    </row>
    <row r="885" spans="2:2">
      <c r="B885" s="24"/>
    </row>
    <row r="886" spans="2:2">
      <c r="B886" s="24"/>
    </row>
    <row r="887" spans="2:2">
      <c r="B887" s="24"/>
    </row>
    <row r="888" spans="2:2">
      <c r="B888" s="24"/>
    </row>
    <row r="889" spans="2:2">
      <c r="B889" s="24"/>
    </row>
    <row r="890" spans="2:2">
      <c r="B890" s="24"/>
    </row>
    <row r="891" spans="2:2">
      <c r="B891" s="24"/>
    </row>
    <row r="892" spans="2:2">
      <c r="B892" s="24"/>
    </row>
    <row r="893" spans="2:2">
      <c r="B893" s="24"/>
    </row>
    <row r="894" spans="2:2">
      <c r="B894" s="24"/>
    </row>
    <row r="895" spans="2:2">
      <c r="B895" s="24"/>
    </row>
    <row r="896" spans="2:2">
      <c r="B896" s="24"/>
    </row>
    <row r="897" spans="2:2">
      <c r="B897" s="24"/>
    </row>
    <row r="898" spans="2:2">
      <c r="B898" s="24"/>
    </row>
    <row r="899" spans="2:2">
      <c r="B899" s="24"/>
    </row>
    <row r="900" spans="2:2">
      <c r="B900" s="24"/>
    </row>
    <row r="901" spans="2:2">
      <c r="B901" s="24"/>
    </row>
    <row r="902" spans="2:2">
      <c r="B902" s="24"/>
    </row>
    <row r="903" spans="2:2">
      <c r="B903" s="24"/>
    </row>
    <row r="904" spans="2:2">
      <c r="B904" s="24"/>
    </row>
    <row r="905" spans="2:2">
      <c r="B905" s="24"/>
    </row>
    <row r="906" spans="2:2">
      <c r="B906" s="24"/>
    </row>
    <row r="907" spans="2:2">
      <c r="B907" s="24"/>
    </row>
    <row r="908" spans="2:2">
      <c r="B908" s="24"/>
    </row>
    <row r="909" spans="2:2">
      <c r="B909" s="24"/>
    </row>
    <row r="910" spans="2:2">
      <c r="B910" s="24"/>
    </row>
    <row r="911" spans="2:2">
      <c r="B911" s="24"/>
    </row>
    <row r="912" spans="2:2">
      <c r="B912" s="24"/>
    </row>
    <row r="913" spans="2:2">
      <c r="B913" s="24"/>
    </row>
    <row r="914" spans="2:2">
      <c r="B914" s="24"/>
    </row>
    <row r="915" spans="2:2">
      <c r="B915" s="24"/>
    </row>
    <row r="916" spans="2:2">
      <c r="B916" s="24"/>
    </row>
    <row r="917" spans="2:2">
      <c r="B917" s="24"/>
    </row>
    <row r="918" spans="2:2">
      <c r="B918" s="24"/>
    </row>
    <row r="919" spans="2:2">
      <c r="B919" s="24"/>
    </row>
    <row r="920" spans="2:2">
      <c r="B920" s="24"/>
    </row>
    <row r="921" spans="2:2">
      <c r="B921" s="24"/>
    </row>
    <row r="922" spans="2:2">
      <c r="B922" s="24"/>
    </row>
    <row r="923" spans="2:2">
      <c r="B923" s="24"/>
    </row>
    <row r="924" spans="2:2">
      <c r="B924" s="24"/>
    </row>
    <row r="925" spans="2:2">
      <c r="B925" s="24"/>
    </row>
    <row r="926" spans="2:2">
      <c r="B926" s="24"/>
    </row>
    <row r="927" spans="2:2">
      <c r="B927" s="24"/>
    </row>
    <row r="928" spans="2:2">
      <c r="B928" s="24"/>
    </row>
    <row r="929" spans="2:2">
      <c r="B929" s="24"/>
    </row>
    <row r="930" spans="2:2">
      <c r="B930" s="24"/>
    </row>
    <row r="931" spans="2:2">
      <c r="B931" s="24"/>
    </row>
    <row r="932" spans="2:2">
      <c r="B932" s="24"/>
    </row>
    <row r="933" spans="2:2">
      <c r="B933" s="24"/>
    </row>
    <row r="934" spans="2:2">
      <c r="B934" s="24"/>
    </row>
    <row r="935" spans="2:2">
      <c r="B935" s="24"/>
    </row>
    <row r="936" spans="2:2">
      <c r="B936" s="24"/>
    </row>
    <row r="937" spans="2:2">
      <c r="B937" s="24"/>
    </row>
    <row r="938" spans="2:2">
      <c r="B938" s="24"/>
    </row>
    <row r="939" spans="2:2">
      <c r="B939" s="24"/>
    </row>
    <row r="940" spans="2:2">
      <c r="B940" s="24"/>
    </row>
    <row r="941" spans="2:2">
      <c r="B941" s="24"/>
    </row>
    <row r="942" spans="2:2">
      <c r="B942" s="24"/>
    </row>
    <row r="943" spans="2:2">
      <c r="B943" s="24"/>
    </row>
    <row r="944" spans="2:2">
      <c r="B944" s="24"/>
    </row>
    <row r="945" spans="2:2">
      <c r="B945" s="24"/>
    </row>
    <row r="946" spans="2:2">
      <c r="B946" s="24"/>
    </row>
    <row r="947" spans="2:2">
      <c r="B947" s="24"/>
    </row>
    <row r="948" spans="2:2">
      <c r="B948" s="24"/>
    </row>
    <row r="949" spans="2:2">
      <c r="B949" s="24"/>
    </row>
    <row r="950" spans="2:2">
      <c r="B950" s="24"/>
    </row>
    <row r="951" spans="2:2">
      <c r="B951" s="24"/>
    </row>
    <row r="952" spans="2:2">
      <c r="B952" s="24"/>
    </row>
    <row r="953" spans="2:2">
      <c r="B953" s="24"/>
    </row>
    <row r="954" spans="2:2">
      <c r="B954" s="24"/>
    </row>
    <row r="955" spans="2:2">
      <c r="B955" s="24"/>
    </row>
    <row r="956" spans="2:2">
      <c r="B956" s="24"/>
    </row>
    <row r="957" spans="2:2">
      <c r="B957" s="24"/>
    </row>
    <row r="958" spans="2:2">
      <c r="B958" s="24"/>
    </row>
    <row r="959" spans="2:2">
      <c r="B959" s="24"/>
    </row>
    <row r="960" spans="2:2">
      <c r="B960" s="24"/>
    </row>
    <row r="961" spans="2:2">
      <c r="B961" s="24"/>
    </row>
    <row r="962" spans="2:2">
      <c r="B962" s="24"/>
    </row>
    <row r="963" spans="2:2">
      <c r="B963" s="24"/>
    </row>
    <row r="964" spans="2:2">
      <c r="B964" s="24"/>
    </row>
    <row r="965" spans="2:2">
      <c r="B965" s="24"/>
    </row>
    <row r="966" spans="2:2">
      <c r="B966" s="24"/>
    </row>
    <row r="967" spans="2:2">
      <c r="B967" s="24"/>
    </row>
    <row r="968" spans="2:2">
      <c r="B968" s="24"/>
    </row>
    <row r="969" spans="2:2">
      <c r="B969" s="24"/>
    </row>
    <row r="970" spans="2:2">
      <c r="B970" s="24"/>
    </row>
    <row r="971" spans="2:2">
      <c r="B971" s="24"/>
    </row>
    <row r="972" spans="2:2">
      <c r="B972" s="24"/>
    </row>
    <row r="973" spans="2:2">
      <c r="B973" s="24"/>
    </row>
    <row r="974" spans="2:2">
      <c r="B974" s="24"/>
    </row>
    <row r="975" spans="2:2">
      <c r="B975" s="24"/>
    </row>
    <row r="976" spans="2:2">
      <c r="B976" s="24"/>
    </row>
    <row r="977" spans="2:2">
      <c r="B977" s="24"/>
    </row>
    <row r="978" spans="2:2">
      <c r="B978" s="24"/>
    </row>
    <row r="979" spans="2:2">
      <c r="B979" s="24"/>
    </row>
    <row r="980" spans="2:2">
      <c r="B980" s="24"/>
    </row>
    <row r="981" spans="2:2">
      <c r="B981" s="24"/>
    </row>
    <row r="982" spans="2:2">
      <c r="B982" s="24"/>
    </row>
    <row r="983" spans="2:2">
      <c r="B983" s="24"/>
    </row>
    <row r="984" spans="2:2">
      <c r="B984" s="24"/>
    </row>
    <row r="985" spans="2:2">
      <c r="B985" s="24"/>
    </row>
    <row r="986" spans="2:2">
      <c r="B986" s="24"/>
    </row>
    <row r="987" spans="2:2">
      <c r="B987" s="24"/>
    </row>
    <row r="988" spans="2:2">
      <c r="B988" s="24"/>
    </row>
    <row r="989" spans="2:2">
      <c r="B989" s="24"/>
    </row>
    <row r="990" spans="2:2">
      <c r="B990" s="24"/>
    </row>
    <row r="991" spans="2:2">
      <c r="B991" s="24"/>
    </row>
    <row r="992" spans="2:2">
      <c r="B992" s="24"/>
    </row>
    <row r="993" spans="2:2">
      <c r="B993" s="24"/>
    </row>
    <row r="994" spans="2:2">
      <c r="B994" s="24"/>
    </row>
    <row r="995" spans="2:2">
      <c r="B995" s="24"/>
    </row>
    <row r="996" spans="2:2">
      <c r="B996" s="24"/>
    </row>
    <row r="997" spans="2:2">
      <c r="B997" s="24"/>
    </row>
    <row r="998" spans="2:2">
      <c r="B998" s="24"/>
    </row>
    <row r="999" spans="2:2">
      <c r="B999" s="24"/>
    </row>
    <row r="1000" spans="2:2">
      <c r="B1000" s="24"/>
    </row>
    <row r="1001" spans="2:2">
      <c r="B1001" s="24"/>
    </row>
    <row r="1002" spans="2:2">
      <c r="B1002" s="24"/>
    </row>
    <row r="1003" spans="2:2">
      <c r="B1003" s="24"/>
    </row>
    <row r="1004" spans="2:2">
      <c r="B1004" s="24"/>
    </row>
    <row r="1005" spans="2:2">
      <c r="B1005" s="24"/>
    </row>
    <row r="1006" spans="2:2">
      <c r="B1006" s="24"/>
    </row>
    <row r="1007" spans="2:2">
      <c r="B1007" s="24"/>
    </row>
    <row r="1008" spans="2:2">
      <c r="B1008" s="24"/>
    </row>
    <row r="1009" spans="2:2">
      <c r="B1009" s="24"/>
    </row>
    <row r="1010" spans="2:2">
      <c r="B1010" s="24"/>
    </row>
    <row r="1011" spans="2:2">
      <c r="B1011" s="24"/>
    </row>
    <row r="1012" spans="2:2">
      <c r="B1012" s="24"/>
    </row>
    <row r="1013" spans="2:2">
      <c r="B1013" s="24"/>
    </row>
    <row r="1014" spans="2:2">
      <c r="B1014" s="24"/>
    </row>
    <row r="1015" spans="2:2">
      <c r="B1015" s="24"/>
    </row>
    <row r="1016" spans="2:2">
      <c r="B1016" s="24"/>
    </row>
    <row r="1017" spans="2:2">
      <c r="B1017" s="24"/>
    </row>
    <row r="1018" spans="2:2">
      <c r="B1018" s="24"/>
    </row>
    <row r="1019" spans="2:2">
      <c r="B1019" s="24"/>
    </row>
    <row r="1020" spans="2:2">
      <c r="B1020" s="24"/>
    </row>
    <row r="1021" spans="2:2">
      <c r="B1021" s="24"/>
    </row>
    <row r="1022" spans="2:2">
      <c r="B1022" s="24"/>
    </row>
    <row r="1023" spans="2:2">
      <c r="B1023" s="24"/>
    </row>
    <row r="1024" spans="2:2">
      <c r="B1024" s="24"/>
    </row>
    <row r="1025" spans="2:2">
      <c r="B1025" s="24"/>
    </row>
    <row r="1026" spans="2:2">
      <c r="B1026" s="24"/>
    </row>
    <row r="1027" spans="2:2">
      <c r="B1027" s="24"/>
    </row>
    <row r="1028" spans="2:2">
      <c r="B1028" s="24"/>
    </row>
    <row r="1029" spans="2:2">
      <c r="B1029" s="24"/>
    </row>
    <row r="1030" spans="2:2">
      <c r="B1030" s="24"/>
    </row>
    <row r="1031" spans="2:2">
      <c r="B1031" s="24"/>
    </row>
    <row r="1032" spans="2:2">
      <c r="B1032" s="24"/>
    </row>
    <row r="1033" spans="2:2">
      <c r="B1033" s="24"/>
    </row>
    <row r="1034" spans="2:2">
      <c r="B1034" s="24"/>
    </row>
    <row r="1035" spans="2:2">
      <c r="B1035" s="24"/>
    </row>
    <row r="1036" spans="2:2">
      <c r="B1036" s="24"/>
    </row>
    <row r="1037" spans="2:2">
      <c r="B1037" s="24"/>
    </row>
    <row r="1038" spans="2:2">
      <c r="B1038" s="24"/>
    </row>
    <row r="1039" spans="2:2">
      <c r="B1039" s="24"/>
    </row>
    <row r="1040" spans="2:2">
      <c r="B1040" s="24"/>
    </row>
    <row r="1041" spans="2:2">
      <c r="B1041" s="24"/>
    </row>
    <row r="1042" spans="2:2">
      <c r="B1042" s="24"/>
    </row>
    <row r="1043" spans="2:2">
      <c r="B1043" s="24"/>
    </row>
    <row r="1044" spans="2:2">
      <c r="B1044" s="24"/>
    </row>
    <row r="1045" spans="2:2">
      <c r="B1045" s="24"/>
    </row>
    <row r="1046" spans="2:2">
      <c r="B1046" s="24"/>
    </row>
    <row r="1047" spans="2:2">
      <c r="B1047" s="24"/>
    </row>
    <row r="1048" spans="2:2">
      <c r="B1048" s="24"/>
    </row>
    <row r="1049" spans="2:2">
      <c r="B1049" s="24"/>
    </row>
    <row r="1050" spans="2:2">
      <c r="B1050" s="24"/>
    </row>
    <row r="1051" spans="2:2">
      <c r="B1051" s="24"/>
    </row>
    <row r="1052" spans="2:2">
      <c r="B1052" s="24"/>
    </row>
    <row r="1053" spans="2:2">
      <c r="B1053" s="24"/>
    </row>
    <row r="1054" spans="2:2">
      <c r="B1054" s="24"/>
    </row>
    <row r="1055" spans="2:2">
      <c r="B1055" s="24"/>
    </row>
    <row r="1056" spans="2:2">
      <c r="B1056" s="24"/>
    </row>
    <row r="1057" spans="2:2">
      <c r="B1057" s="24"/>
    </row>
    <row r="1058" spans="2:2">
      <c r="B1058" s="24"/>
    </row>
    <row r="1059" spans="2:2">
      <c r="B1059" s="24"/>
    </row>
    <row r="1060" spans="2:2">
      <c r="B1060" s="24"/>
    </row>
    <row r="1061" spans="2:2">
      <c r="B1061" s="24"/>
    </row>
    <row r="1062" spans="2:2">
      <c r="B1062" s="24"/>
    </row>
    <row r="1063" spans="2:2">
      <c r="B1063" s="24"/>
    </row>
    <row r="1064" spans="2:2">
      <c r="B1064" s="24"/>
    </row>
    <row r="1065" spans="2:2">
      <c r="B1065" s="24"/>
    </row>
    <row r="1066" spans="2:2">
      <c r="B1066" s="24"/>
    </row>
    <row r="1067" spans="2:2">
      <c r="B1067" s="24"/>
    </row>
    <row r="1068" spans="2:2">
      <c r="B1068" s="24"/>
    </row>
    <row r="1069" spans="2:2">
      <c r="B1069" s="24"/>
    </row>
    <row r="1070" spans="2:2">
      <c r="B1070" s="24"/>
    </row>
    <row r="1071" spans="2:2">
      <c r="B1071" s="24"/>
    </row>
    <row r="1072" spans="2:2">
      <c r="B1072" s="24"/>
    </row>
    <row r="1073" spans="2:2">
      <c r="B1073" s="24"/>
    </row>
    <row r="1074" spans="2:2">
      <c r="B1074" s="24"/>
    </row>
    <row r="1075" spans="2:2">
      <c r="B1075" s="24"/>
    </row>
    <row r="1076" spans="2:2">
      <c r="B1076" s="24"/>
    </row>
    <row r="1077" spans="2:2">
      <c r="B1077" s="24"/>
    </row>
    <row r="1078" spans="2:2">
      <c r="B1078" s="24"/>
    </row>
    <row r="1079" spans="2:2">
      <c r="B1079" s="24"/>
    </row>
    <row r="1080" spans="2:2">
      <c r="B1080" s="24"/>
    </row>
    <row r="1081" spans="2:2">
      <c r="B1081" s="24"/>
    </row>
    <row r="1082" spans="2:2">
      <c r="B1082" s="24"/>
    </row>
    <row r="1083" spans="2:2">
      <c r="B1083" s="24"/>
    </row>
    <row r="1084" spans="2:2">
      <c r="B1084" s="24"/>
    </row>
    <row r="1085" spans="2:2">
      <c r="B1085" s="24"/>
    </row>
    <row r="1086" spans="2:2">
      <c r="B1086" s="24"/>
    </row>
    <row r="1087" spans="2:2">
      <c r="B1087" s="24"/>
    </row>
    <row r="1088" spans="2:2">
      <c r="B1088" s="24"/>
    </row>
    <row r="1089" spans="2:2">
      <c r="B1089" s="24"/>
    </row>
    <row r="1090" spans="2:2">
      <c r="B1090" s="24"/>
    </row>
    <row r="1091" spans="2:2">
      <c r="B1091" s="24"/>
    </row>
    <row r="1092" spans="2:2">
      <c r="B1092" s="24"/>
    </row>
    <row r="1093" spans="2:2">
      <c r="B1093" s="24"/>
    </row>
    <row r="1094" spans="2:2">
      <c r="B1094" s="24"/>
    </row>
    <row r="1095" spans="2:2">
      <c r="B1095" s="24"/>
    </row>
    <row r="1096" spans="2:2">
      <c r="B1096" s="24"/>
    </row>
    <row r="1097" spans="2:2">
      <c r="B1097" s="24"/>
    </row>
    <row r="1098" spans="2:2">
      <c r="B1098" s="24"/>
    </row>
    <row r="1099" spans="2:2">
      <c r="B1099" s="24"/>
    </row>
    <row r="1100" spans="2:2">
      <c r="B1100" s="24"/>
    </row>
    <row r="1101" spans="2:2">
      <c r="B1101" s="24"/>
    </row>
    <row r="1102" spans="2:2">
      <c r="B1102" s="24"/>
    </row>
    <row r="1103" spans="2:2">
      <c r="B1103" s="24"/>
    </row>
    <row r="1104" spans="2:2">
      <c r="B1104" s="24"/>
    </row>
    <row r="1105" spans="2:2">
      <c r="B1105" s="24"/>
    </row>
    <row r="1106" spans="2:2">
      <c r="B1106" s="24"/>
    </row>
    <row r="1107" spans="2:2">
      <c r="B1107" s="24"/>
    </row>
    <row r="1108" spans="2:2">
      <c r="B1108" s="24"/>
    </row>
    <row r="1109" spans="2:2">
      <c r="B1109" s="24"/>
    </row>
    <row r="1110" spans="2:2">
      <c r="B1110" s="24"/>
    </row>
    <row r="1111" spans="2:2">
      <c r="B1111" s="24"/>
    </row>
    <row r="1112" spans="2:2">
      <c r="B1112" s="24"/>
    </row>
    <row r="1113" spans="2:2">
      <c r="B1113" s="24"/>
    </row>
    <row r="1114" spans="2:2">
      <c r="B1114" s="24"/>
    </row>
    <row r="1115" spans="2:2">
      <c r="B1115" s="24"/>
    </row>
    <row r="1116" spans="2:2">
      <c r="B1116" s="24"/>
    </row>
    <row r="1117" spans="2:2">
      <c r="B1117" s="24"/>
    </row>
    <row r="1118" spans="2:2">
      <c r="B1118" s="24"/>
    </row>
    <row r="1119" spans="2:2">
      <c r="B1119" s="24"/>
    </row>
    <row r="1120" spans="2:2">
      <c r="B1120" s="24"/>
    </row>
    <row r="1121" spans="2:2">
      <c r="B1121" s="24"/>
    </row>
    <row r="1122" spans="2:2">
      <c r="B1122" s="24"/>
    </row>
    <row r="1123" spans="2:2">
      <c r="B1123" s="24"/>
    </row>
    <row r="1124" spans="2:2">
      <c r="B1124" s="24"/>
    </row>
    <row r="1125" spans="2:2">
      <c r="B1125" s="24"/>
    </row>
    <row r="1126" spans="2:2">
      <c r="B1126" s="24"/>
    </row>
    <row r="1127" spans="2:2">
      <c r="B1127" s="24"/>
    </row>
    <row r="1128" spans="2:2">
      <c r="B1128" s="24"/>
    </row>
    <row r="1129" spans="2:2">
      <c r="B1129" s="24"/>
    </row>
    <row r="1130" spans="2:2">
      <c r="B1130" s="24"/>
    </row>
    <row r="1131" spans="2:2">
      <c r="B1131" s="24"/>
    </row>
    <row r="1132" spans="2:2">
      <c r="B1132" s="24"/>
    </row>
    <row r="1133" spans="2:2">
      <c r="B1133" s="24"/>
    </row>
    <row r="1134" spans="2:2">
      <c r="B1134" s="24"/>
    </row>
    <row r="1135" spans="2:2">
      <c r="B1135" s="24"/>
    </row>
    <row r="1136" spans="2:2">
      <c r="B1136" s="24"/>
    </row>
    <row r="1137" spans="2:2">
      <c r="B1137" s="24"/>
    </row>
    <row r="1138" spans="2:2">
      <c r="B1138" s="24"/>
    </row>
    <row r="1139" spans="2:2">
      <c r="B1139" s="24"/>
    </row>
    <row r="1140" spans="2:2">
      <c r="B1140" s="24"/>
    </row>
    <row r="1141" spans="2:2">
      <c r="B1141" s="24"/>
    </row>
    <row r="1142" spans="2:2">
      <c r="B1142" s="24"/>
    </row>
    <row r="1143" spans="2:2">
      <c r="B1143" s="24"/>
    </row>
    <row r="1144" spans="2:2">
      <c r="B1144" s="24"/>
    </row>
    <row r="1145" spans="2:2">
      <c r="B1145" s="24"/>
    </row>
    <row r="1146" spans="2:2">
      <c r="B1146" s="24"/>
    </row>
    <row r="1147" spans="2:2">
      <c r="B1147" s="24"/>
    </row>
    <row r="1148" spans="2:2">
      <c r="B1148" s="24"/>
    </row>
    <row r="1149" spans="2:2">
      <c r="B1149" s="24"/>
    </row>
    <row r="1150" spans="2:2">
      <c r="B1150" s="24"/>
    </row>
    <row r="1151" spans="2:2">
      <c r="B1151" s="24"/>
    </row>
    <row r="1152" spans="2:2">
      <c r="B1152" s="24"/>
    </row>
    <row r="1153" spans="2:2">
      <c r="B1153" s="24"/>
    </row>
    <row r="1154" spans="2:2">
      <c r="B1154" s="24"/>
    </row>
    <row r="1155" spans="2:2">
      <c r="B1155" s="24"/>
    </row>
    <row r="1156" spans="2:2">
      <c r="B1156" s="24"/>
    </row>
    <row r="1157" spans="2:2">
      <c r="B1157" s="24"/>
    </row>
    <row r="1158" spans="2:2">
      <c r="B1158" s="24"/>
    </row>
    <row r="1159" spans="2:2">
      <c r="B1159" s="24"/>
    </row>
    <row r="1160" spans="2:2">
      <c r="B1160" s="24"/>
    </row>
    <row r="1161" spans="2:2">
      <c r="B1161" s="24"/>
    </row>
    <row r="1162" spans="2:2">
      <c r="B1162" s="24"/>
    </row>
    <row r="1163" spans="2:2">
      <c r="B1163" s="24"/>
    </row>
    <row r="1164" spans="2:2">
      <c r="B1164" s="24"/>
    </row>
    <row r="1165" spans="2:2">
      <c r="B1165" s="24"/>
    </row>
    <row r="1166" spans="2:2">
      <c r="B1166" s="24"/>
    </row>
    <row r="1167" spans="2:2">
      <c r="B1167" s="24"/>
    </row>
    <row r="1168" spans="2:2">
      <c r="B1168" s="24"/>
    </row>
    <row r="1169" spans="2:2">
      <c r="B1169" s="24"/>
    </row>
    <row r="1170" spans="2:2">
      <c r="B1170" s="24"/>
    </row>
    <row r="1171" spans="2:2">
      <c r="B1171" s="24"/>
    </row>
    <row r="1172" spans="2:2">
      <c r="B1172" s="24"/>
    </row>
    <row r="1173" spans="2:2">
      <c r="B1173" s="24"/>
    </row>
    <row r="1174" spans="2:2">
      <c r="B1174" s="24"/>
    </row>
    <row r="1175" spans="2:2">
      <c r="B1175" s="24"/>
    </row>
    <row r="1176" spans="2:2">
      <c r="B1176" s="24"/>
    </row>
    <row r="1177" spans="2:2">
      <c r="B1177" s="24"/>
    </row>
    <row r="1178" spans="2:2">
      <c r="B1178" s="24"/>
    </row>
    <row r="1179" spans="2:2">
      <c r="B1179" s="24"/>
    </row>
    <row r="1180" spans="2:2">
      <c r="B1180" s="24"/>
    </row>
    <row r="1181" spans="2:2">
      <c r="B1181" s="24"/>
    </row>
    <row r="1182" spans="2:2">
      <c r="B1182" s="24"/>
    </row>
    <row r="1183" spans="2:2">
      <c r="B1183" s="24"/>
    </row>
    <row r="1184" spans="2:2">
      <c r="B1184" s="24"/>
    </row>
    <row r="1185" spans="2:2">
      <c r="B1185" s="24"/>
    </row>
    <row r="1186" spans="2:2">
      <c r="B1186" s="24"/>
    </row>
    <row r="1187" spans="2:2">
      <c r="B1187" s="24"/>
    </row>
    <row r="1188" spans="2:2">
      <c r="B1188" s="24"/>
    </row>
    <row r="1189" spans="2:2">
      <c r="B1189" s="24"/>
    </row>
    <row r="1190" spans="2:2">
      <c r="B1190" s="24"/>
    </row>
    <row r="1191" spans="2:2">
      <c r="B1191" s="24"/>
    </row>
    <row r="1192" spans="2:2">
      <c r="B1192" s="24"/>
    </row>
    <row r="1193" spans="2:2">
      <c r="B1193" s="24"/>
    </row>
    <row r="1194" spans="2:2">
      <c r="B1194" s="24"/>
    </row>
    <row r="1195" spans="2:2">
      <c r="B1195" s="24"/>
    </row>
    <row r="1196" spans="2:2">
      <c r="B1196" s="24"/>
    </row>
    <row r="1197" spans="2:2">
      <c r="B1197" s="24"/>
    </row>
    <row r="1198" spans="2:2">
      <c r="B1198" s="24"/>
    </row>
    <row r="1199" spans="2:2">
      <c r="B1199" s="24"/>
    </row>
    <row r="1200" spans="2:2">
      <c r="B1200" s="24"/>
    </row>
    <row r="1201" spans="2:2">
      <c r="B1201" s="24"/>
    </row>
    <row r="1202" spans="2:2">
      <c r="B1202" s="24"/>
    </row>
    <row r="1203" spans="2:2">
      <c r="B1203" s="24"/>
    </row>
    <row r="1204" spans="2:2">
      <c r="B1204" s="24"/>
    </row>
    <row r="1205" spans="2:2">
      <c r="B1205" s="24"/>
    </row>
    <row r="1206" spans="2:2">
      <c r="B1206" s="24"/>
    </row>
    <row r="1207" spans="2:2">
      <c r="B1207" s="24"/>
    </row>
    <row r="1208" spans="2:2">
      <c r="B1208" s="24"/>
    </row>
    <row r="1209" spans="2:2">
      <c r="B1209" s="24"/>
    </row>
    <row r="1210" spans="2:2">
      <c r="B1210" s="24"/>
    </row>
    <row r="1211" spans="2:2">
      <c r="B1211" s="24"/>
    </row>
    <row r="1212" spans="2:2">
      <c r="B1212" s="24"/>
    </row>
    <row r="1213" spans="2:2">
      <c r="B1213" s="24"/>
    </row>
    <row r="1214" spans="2:2">
      <c r="B1214" s="24"/>
    </row>
    <row r="1215" spans="2:2">
      <c r="B1215" s="24"/>
    </row>
    <row r="1216" spans="2:2">
      <c r="B1216" s="24"/>
    </row>
    <row r="1217" spans="2:2">
      <c r="B1217" s="24"/>
    </row>
    <row r="1218" spans="2:2">
      <c r="B1218" s="24"/>
    </row>
    <row r="1219" spans="2:2">
      <c r="B1219" s="24"/>
    </row>
    <row r="1220" spans="2:2">
      <c r="B1220" s="24"/>
    </row>
    <row r="1221" spans="2:2">
      <c r="B1221" s="24"/>
    </row>
    <row r="1222" spans="2:2">
      <c r="B1222" s="24"/>
    </row>
    <row r="1223" spans="2:2">
      <c r="B1223" s="24"/>
    </row>
    <row r="1224" spans="2:2">
      <c r="B1224" s="24"/>
    </row>
    <row r="1225" spans="2:2">
      <c r="B1225" s="24"/>
    </row>
    <row r="1226" spans="2:2">
      <c r="B1226" s="24"/>
    </row>
    <row r="1227" spans="2:2">
      <c r="B1227" s="24"/>
    </row>
    <row r="1228" spans="2:2">
      <c r="B1228" s="24"/>
    </row>
    <row r="1229" spans="2:2">
      <c r="B1229" s="24"/>
    </row>
    <row r="1230" spans="2:2">
      <c r="B1230" s="24"/>
    </row>
    <row r="1231" spans="2:2">
      <c r="B1231" s="24"/>
    </row>
    <row r="1232" spans="2:2">
      <c r="B1232" s="24"/>
    </row>
    <row r="1233" spans="2:2">
      <c r="B1233" s="24"/>
    </row>
    <row r="1234" spans="2:2">
      <c r="B1234" s="24"/>
    </row>
    <row r="1235" spans="2:2">
      <c r="B1235" s="24"/>
    </row>
    <row r="1236" spans="2:2">
      <c r="B1236" s="24"/>
    </row>
    <row r="1237" spans="2:2">
      <c r="B1237" s="24"/>
    </row>
    <row r="1238" spans="2:2">
      <c r="B1238" s="24"/>
    </row>
    <row r="1239" spans="2:2">
      <c r="B1239" s="24"/>
    </row>
    <row r="1240" spans="2:2">
      <c r="B1240" s="24"/>
    </row>
    <row r="1241" spans="2:2">
      <c r="B1241" s="24"/>
    </row>
    <row r="1242" spans="2:2">
      <c r="B1242" s="24"/>
    </row>
    <row r="1243" spans="2:2">
      <c r="B1243" s="24"/>
    </row>
    <row r="1244" spans="2:2">
      <c r="B1244" s="24"/>
    </row>
    <row r="1245" spans="2:2">
      <c r="B1245" s="24"/>
    </row>
    <row r="1246" spans="2:2">
      <c r="B1246" s="24"/>
    </row>
    <row r="1247" spans="2:2">
      <c r="B1247" s="24"/>
    </row>
    <row r="1248" spans="2:2">
      <c r="B1248" s="24"/>
    </row>
    <row r="1249" spans="2:2">
      <c r="B1249" s="24"/>
    </row>
    <row r="1250" spans="2:2">
      <c r="B1250" s="24"/>
    </row>
    <row r="1251" spans="2:2">
      <c r="B1251" s="24"/>
    </row>
    <row r="1252" spans="2:2">
      <c r="B1252" s="24"/>
    </row>
    <row r="1253" spans="2:2">
      <c r="B1253" s="24"/>
    </row>
    <row r="1254" spans="2:2">
      <c r="B1254" s="24"/>
    </row>
    <row r="1255" spans="2:2">
      <c r="B1255" s="24"/>
    </row>
    <row r="1256" spans="2:2">
      <c r="B1256" s="24"/>
    </row>
    <row r="1257" spans="2:2">
      <c r="B1257" s="24"/>
    </row>
    <row r="1258" spans="2:2">
      <c r="B1258" s="24"/>
    </row>
    <row r="1259" spans="2:2">
      <c r="B1259" s="24"/>
    </row>
    <row r="1260" spans="2:2">
      <c r="B1260" s="24"/>
    </row>
    <row r="1261" spans="2:2">
      <c r="B1261" s="24"/>
    </row>
    <row r="1262" spans="2:2">
      <c r="B1262" s="24"/>
    </row>
    <row r="1263" spans="2:2">
      <c r="B1263" s="24"/>
    </row>
    <row r="1264" spans="2:2">
      <c r="B1264" s="24"/>
    </row>
    <row r="1265" spans="2:2">
      <c r="B1265" s="24"/>
    </row>
    <row r="1266" spans="2:2">
      <c r="B1266" s="24"/>
    </row>
    <row r="1267" spans="2:2">
      <c r="B1267" s="24"/>
    </row>
    <row r="1268" spans="2:2">
      <c r="B1268" s="24"/>
    </row>
    <row r="1269" spans="2:2">
      <c r="B1269" s="24"/>
    </row>
    <row r="1270" spans="2:2">
      <c r="B1270" s="24"/>
    </row>
    <row r="1271" spans="2:2">
      <c r="B1271" s="24"/>
    </row>
    <row r="1272" spans="2:2">
      <c r="B1272" s="24"/>
    </row>
    <row r="1273" spans="2:2">
      <c r="B1273" s="24"/>
    </row>
    <row r="1274" spans="2:2">
      <c r="B1274" s="24"/>
    </row>
    <row r="1275" spans="2:2">
      <c r="B1275" s="24"/>
    </row>
    <row r="1276" spans="2:2">
      <c r="B1276" s="24"/>
    </row>
    <row r="1277" spans="2:2">
      <c r="B1277" s="24"/>
    </row>
    <row r="1278" spans="2:2">
      <c r="B1278" s="24"/>
    </row>
    <row r="1279" spans="2:2">
      <c r="B1279" s="24"/>
    </row>
    <row r="1280" spans="2:2">
      <c r="B1280" s="24"/>
    </row>
    <row r="1281" spans="2:2">
      <c r="B1281" s="24"/>
    </row>
    <row r="1282" spans="2:2">
      <c r="B1282" s="24"/>
    </row>
    <row r="1283" spans="2:2">
      <c r="B1283" s="24"/>
    </row>
    <row r="1284" spans="2:2">
      <c r="B1284" s="24"/>
    </row>
    <row r="1285" spans="2:2">
      <c r="B1285" s="24"/>
    </row>
    <row r="1286" spans="2:2">
      <c r="B1286" s="24"/>
    </row>
    <row r="1287" spans="2:2">
      <c r="B1287" s="24"/>
    </row>
    <row r="1288" spans="2:2">
      <c r="B1288" s="24"/>
    </row>
    <row r="1289" spans="2:2">
      <c r="B1289" s="24"/>
    </row>
    <row r="1290" spans="2:2">
      <c r="B1290" s="24"/>
    </row>
    <row r="1291" spans="2:2">
      <c r="B1291" s="24"/>
    </row>
    <row r="1292" spans="2:2">
      <c r="B1292" s="24"/>
    </row>
    <row r="1293" spans="2:2">
      <c r="B1293" s="24"/>
    </row>
    <row r="1294" spans="2:2">
      <c r="B1294" s="24"/>
    </row>
    <row r="1295" spans="2:2">
      <c r="B1295" s="24"/>
    </row>
    <row r="1296" spans="2:2">
      <c r="B1296" s="24"/>
    </row>
    <row r="1297" spans="2:2">
      <c r="B1297" s="24"/>
    </row>
    <row r="1298" spans="2:2">
      <c r="B1298" s="24"/>
    </row>
    <row r="1299" spans="2:2">
      <c r="B1299" s="24"/>
    </row>
    <row r="1300" spans="2:2">
      <c r="B1300" s="24"/>
    </row>
    <row r="1301" spans="2:2">
      <c r="B1301" s="24"/>
    </row>
    <row r="1302" spans="2:2">
      <c r="B1302" s="24"/>
    </row>
    <row r="1303" spans="2:2">
      <c r="B1303" s="24"/>
    </row>
    <row r="1304" spans="2:2">
      <c r="B1304" s="24"/>
    </row>
    <row r="1305" spans="2:2">
      <c r="B1305" s="24"/>
    </row>
    <row r="1306" spans="2:2">
      <c r="B1306" s="24"/>
    </row>
    <row r="1307" spans="2:2">
      <c r="B1307" s="24"/>
    </row>
    <row r="1308" spans="2:2">
      <c r="B1308" s="24"/>
    </row>
    <row r="1309" spans="2:2">
      <c r="B1309" s="24"/>
    </row>
    <row r="1310" spans="2:2">
      <c r="B1310" s="24"/>
    </row>
    <row r="1311" spans="2:2">
      <c r="B1311" s="24"/>
    </row>
    <row r="1312" spans="2:2">
      <c r="B1312" s="24"/>
    </row>
    <row r="1313" spans="2:2">
      <c r="B1313" s="24"/>
    </row>
    <row r="1314" spans="2:2">
      <c r="B1314" s="24"/>
    </row>
    <row r="1315" spans="2:2">
      <c r="B1315" s="24"/>
    </row>
    <row r="1316" spans="2:2">
      <c r="B1316" s="24"/>
    </row>
    <row r="1317" spans="2:2">
      <c r="B1317" s="24"/>
    </row>
    <row r="1318" spans="2:2">
      <c r="B1318" s="24"/>
    </row>
    <row r="1319" spans="2:2">
      <c r="B1319" s="24"/>
    </row>
    <row r="1320" spans="2:2">
      <c r="B1320" s="24"/>
    </row>
    <row r="1321" spans="2:2">
      <c r="B1321" s="24"/>
    </row>
    <row r="1322" spans="2:2">
      <c r="B1322" s="24"/>
    </row>
    <row r="1323" spans="2:2">
      <c r="B1323" s="24"/>
    </row>
    <row r="1324" spans="2:2">
      <c r="B1324" s="24"/>
    </row>
    <row r="1325" spans="2:2">
      <c r="B1325" s="24"/>
    </row>
    <row r="1326" spans="2:2">
      <c r="B1326" s="24"/>
    </row>
    <row r="1327" spans="2:2">
      <c r="B1327" s="24"/>
    </row>
    <row r="1328" spans="2:2">
      <c r="B1328" s="24"/>
    </row>
    <row r="1329" spans="2:2">
      <c r="B1329" s="24"/>
    </row>
    <row r="1330" spans="2:2">
      <c r="B1330" s="24"/>
    </row>
    <row r="1331" spans="2:2">
      <c r="B1331" s="24"/>
    </row>
    <row r="1332" spans="2:2">
      <c r="B1332" s="24"/>
    </row>
    <row r="1333" spans="2:2">
      <c r="B1333" s="24"/>
    </row>
    <row r="1334" spans="2:2">
      <c r="B1334" s="24"/>
    </row>
    <row r="1335" spans="2:2">
      <c r="B1335" s="24"/>
    </row>
    <row r="1336" spans="2:2">
      <c r="B1336" s="24"/>
    </row>
    <row r="1337" spans="2:2">
      <c r="B1337" s="24"/>
    </row>
    <row r="1338" spans="2:2">
      <c r="B1338" s="24"/>
    </row>
    <row r="1339" spans="2:2">
      <c r="B1339" s="24"/>
    </row>
    <row r="1340" spans="2:2">
      <c r="B1340" s="24"/>
    </row>
    <row r="1341" spans="2:2">
      <c r="B1341" s="24"/>
    </row>
    <row r="1342" spans="2:2">
      <c r="B1342" s="24"/>
    </row>
    <row r="1343" spans="2:2">
      <c r="B1343" s="24"/>
    </row>
    <row r="1344" spans="2:2">
      <c r="B1344" s="24"/>
    </row>
    <row r="1345" spans="2:2">
      <c r="B1345" s="24"/>
    </row>
    <row r="1346" spans="2:2">
      <c r="B1346" s="24"/>
    </row>
    <row r="1347" spans="2:2">
      <c r="B1347" s="24"/>
    </row>
    <row r="1348" spans="2:2">
      <c r="B1348" s="24"/>
    </row>
    <row r="1349" spans="2:2">
      <c r="B1349" s="24"/>
    </row>
    <row r="1350" spans="2:2">
      <c r="B1350" s="24"/>
    </row>
    <row r="1351" spans="2:2">
      <c r="B1351" s="24"/>
    </row>
    <row r="1352" spans="2:2">
      <c r="B1352" s="24"/>
    </row>
    <row r="1353" spans="2:2">
      <c r="B1353" s="24"/>
    </row>
    <row r="1354" spans="2:2">
      <c r="B1354" s="24"/>
    </row>
    <row r="1355" spans="2:2">
      <c r="B1355" s="24"/>
    </row>
    <row r="1356" spans="2:2">
      <c r="B1356" s="24"/>
    </row>
    <row r="1357" spans="2:2">
      <c r="B1357" s="24"/>
    </row>
    <row r="1358" spans="2:2">
      <c r="B1358" s="24"/>
    </row>
    <row r="1359" spans="2:2">
      <c r="B1359" s="24"/>
    </row>
    <row r="1360" spans="2:2">
      <c r="B1360" s="24"/>
    </row>
    <row r="1361" spans="2:2">
      <c r="B1361" s="24"/>
    </row>
    <row r="1362" spans="2:2">
      <c r="B1362" s="24"/>
    </row>
    <row r="1363" spans="2:2">
      <c r="B1363" s="24"/>
    </row>
    <row r="1364" spans="2:2">
      <c r="B1364" s="24"/>
    </row>
    <row r="1365" spans="2:2">
      <c r="B1365" s="24"/>
    </row>
    <row r="1366" spans="2:2">
      <c r="B1366" s="24"/>
    </row>
    <row r="1367" spans="2:2">
      <c r="B1367" s="24"/>
    </row>
    <row r="1368" spans="2:2">
      <c r="B1368" s="24"/>
    </row>
    <row r="1369" spans="2:2">
      <c r="B1369" s="24"/>
    </row>
    <row r="1370" spans="2:2">
      <c r="B1370" s="24"/>
    </row>
    <row r="1371" spans="2:2">
      <c r="B1371" s="24"/>
    </row>
    <row r="1372" spans="2:2">
      <c r="B1372" s="24"/>
    </row>
    <row r="1373" spans="2:2">
      <c r="B1373" s="24"/>
    </row>
    <row r="1374" spans="2:2">
      <c r="B1374" s="24"/>
    </row>
    <row r="1375" spans="2:2">
      <c r="B1375" s="24"/>
    </row>
    <row r="1376" spans="2:2">
      <c r="B1376" s="24"/>
    </row>
    <row r="1377" spans="2:2">
      <c r="B1377" s="24"/>
    </row>
    <row r="1378" spans="2:2">
      <c r="B1378" s="24"/>
    </row>
    <row r="1379" spans="2:2">
      <c r="B1379" s="24"/>
    </row>
    <row r="1380" spans="2:2">
      <c r="B1380" s="24"/>
    </row>
    <row r="1381" spans="2:2">
      <c r="B1381" s="24"/>
    </row>
    <row r="1382" spans="2:2">
      <c r="B1382" s="24"/>
    </row>
    <row r="1383" spans="2:2">
      <c r="B1383" s="24"/>
    </row>
    <row r="1384" spans="2:2">
      <c r="B1384" s="24"/>
    </row>
    <row r="1385" spans="2:2">
      <c r="B1385" s="24"/>
    </row>
    <row r="1386" spans="2:2">
      <c r="B1386" s="24"/>
    </row>
    <row r="1387" spans="2:2">
      <c r="B1387" s="24"/>
    </row>
    <row r="1388" spans="2:2">
      <c r="B1388" s="24"/>
    </row>
    <row r="1389" spans="2:2">
      <c r="B1389" s="24"/>
    </row>
    <row r="1390" spans="2:2">
      <c r="B1390" s="24"/>
    </row>
    <row r="1391" spans="2:2">
      <c r="B1391" s="24"/>
    </row>
    <row r="1392" spans="2:2">
      <c r="B1392" s="24"/>
    </row>
    <row r="1393" spans="2:2">
      <c r="B1393" s="24"/>
    </row>
    <row r="1394" spans="2:2">
      <c r="B1394" s="24"/>
    </row>
    <row r="1395" spans="2:2">
      <c r="B1395" s="24"/>
    </row>
    <row r="1396" spans="2:2">
      <c r="B1396" s="24"/>
    </row>
    <row r="1397" spans="2:2">
      <c r="B1397" s="24"/>
    </row>
    <row r="1398" spans="2:2">
      <c r="B1398" s="24"/>
    </row>
    <row r="1399" spans="2:2">
      <c r="B1399" s="24"/>
    </row>
    <row r="1400" spans="2:2">
      <c r="B1400" s="24"/>
    </row>
    <row r="1401" spans="2:2">
      <c r="B1401" s="24"/>
    </row>
    <row r="1402" spans="2:2">
      <c r="B1402" s="24"/>
    </row>
    <row r="1403" spans="2:2">
      <c r="B1403" s="24"/>
    </row>
    <row r="1404" spans="2:2">
      <c r="B1404" s="24"/>
    </row>
    <row r="1405" spans="2:2">
      <c r="B1405" s="24"/>
    </row>
    <row r="1406" spans="2:2">
      <c r="B1406" s="24"/>
    </row>
    <row r="1407" spans="2:2">
      <c r="B1407" s="24"/>
    </row>
    <row r="1408" spans="2:2">
      <c r="B1408" s="24"/>
    </row>
    <row r="1409" spans="2:2">
      <c r="B1409" s="24"/>
    </row>
    <row r="1410" spans="2:2">
      <c r="B1410" s="24"/>
    </row>
    <row r="1411" spans="2:2">
      <c r="B1411" s="24"/>
    </row>
    <row r="1412" spans="2:2">
      <c r="B1412" s="24"/>
    </row>
    <row r="1413" spans="2:2">
      <c r="B1413" s="24"/>
    </row>
    <row r="1414" spans="2:2">
      <c r="B1414" s="24"/>
    </row>
    <row r="1415" spans="2:2">
      <c r="B1415" s="24"/>
    </row>
    <row r="1416" spans="2:2">
      <c r="B1416" s="24"/>
    </row>
    <row r="1417" spans="2:2">
      <c r="B1417" s="24"/>
    </row>
    <row r="1418" spans="2:2">
      <c r="B1418" s="24"/>
    </row>
    <row r="1419" spans="2:2">
      <c r="B1419" s="24"/>
    </row>
    <row r="1420" spans="2:2">
      <c r="B1420" s="24"/>
    </row>
    <row r="1421" spans="2:2">
      <c r="B1421" s="24"/>
    </row>
    <row r="1422" spans="2:2">
      <c r="B1422" s="24"/>
    </row>
    <row r="1423" spans="2:2">
      <c r="B1423" s="24"/>
    </row>
    <row r="1424" spans="2:2">
      <c r="B1424" s="24"/>
    </row>
    <row r="1425" spans="2:2">
      <c r="B1425" s="24"/>
    </row>
    <row r="1426" spans="2:2">
      <c r="B1426" s="24"/>
    </row>
    <row r="1427" spans="2:2">
      <c r="B1427" s="24"/>
    </row>
    <row r="1428" spans="2:2">
      <c r="B1428" s="24"/>
    </row>
    <row r="1429" spans="2:2">
      <c r="B1429" s="24"/>
    </row>
    <row r="1430" spans="2:2">
      <c r="B1430" s="24"/>
    </row>
    <row r="1431" spans="2:2">
      <c r="B1431" s="24"/>
    </row>
    <row r="1432" spans="2:2">
      <c r="B1432" s="24"/>
    </row>
    <row r="1433" spans="2:2">
      <c r="B1433" s="24"/>
    </row>
    <row r="1434" spans="2:2">
      <c r="B1434" s="24"/>
    </row>
    <row r="1435" spans="2:2">
      <c r="B1435" s="24"/>
    </row>
    <row r="1436" spans="2:2">
      <c r="B1436" s="24"/>
    </row>
    <row r="1437" spans="2:2">
      <c r="B1437" s="24"/>
    </row>
    <row r="1438" spans="2:2">
      <c r="B1438" s="24"/>
    </row>
    <row r="1439" spans="2:2">
      <c r="B1439" s="24"/>
    </row>
    <row r="1440" spans="2:2">
      <c r="B1440" s="24"/>
    </row>
    <row r="1441" spans="2:2">
      <c r="B1441" s="24"/>
    </row>
    <row r="1442" spans="2:2">
      <c r="B1442" s="24"/>
    </row>
    <row r="1443" spans="2:2">
      <c r="B1443" s="24"/>
    </row>
    <row r="1444" spans="2:2">
      <c r="B1444" s="24"/>
    </row>
    <row r="1445" spans="2:2">
      <c r="B1445" s="24"/>
    </row>
    <row r="1446" spans="2:2">
      <c r="B1446" s="24"/>
    </row>
    <row r="1447" spans="2:2">
      <c r="B1447" s="24"/>
    </row>
    <row r="1448" spans="2:2">
      <c r="B1448" s="24"/>
    </row>
    <row r="1449" spans="2:2">
      <c r="B1449" s="24"/>
    </row>
    <row r="1450" spans="2:2">
      <c r="B1450" s="24"/>
    </row>
    <row r="1451" spans="2:2">
      <c r="B1451" s="24"/>
    </row>
    <row r="1452" spans="2:2">
      <c r="B1452" s="24"/>
    </row>
    <row r="1453" spans="2:2">
      <c r="B1453" s="24"/>
    </row>
    <row r="1454" spans="2:2">
      <c r="B1454" s="24"/>
    </row>
    <row r="1455" spans="2:2">
      <c r="B1455" s="24"/>
    </row>
    <row r="1456" spans="2:2">
      <c r="B1456" s="24"/>
    </row>
    <row r="1457" spans="2:2">
      <c r="B1457" s="24"/>
    </row>
    <row r="1458" spans="2:2">
      <c r="B1458" s="24"/>
    </row>
    <row r="1459" spans="2:2">
      <c r="B1459" s="24"/>
    </row>
    <row r="1460" spans="2:2">
      <c r="B1460" s="24"/>
    </row>
    <row r="1461" spans="2:2">
      <c r="B1461" s="24"/>
    </row>
    <row r="1462" spans="2:2">
      <c r="B1462" s="24"/>
    </row>
    <row r="1463" spans="2:2">
      <c r="B1463" s="24"/>
    </row>
    <row r="1464" spans="2:2">
      <c r="B1464" s="24"/>
    </row>
    <row r="1465" spans="2:2">
      <c r="B1465" s="24"/>
    </row>
    <row r="1466" spans="2:2">
      <c r="B1466" s="24"/>
    </row>
    <row r="1467" spans="2:2">
      <c r="B1467" s="24"/>
    </row>
    <row r="1468" spans="2:2">
      <c r="B1468" s="24"/>
    </row>
    <row r="1469" spans="2:2">
      <c r="B1469" s="24"/>
    </row>
    <row r="1470" spans="2:2">
      <c r="B1470" s="24"/>
    </row>
    <row r="1471" spans="2:2">
      <c r="B1471" s="24"/>
    </row>
    <row r="1472" spans="2:2">
      <c r="B1472" s="24"/>
    </row>
    <row r="1473" spans="2:2">
      <c r="B1473" s="24"/>
    </row>
    <row r="1474" spans="2:2">
      <c r="B1474" s="24"/>
    </row>
    <row r="1475" spans="2:2">
      <c r="B1475" s="24"/>
    </row>
    <row r="1476" spans="2:2">
      <c r="B1476" s="24"/>
    </row>
    <row r="1477" spans="2:2">
      <c r="B1477" s="24"/>
    </row>
    <row r="1478" spans="2:2">
      <c r="B1478" s="24"/>
    </row>
    <row r="1479" spans="2:2">
      <c r="B1479" s="24"/>
    </row>
    <row r="1480" spans="2:2">
      <c r="B1480" s="24"/>
    </row>
    <row r="1481" spans="2:2">
      <c r="B1481" s="24"/>
    </row>
    <row r="1482" spans="2:2">
      <c r="B1482" s="24"/>
    </row>
    <row r="1483" spans="2:2">
      <c r="B1483" s="24"/>
    </row>
    <row r="1484" spans="2:2">
      <c r="B1484" s="24"/>
    </row>
    <row r="1485" spans="2:2">
      <c r="B1485" s="24"/>
    </row>
    <row r="1486" spans="2:2">
      <c r="B1486" s="24"/>
    </row>
    <row r="1487" spans="2:2">
      <c r="B1487" s="24"/>
    </row>
    <row r="1488" spans="2:2">
      <c r="B1488" s="24"/>
    </row>
    <row r="1489" spans="2:2">
      <c r="B1489" s="24"/>
    </row>
    <row r="1490" spans="2:2">
      <c r="B1490" s="24"/>
    </row>
    <row r="1491" spans="2:2">
      <c r="B1491" s="24"/>
    </row>
    <row r="1492" spans="2:2">
      <c r="B1492" s="24"/>
    </row>
    <row r="1493" spans="2:2">
      <c r="B1493" s="24"/>
    </row>
    <row r="1494" spans="2:2">
      <c r="B1494" s="24"/>
    </row>
    <row r="1495" spans="2:2">
      <c r="B1495" s="24"/>
    </row>
    <row r="1496" spans="2:2">
      <c r="B1496" s="24"/>
    </row>
    <row r="1497" spans="2:2">
      <c r="B1497" s="24"/>
    </row>
    <row r="1498" spans="2:2">
      <c r="B1498" s="24"/>
    </row>
    <row r="1499" spans="2:2">
      <c r="B1499" s="24"/>
    </row>
    <row r="1500" spans="2:2">
      <c r="B1500" s="24"/>
    </row>
    <row r="1501" spans="2:2">
      <c r="B1501" s="24"/>
    </row>
    <row r="1502" spans="2:2">
      <c r="B1502" s="24"/>
    </row>
    <row r="1503" spans="2:2">
      <c r="B1503" s="24"/>
    </row>
    <row r="1504" spans="2:2">
      <c r="B1504" s="24"/>
    </row>
    <row r="1505" spans="2:2">
      <c r="B1505" s="24"/>
    </row>
    <row r="1506" spans="2:2">
      <c r="B1506" s="24"/>
    </row>
    <row r="1507" spans="2:2">
      <c r="B1507" s="24"/>
    </row>
    <row r="1508" spans="2:2">
      <c r="B1508" s="24"/>
    </row>
    <row r="1509" spans="2:2">
      <c r="B1509" s="24"/>
    </row>
    <row r="1510" spans="2:2">
      <c r="B1510" s="24"/>
    </row>
    <row r="1511" spans="2:2">
      <c r="B1511" s="24"/>
    </row>
    <row r="1512" spans="2:2">
      <c r="B1512" s="24"/>
    </row>
    <row r="1513" spans="2:2">
      <c r="B1513" s="24"/>
    </row>
    <row r="1514" spans="2:2">
      <c r="B1514" s="24"/>
    </row>
    <row r="1515" spans="2:2">
      <c r="B1515" s="24"/>
    </row>
    <row r="1516" spans="2:2">
      <c r="B1516" s="24"/>
    </row>
    <row r="1517" spans="2:2">
      <c r="B1517" s="24"/>
    </row>
    <row r="1518" spans="2:2">
      <c r="B1518" s="24"/>
    </row>
    <row r="1519" spans="2:2">
      <c r="B1519" s="24"/>
    </row>
    <row r="1520" spans="2:2">
      <c r="B1520" s="24"/>
    </row>
    <row r="1521" spans="2:2">
      <c r="B1521" s="24"/>
    </row>
    <row r="1522" spans="2:2">
      <c r="B1522" s="24"/>
    </row>
    <row r="1523" spans="2:2">
      <c r="B1523" s="24"/>
    </row>
    <row r="1524" spans="2:2">
      <c r="B1524" s="24"/>
    </row>
    <row r="1525" spans="2:2">
      <c r="B1525" s="24"/>
    </row>
    <row r="1526" spans="2:2">
      <c r="B1526" s="24"/>
    </row>
    <row r="1527" spans="2:2">
      <c r="B1527" s="24"/>
    </row>
    <row r="1528" spans="2:2">
      <c r="B1528" s="24"/>
    </row>
    <row r="1529" spans="2:2">
      <c r="B1529" s="24"/>
    </row>
    <row r="1530" spans="2:2">
      <c r="B1530" s="24"/>
    </row>
    <row r="1531" spans="2:2">
      <c r="B1531" s="24"/>
    </row>
    <row r="1532" spans="2:2">
      <c r="B1532" s="24"/>
    </row>
    <row r="1533" spans="2:2">
      <c r="B1533" s="24"/>
    </row>
    <row r="1534" spans="2:2">
      <c r="B1534" s="24"/>
    </row>
    <row r="1535" spans="2:2">
      <c r="B1535" s="24"/>
    </row>
    <row r="1536" spans="2:2">
      <c r="B1536" s="24"/>
    </row>
    <row r="1537" spans="2:2">
      <c r="B1537" s="24"/>
    </row>
    <row r="1538" spans="2:2">
      <c r="B1538" s="24"/>
    </row>
    <row r="1539" spans="2:2">
      <c r="B1539" s="24"/>
    </row>
    <row r="1540" spans="2:2">
      <c r="B1540" s="24"/>
    </row>
    <row r="1541" spans="2:2">
      <c r="B1541" s="24"/>
    </row>
    <row r="1542" spans="2:2">
      <c r="B1542" s="24"/>
    </row>
    <row r="1543" spans="2:2">
      <c r="B1543" s="24"/>
    </row>
    <row r="1544" spans="2:2">
      <c r="B1544" s="24"/>
    </row>
    <row r="1545" spans="2:2">
      <c r="B1545" s="24"/>
    </row>
    <row r="1546" spans="2:2">
      <c r="B1546" s="24"/>
    </row>
    <row r="1547" spans="2:2">
      <c r="B1547" s="24"/>
    </row>
    <row r="1548" spans="2:2">
      <c r="B1548" s="24"/>
    </row>
    <row r="1549" spans="2:2">
      <c r="B1549" s="24"/>
    </row>
    <row r="1550" spans="2:2">
      <c r="B1550" s="24"/>
    </row>
    <row r="1551" spans="2:2">
      <c r="B1551" s="24"/>
    </row>
    <row r="1552" spans="2:2">
      <c r="B1552" s="24"/>
    </row>
    <row r="1553" spans="2:2">
      <c r="B1553" s="24"/>
    </row>
    <row r="1554" spans="2:2">
      <c r="B1554" s="24"/>
    </row>
    <row r="1555" spans="2:2">
      <c r="B1555" s="24"/>
    </row>
    <row r="1556" spans="2:2">
      <c r="B1556" s="24"/>
    </row>
    <row r="1557" spans="2:2">
      <c r="B1557" s="24"/>
    </row>
    <row r="1558" spans="2:2">
      <c r="B1558" s="24"/>
    </row>
    <row r="1559" spans="2:2">
      <c r="B1559" s="24"/>
    </row>
    <row r="1560" spans="2:2">
      <c r="B1560" s="24"/>
    </row>
    <row r="1561" spans="2:2">
      <c r="B1561" s="24"/>
    </row>
    <row r="1562" spans="2:2">
      <c r="B1562" s="24"/>
    </row>
    <row r="1563" spans="2:2">
      <c r="B1563" s="24"/>
    </row>
    <row r="1564" spans="2:2">
      <c r="B1564" s="24"/>
    </row>
    <row r="1565" spans="2:2">
      <c r="B1565" s="24"/>
    </row>
    <row r="1566" spans="2:2">
      <c r="B1566" s="24"/>
    </row>
    <row r="1567" spans="2:2">
      <c r="B1567" s="24"/>
    </row>
    <row r="1568" spans="2:2">
      <c r="B1568" s="24"/>
    </row>
    <row r="1569" spans="2:2">
      <c r="B1569" s="24"/>
    </row>
    <row r="1570" spans="2:2">
      <c r="B1570" s="24"/>
    </row>
    <row r="1571" spans="2:2">
      <c r="B1571" s="24"/>
    </row>
    <row r="1572" spans="2:2">
      <c r="B1572" s="24"/>
    </row>
    <row r="1573" spans="2:2">
      <c r="B1573" s="24"/>
    </row>
    <row r="1574" spans="2:2">
      <c r="B1574" s="24"/>
    </row>
    <row r="1575" spans="2:2">
      <c r="B1575" s="24"/>
    </row>
    <row r="1576" spans="2:2">
      <c r="B1576" s="24"/>
    </row>
    <row r="1577" spans="2:2">
      <c r="B1577" s="24"/>
    </row>
    <row r="1578" spans="2:2">
      <c r="B1578" s="24"/>
    </row>
    <row r="1579" spans="2:2">
      <c r="B1579" s="24"/>
    </row>
    <row r="1580" spans="2:2">
      <c r="B1580" s="24"/>
    </row>
    <row r="1581" spans="2:2">
      <c r="B1581" s="24"/>
    </row>
    <row r="1582" spans="2:2">
      <c r="B1582" s="24"/>
    </row>
    <row r="1583" spans="2:2">
      <c r="B1583" s="24"/>
    </row>
    <row r="1584" spans="2:2">
      <c r="B1584" s="24"/>
    </row>
    <row r="1585" spans="2:2">
      <c r="B1585" s="24"/>
    </row>
    <row r="1586" spans="2:2">
      <c r="B1586" s="24"/>
    </row>
    <row r="1587" spans="2:2">
      <c r="B1587" s="24"/>
    </row>
    <row r="1588" spans="2:2">
      <c r="B1588" s="24"/>
    </row>
    <row r="1589" spans="2:2">
      <c r="B1589" s="24"/>
    </row>
    <row r="1590" spans="2:2">
      <c r="B1590" s="24"/>
    </row>
    <row r="1591" spans="2:2">
      <c r="B1591" s="24"/>
    </row>
    <row r="1592" spans="2:2">
      <c r="B1592" s="24"/>
    </row>
    <row r="1593" spans="2:2">
      <c r="B1593" s="24"/>
    </row>
    <row r="1594" spans="2:2">
      <c r="B1594" s="24"/>
    </row>
    <row r="1595" spans="2:2">
      <c r="B1595" s="24"/>
    </row>
    <row r="1596" spans="2:2">
      <c r="B1596" s="24"/>
    </row>
    <row r="1597" spans="2:2">
      <c r="B1597" s="24"/>
    </row>
    <row r="1598" spans="2:2">
      <c r="B1598" s="24"/>
    </row>
    <row r="1599" spans="2:2">
      <c r="B1599" s="24"/>
    </row>
    <row r="1600" spans="2:2">
      <c r="B1600" s="24"/>
    </row>
    <row r="1601" spans="2:2">
      <c r="B1601" s="24"/>
    </row>
    <row r="1602" spans="2:2">
      <c r="B1602" s="24"/>
    </row>
    <row r="1603" spans="2:2">
      <c r="B1603" s="24"/>
    </row>
    <row r="1604" spans="2:2">
      <c r="B1604" s="24"/>
    </row>
    <row r="1605" spans="2:2">
      <c r="B1605" s="24"/>
    </row>
    <row r="1606" spans="2:2">
      <c r="B1606" s="24"/>
    </row>
    <row r="1607" spans="2:2">
      <c r="B1607" s="24"/>
    </row>
    <row r="1608" spans="2:2">
      <c r="B1608" s="24"/>
    </row>
    <row r="1609" spans="2:2">
      <c r="B1609" s="24"/>
    </row>
    <row r="1610" spans="2:2">
      <c r="B1610" s="24"/>
    </row>
    <row r="1611" spans="2:2">
      <c r="B1611" s="24"/>
    </row>
    <row r="1612" spans="2:2">
      <c r="B1612" s="24"/>
    </row>
    <row r="1613" spans="2:2">
      <c r="B1613" s="24"/>
    </row>
    <row r="1614" spans="2:2">
      <c r="B1614" s="24"/>
    </row>
    <row r="1615" spans="2:2">
      <c r="B1615" s="24"/>
    </row>
    <row r="1616" spans="2:2">
      <c r="B1616" s="24"/>
    </row>
    <row r="1617" spans="2:2">
      <c r="B1617" s="24"/>
    </row>
    <row r="1618" spans="2:2">
      <c r="B1618" s="24"/>
    </row>
    <row r="1619" spans="2:2">
      <c r="B1619" s="24"/>
    </row>
    <row r="1620" spans="2:2">
      <c r="B1620" s="24"/>
    </row>
    <row r="1621" spans="2:2">
      <c r="B1621" s="24"/>
    </row>
    <row r="1622" spans="2:2">
      <c r="B1622" s="24"/>
    </row>
    <row r="1623" spans="2:2">
      <c r="B1623" s="24"/>
    </row>
    <row r="1624" spans="2:2">
      <c r="B1624" s="24"/>
    </row>
    <row r="1625" spans="2:2">
      <c r="B1625" s="24"/>
    </row>
    <row r="1626" spans="2:2">
      <c r="B1626" s="24"/>
    </row>
    <row r="1627" spans="2:2">
      <c r="B1627" s="24"/>
    </row>
    <row r="1628" spans="2:2">
      <c r="B1628" s="24"/>
    </row>
    <row r="1629" spans="2:2">
      <c r="B1629" s="24"/>
    </row>
    <row r="1630" spans="2:2">
      <c r="B1630" s="24"/>
    </row>
    <row r="1631" spans="2:2">
      <c r="B1631" s="24"/>
    </row>
    <row r="1632" spans="2:2">
      <c r="B1632" s="24"/>
    </row>
    <row r="1633" spans="2:2">
      <c r="B1633" s="24"/>
    </row>
    <row r="1634" spans="2:2">
      <c r="B1634" s="24"/>
    </row>
    <row r="1635" spans="2:2">
      <c r="B1635" s="24"/>
    </row>
    <row r="1636" spans="2:2">
      <c r="B1636" s="24"/>
    </row>
    <row r="1637" spans="2:2">
      <c r="B1637" s="24"/>
    </row>
    <row r="1638" spans="2:2">
      <c r="B1638" s="24"/>
    </row>
    <row r="1639" spans="2:2">
      <c r="B1639" s="24"/>
    </row>
    <row r="1640" spans="2:2">
      <c r="B1640" s="24"/>
    </row>
    <row r="1641" spans="2:2">
      <c r="B1641" s="24"/>
    </row>
    <row r="1642" spans="2:2">
      <c r="B1642" s="24"/>
    </row>
    <row r="1643" spans="2:2">
      <c r="B1643" s="24"/>
    </row>
    <row r="1644" spans="2:2">
      <c r="B1644" s="24"/>
    </row>
    <row r="1645" spans="2:2">
      <c r="B1645" s="24"/>
    </row>
    <row r="1646" spans="2:2">
      <c r="B1646" s="24"/>
    </row>
    <row r="1647" spans="2:2">
      <c r="B1647" s="24"/>
    </row>
    <row r="1648" spans="2:2">
      <c r="B1648" s="24"/>
    </row>
    <row r="1649" spans="2:2">
      <c r="B1649" s="24"/>
    </row>
    <row r="1650" spans="2:2">
      <c r="B1650" s="24"/>
    </row>
    <row r="1651" spans="2:2">
      <c r="B1651" s="24"/>
    </row>
    <row r="1652" spans="2:2">
      <c r="B1652" s="24"/>
    </row>
    <row r="1653" spans="2:2">
      <c r="B1653" s="24"/>
    </row>
    <row r="1654" spans="2:2">
      <c r="B1654" s="24"/>
    </row>
    <row r="1655" spans="2:2">
      <c r="B1655" s="24"/>
    </row>
    <row r="1656" spans="2:2">
      <c r="B1656" s="24"/>
    </row>
    <row r="1657" spans="2:2">
      <c r="B1657" s="24"/>
    </row>
    <row r="1658" spans="2:2">
      <c r="B1658" s="24"/>
    </row>
    <row r="1659" spans="2:2">
      <c r="B1659" s="24"/>
    </row>
    <row r="1660" spans="2:2">
      <c r="B1660" s="24"/>
    </row>
    <row r="1661" spans="2:2">
      <c r="B1661" s="24"/>
    </row>
    <row r="1662" spans="2:2">
      <c r="B1662" s="24"/>
    </row>
    <row r="1663" spans="2:2">
      <c r="B1663" s="24"/>
    </row>
    <row r="1664" spans="2:2">
      <c r="B1664" s="24"/>
    </row>
    <row r="1665" spans="2:2">
      <c r="B1665" s="24"/>
    </row>
    <row r="1666" spans="2:2">
      <c r="B1666" s="24"/>
    </row>
    <row r="1667" spans="2:2">
      <c r="B1667" s="24"/>
    </row>
    <row r="1668" spans="2:2">
      <c r="B1668" s="24"/>
    </row>
    <row r="1669" spans="2:2">
      <c r="B1669" s="24"/>
    </row>
    <row r="1670" spans="2:2">
      <c r="B1670" s="24"/>
    </row>
    <row r="1671" spans="2:2">
      <c r="B1671" s="24"/>
    </row>
    <row r="1672" spans="2:2">
      <c r="B1672" s="24"/>
    </row>
    <row r="1673" spans="2:2">
      <c r="B1673" s="24"/>
    </row>
    <row r="1674" spans="2:2">
      <c r="B1674" s="24"/>
    </row>
    <row r="1675" spans="2:2">
      <c r="B1675" s="24"/>
    </row>
    <row r="1676" spans="2:2">
      <c r="B1676" s="24"/>
    </row>
    <row r="1677" spans="2:2">
      <c r="B1677" s="24"/>
    </row>
    <row r="1678" spans="2:2">
      <c r="B1678" s="24"/>
    </row>
    <row r="1679" spans="2:2">
      <c r="B1679" s="24"/>
    </row>
    <row r="1680" spans="2:2">
      <c r="B1680" s="24"/>
    </row>
    <row r="1681" spans="2:2">
      <c r="B1681" s="24"/>
    </row>
    <row r="1682" spans="2:2">
      <c r="B1682" s="24"/>
    </row>
    <row r="1683" spans="2:2">
      <c r="B1683" s="24"/>
    </row>
    <row r="1684" spans="2:2">
      <c r="B1684" s="24"/>
    </row>
    <row r="1685" spans="2:2">
      <c r="B1685" s="24"/>
    </row>
    <row r="1686" spans="2:2">
      <c r="B1686" s="24"/>
    </row>
    <row r="1687" spans="2:2">
      <c r="B1687" s="24"/>
    </row>
    <row r="1688" spans="2:2">
      <c r="B1688" s="24"/>
    </row>
    <row r="1689" spans="2:2">
      <c r="B1689" s="24"/>
    </row>
    <row r="1690" spans="2:2">
      <c r="B1690" s="24"/>
    </row>
    <row r="1691" spans="2:2">
      <c r="B1691" s="24"/>
    </row>
    <row r="1692" spans="2:2">
      <c r="B1692" s="24"/>
    </row>
    <row r="1693" spans="2:2">
      <c r="B1693" s="24"/>
    </row>
    <row r="1694" spans="2:2">
      <c r="B1694" s="24"/>
    </row>
    <row r="1695" spans="2:2">
      <c r="B1695" s="24"/>
    </row>
    <row r="1696" spans="2:2">
      <c r="B1696" s="24"/>
    </row>
    <row r="1697" spans="2:2">
      <c r="B1697" s="24"/>
    </row>
    <row r="1698" spans="2:2">
      <c r="B1698" s="24"/>
    </row>
    <row r="1699" spans="2:2">
      <c r="B1699" s="24"/>
    </row>
    <row r="1700" spans="2:2">
      <c r="B1700" s="24"/>
    </row>
    <row r="1701" spans="2:2">
      <c r="B1701" s="24"/>
    </row>
    <row r="1702" spans="2:2">
      <c r="B1702" s="24"/>
    </row>
    <row r="1703" spans="2:2">
      <c r="B1703" s="24"/>
    </row>
    <row r="1704" spans="2:2">
      <c r="B1704" s="24"/>
    </row>
    <row r="1705" spans="2:2">
      <c r="B1705" s="24"/>
    </row>
    <row r="1706" spans="2:2">
      <c r="B1706" s="24"/>
    </row>
    <row r="1707" spans="2:2">
      <c r="B1707" s="24"/>
    </row>
    <row r="1708" spans="2:2">
      <c r="B1708" s="24"/>
    </row>
    <row r="1709" spans="2:2">
      <c r="B1709" s="24"/>
    </row>
    <row r="1710" spans="2:2">
      <c r="B1710" s="24"/>
    </row>
    <row r="1711" spans="2:2">
      <c r="B1711" s="24"/>
    </row>
    <row r="1712" spans="2:2">
      <c r="B1712" s="24"/>
    </row>
    <row r="1713" spans="2:2">
      <c r="B1713" s="24"/>
    </row>
    <row r="1714" spans="2:2">
      <c r="B1714" s="24"/>
    </row>
    <row r="1715" spans="2:2">
      <c r="B1715" s="24"/>
    </row>
    <row r="1716" spans="2:2">
      <c r="B1716" s="24"/>
    </row>
    <row r="1717" spans="2:2">
      <c r="B1717" s="24"/>
    </row>
    <row r="1718" spans="2:2">
      <c r="B1718" s="24"/>
    </row>
    <row r="1719" spans="2:2">
      <c r="B1719" s="24"/>
    </row>
    <row r="1720" spans="2:2">
      <c r="B1720" s="24"/>
    </row>
    <row r="1721" spans="2:2">
      <c r="B1721" s="24"/>
    </row>
    <row r="1722" spans="2:2">
      <c r="B1722" s="24"/>
    </row>
    <row r="1723" spans="2:2">
      <c r="B1723" s="24"/>
    </row>
    <row r="1724" spans="2:2">
      <c r="B1724" s="24"/>
    </row>
    <row r="1725" spans="2:2">
      <c r="B1725" s="24"/>
    </row>
    <row r="1726" spans="2:2">
      <c r="B1726" s="24"/>
    </row>
    <row r="1727" spans="2:2">
      <c r="B1727" s="24"/>
    </row>
    <row r="1728" spans="2:2">
      <c r="B1728" s="24"/>
    </row>
    <row r="1729" spans="2:2">
      <c r="B1729" s="24"/>
    </row>
    <row r="1730" spans="2:2">
      <c r="B1730" s="24"/>
    </row>
    <row r="1731" spans="2:2">
      <c r="B1731" s="24"/>
    </row>
    <row r="1732" spans="2:2">
      <c r="B1732" s="24"/>
    </row>
    <row r="1733" spans="2:2">
      <c r="B1733" s="24"/>
    </row>
    <row r="1734" spans="2:2">
      <c r="B1734" s="24"/>
    </row>
    <row r="1735" spans="2:2">
      <c r="B1735" s="24"/>
    </row>
    <row r="1736" spans="2:2">
      <c r="B1736" s="24"/>
    </row>
    <row r="1737" spans="2:2">
      <c r="B1737" s="24"/>
    </row>
    <row r="1738" spans="2:2">
      <c r="B1738" s="24"/>
    </row>
    <row r="1739" spans="2:2">
      <c r="B1739" s="24"/>
    </row>
    <row r="1740" spans="2:2">
      <c r="B1740" s="24"/>
    </row>
    <row r="1741" spans="2:2">
      <c r="B1741" s="24"/>
    </row>
    <row r="1742" spans="2:2">
      <c r="B1742" s="24"/>
    </row>
    <row r="1743" spans="2:2">
      <c r="B1743" s="24"/>
    </row>
    <row r="1744" spans="2:2">
      <c r="B1744" s="24"/>
    </row>
    <row r="1745" spans="2:2">
      <c r="B1745" s="24"/>
    </row>
    <row r="1746" spans="2:2">
      <c r="B1746" s="24"/>
    </row>
    <row r="1747" spans="2:2">
      <c r="B1747" s="24"/>
    </row>
    <row r="1748" spans="2:2">
      <c r="B1748" s="24"/>
    </row>
    <row r="1749" spans="2:2">
      <c r="B1749" s="24"/>
    </row>
    <row r="1750" spans="2:2">
      <c r="B1750" s="24"/>
    </row>
    <row r="1751" spans="2:2">
      <c r="B1751" s="24"/>
    </row>
    <row r="1752" spans="2:2">
      <c r="B1752" s="24"/>
    </row>
    <row r="1753" spans="2:2">
      <c r="B1753" s="24"/>
    </row>
    <row r="1754" spans="2:2">
      <c r="B1754" s="24"/>
    </row>
    <row r="1755" spans="2:2">
      <c r="B1755" s="24"/>
    </row>
    <row r="1756" spans="2:2">
      <c r="B1756" s="24"/>
    </row>
    <row r="1757" spans="2:2">
      <c r="B1757" s="24"/>
    </row>
    <row r="1758" spans="2:2">
      <c r="B1758" s="24"/>
    </row>
    <row r="1759" spans="2:2">
      <c r="B1759" s="24"/>
    </row>
    <row r="1760" spans="2:2">
      <c r="B1760" s="24"/>
    </row>
    <row r="1761" spans="2:2">
      <c r="B1761" s="24"/>
    </row>
    <row r="1762" spans="2:2">
      <c r="B1762" s="24"/>
    </row>
    <row r="1763" spans="2:2">
      <c r="B1763" s="24"/>
    </row>
    <row r="1764" spans="2:2">
      <c r="B1764" s="24"/>
    </row>
    <row r="1765" spans="2:2">
      <c r="B1765" s="24"/>
    </row>
    <row r="1766" spans="2:2">
      <c r="B1766" s="24"/>
    </row>
    <row r="1767" spans="2:2">
      <c r="B1767" s="24"/>
    </row>
    <row r="1768" spans="2:2">
      <c r="B1768" s="24"/>
    </row>
    <row r="1769" spans="2:2">
      <c r="B1769" s="24"/>
    </row>
    <row r="1770" spans="2:2">
      <c r="B1770" s="24"/>
    </row>
    <row r="1771" spans="2:2">
      <c r="B1771" s="24"/>
    </row>
    <row r="1772" spans="2:2">
      <c r="B1772" s="24"/>
    </row>
    <row r="1773" spans="2:2">
      <c r="B1773" s="24"/>
    </row>
    <row r="1774" spans="2:2">
      <c r="B1774" s="24"/>
    </row>
    <row r="1775" spans="2:2">
      <c r="B1775" s="24"/>
    </row>
    <row r="1776" spans="2:2">
      <c r="B1776" s="24"/>
    </row>
    <row r="1777" spans="2:2">
      <c r="B1777" s="24"/>
    </row>
    <row r="1778" spans="2:2">
      <c r="B1778" s="24"/>
    </row>
    <row r="1779" spans="2:2">
      <c r="B1779" s="24"/>
    </row>
    <row r="1780" spans="2:2">
      <c r="B1780" s="24"/>
    </row>
    <row r="1781" spans="2:2">
      <c r="B1781" s="24"/>
    </row>
    <row r="1782" spans="2:2">
      <c r="B1782" s="24"/>
    </row>
    <row r="1783" spans="2:2">
      <c r="B1783" s="24"/>
    </row>
    <row r="1784" spans="2:2">
      <c r="B1784" s="24"/>
    </row>
    <row r="1785" spans="2:2">
      <c r="B1785" s="24"/>
    </row>
    <row r="1786" spans="2:2">
      <c r="B1786" s="24"/>
    </row>
    <row r="1787" spans="2:2">
      <c r="B1787" s="24"/>
    </row>
    <row r="1788" spans="2:2">
      <c r="B1788" s="24"/>
    </row>
    <row r="1789" spans="2:2">
      <c r="B1789" s="24"/>
    </row>
    <row r="1790" spans="2:2">
      <c r="B1790" s="24"/>
    </row>
    <row r="1791" spans="2:2">
      <c r="B1791" s="24"/>
    </row>
    <row r="1792" spans="2:2">
      <c r="B1792" s="24"/>
    </row>
    <row r="1793" spans="2:2">
      <c r="B1793" s="24"/>
    </row>
    <row r="1794" spans="2:2">
      <c r="B1794" s="24"/>
    </row>
    <row r="1795" spans="2:2">
      <c r="B1795" s="24"/>
    </row>
    <row r="1796" spans="2:2">
      <c r="B1796" s="24"/>
    </row>
    <row r="1797" spans="2:2">
      <c r="B1797" s="24"/>
    </row>
    <row r="1798" spans="2:2">
      <c r="B1798" s="24"/>
    </row>
    <row r="1799" spans="2:2">
      <c r="B1799" s="24"/>
    </row>
    <row r="1800" spans="2:2">
      <c r="B1800" s="24"/>
    </row>
    <row r="1801" spans="2:2">
      <c r="B1801" s="24"/>
    </row>
    <row r="1802" spans="2:2">
      <c r="B1802" s="24"/>
    </row>
    <row r="1803" spans="2:2">
      <c r="B1803" s="24"/>
    </row>
    <row r="1804" spans="2:2">
      <c r="B1804" s="24"/>
    </row>
    <row r="1805" spans="2:2">
      <c r="B1805" s="24"/>
    </row>
    <row r="1806" spans="2:2">
      <c r="B1806" s="24"/>
    </row>
    <row r="1807" spans="2:2">
      <c r="B1807" s="24"/>
    </row>
    <row r="1808" spans="2:2">
      <c r="B1808" s="24"/>
    </row>
    <row r="1809" spans="2:2">
      <c r="B1809" s="24"/>
    </row>
    <row r="1810" spans="2:2">
      <c r="B1810" s="24"/>
    </row>
    <row r="1811" spans="2:2">
      <c r="B1811" s="24"/>
    </row>
    <row r="1812" spans="2:2">
      <c r="B1812" s="24"/>
    </row>
    <row r="1813" spans="2:2">
      <c r="B1813" s="24"/>
    </row>
    <row r="1814" spans="2:2">
      <c r="B1814" s="24"/>
    </row>
    <row r="1815" spans="2:2">
      <c r="B1815" s="24"/>
    </row>
    <row r="1816" spans="2:2">
      <c r="B1816" s="24"/>
    </row>
    <row r="1817" spans="2:2">
      <c r="B1817" s="24"/>
    </row>
    <row r="1818" spans="2:2">
      <c r="B1818" s="24"/>
    </row>
    <row r="1819" spans="2:2">
      <c r="B1819" s="24"/>
    </row>
    <row r="1820" spans="2:2">
      <c r="B1820" s="24"/>
    </row>
    <row r="1821" spans="2:2">
      <c r="B1821" s="24"/>
    </row>
    <row r="1822" spans="2:2">
      <c r="B1822" s="24"/>
    </row>
    <row r="1823" spans="2:2">
      <c r="B1823" s="24"/>
    </row>
    <row r="1824" spans="2:2">
      <c r="B1824" s="24"/>
    </row>
    <row r="1825" spans="2:2">
      <c r="B1825" s="24"/>
    </row>
    <row r="1826" spans="2:2">
      <c r="B1826" s="24"/>
    </row>
    <row r="1827" spans="2:2">
      <c r="B1827" s="24"/>
    </row>
    <row r="1828" spans="2:2">
      <c r="B1828" s="24"/>
    </row>
    <row r="1829" spans="2:2">
      <c r="B1829" s="24"/>
    </row>
    <row r="1830" spans="2:2">
      <c r="B1830" s="24"/>
    </row>
    <row r="1831" spans="2:2">
      <c r="B1831" s="24"/>
    </row>
    <row r="1832" spans="2:2">
      <c r="B1832" s="24"/>
    </row>
    <row r="1833" spans="2:2">
      <c r="B1833" s="24"/>
    </row>
    <row r="1834" spans="2:2">
      <c r="B1834" s="24"/>
    </row>
    <row r="1835" spans="2:2">
      <c r="B1835" s="24"/>
    </row>
    <row r="1836" spans="2:2">
      <c r="B1836" s="24"/>
    </row>
    <row r="1837" spans="2:2">
      <c r="B1837" s="24"/>
    </row>
    <row r="1838" spans="2:2">
      <c r="B1838" s="24"/>
    </row>
    <row r="1839" spans="2:2">
      <c r="B1839" s="24"/>
    </row>
    <row r="1840" spans="2:2">
      <c r="B1840" s="24"/>
    </row>
    <row r="1841" spans="2:2">
      <c r="B1841" s="24"/>
    </row>
    <row r="1842" spans="2:2">
      <c r="B1842" s="24"/>
    </row>
    <row r="1843" spans="2:2">
      <c r="B1843" s="24"/>
    </row>
    <row r="1844" spans="2:2">
      <c r="B1844" s="24"/>
    </row>
    <row r="1845" spans="2:2">
      <c r="B1845" s="24"/>
    </row>
    <row r="1846" spans="2:2">
      <c r="B1846" s="24"/>
    </row>
    <row r="1847" spans="2:2">
      <c r="B1847" s="24"/>
    </row>
    <row r="1848" spans="2:2">
      <c r="B1848" s="24"/>
    </row>
    <row r="1849" spans="2:2">
      <c r="B1849" s="24"/>
    </row>
    <row r="1850" spans="2:2">
      <c r="B1850" s="24"/>
    </row>
    <row r="1851" spans="2:2">
      <c r="B1851" s="24"/>
    </row>
    <row r="1852" spans="2:2">
      <c r="B1852" s="24"/>
    </row>
    <row r="1853" spans="2:2">
      <c r="B1853" s="24"/>
    </row>
    <row r="1854" spans="2:2">
      <c r="B1854" s="24"/>
    </row>
    <row r="1855" spans="2:2">
      <c r="B1855" s="24"/>
    </row>
    <row r="1856" spans="2:2">
      <c r="B1856" s="24"/>
    </row>
    <row r="1857" spans="2:2">
      <c r="B1857" s="24"/>
    </row>
    <row r="1858" spans="2:2">
      <c r="B1858" s="24"/>
    </row>
    <row r="1859" spans="2:2">
      <c r="B1859" s="24"/>
    </row>
    <row r="1860" spans="2:2">
      <c r="B1860" s="24"/>
    </row>
    <row r="1861" spans="2:2">
      <c r="B1861" s="24"/>
    </row>
    <row r="1862" spans="2:2">
      <c r="B1862" s="24"/>
    </row>
    <row r="1863" spans="2:2">
      <c r="B1863" s="24"/>
    </row>
    <row r="1864" spans="2:2">
      <c r="B1864" s="24"/>
    </row>
    <row r="1865" spans="2:2">
      <c r="B1865" s="24"/>
    </row>
    <row r="1866" spans="2:2">
      <c r="B1866" s="24"/>
    </row>
    <row r="1867" spans="2:2">
      <c r="B1867" s="24"/>
    </row>
    <row r="1868" spans="2:2">
      <c r="B1868" s="24"/>
    </row>
    <row r="1869" spans="2:2">
      <c r="B1869" s="24"/>
    </row>
    <row r="1870" spans="2:2">
      <c r="B1870" s="24"/>
    </row>
    <row r="1871" spans="2:2">
      <c r="B1871" s="24"/>
    </row>
    <row r="1872" spans="2:2">
      <c r="B1872" s="24"/>
    </row>
    <row r="1873" spans="2:2">
      <c r="B1873" s="24"/>
    </row>
    <row r="1874" spans="2:2">
      <c r="B1874" s="24"/>
    </row>
    <row r="1875" spans="2:2">
      <c r="B1875" s="24"/>
    </row>
    <row r="1876" spans="2:2">
      <c r="B1876" s="24"/>
    </row>
    <row r="1877" spans="2:2">
      <c r="B1877" s="24"/>
    </row>
    <row r="1878" spans="2:2">
      <c r="B1878" s="24"/>
    </row>
    <row r="1879" spans="2:2">
      <c r="B1879" s="24"/>
    </row>
    <row r="1880" spans="2:2">
      <c r="B1880" s="24"/>
    </row>
    <row r="1881" spans="2:2">
      <c r="B1881" s="24"/>
    </row>
    <row r="1882" spans="2:2">
      <c r="B1882" s="24"/>
    </row>
    <row r="1883" spans="2:2">
      <c r="B1883" s="24"/>
    </row>
    <row r="1884" spans="2:2">
      <c r="B1884" s="24"/>
    </row>
    <row r="1885" spans="2:2">
      <c r="B1885" s="24"/>
    </row>
    <row r="1886" spans="2:2">
      <c r="B1886" s="24"/>
    </row>
    <row r="1887" spans="2:2">
      <c r="B1887" s="24"/>
    </row>
    <row r="1888" spans="2:2">
      <c r="B1888" s="24"/>
    </row>
    <row r="1889" spans="2:2">
      <c r="B1889" s="24"/>
    </row>
    <row r="1890" spans="2:2">
      <c r="B1890" s="24"/>
    </row>
    <row r="1891" spans="2:2">
      <c r="B1891" s="24"/>
    </row>
    <row r="1892" spans="2:2">
      <c r="B1892" s="24"/>
    </row>
    <row r="1893" spans="2:2">
      <c r="B1893" s="24"/>
    </row>
    <row r="1894" spans="2:2">
      <c r="B1894" s="24"/>
    </row>
    <row r="1895" spans="2:2">
      <c r="B1895" s="24"/>
    </row>
    <row r="1896" spans="2:2">
      <c r="B1896" s="24"/>
    </row>
    <row r="1897" spans="2:2">
      <c r="B1897" s="24"/>
    </row>
    <row r="1898" spans="2:2">
      <c r="B1898" s="24"/>
    </row>
    <row r="1899" spans="2:2">
      <c r="B1899" s="24"/>
    </row>
    <row r="1900" spans="2:2">
      <c r="B1900" s="24"/>
    </row>
    <row r="1901" spans="2:2">
      <c r="B1901" s="24"/>
    </row>
    <row r="1902" spans="2:2">
      <c r="B1902" s="24"/>
    </row>
    <row r="1903" spans="2:2">
      <c r="B1903" s="24"/>
    </row>
    <row r="1904" spans="2:2">
      <c r="B1904" s="24"/>
    </row>
    <row r="1905" spans="2:2">
      <c r="B1905" s="24"/>
    </row>
    <row r="1906" spans="2:2">
      <c r="B1906" s="24"/>
    </row>
    <row r="1907" spans="2:2">
      <c r="B1907" s="24"/>
    </row>
    <row r="1908" spans="2:2">
      <c r="B1908" s="24"/>
    </row>
    <row r="1909" spans="2:2">
      <c r="B1909" s="24"/>
    </row>
    <row r="1910" spans="2:2">
      <c r="B1910" s="24"/>
    </row>
    <row r="1911" spans="2:2">
      <c r="B1911" s="24"/>
    </row>
    <row r="1912" spans="2:2">
      <c r="B1912" s="24"/>
    </row>
    <row r="1913" spans="2:2">
      <c r="B1913" s="24"/>
    </row>
    <row r="1914" spans="2:2">
      <c r="B1914" s="24"/>
    </row>
    <row r="1915" spans="2:2">
      <c r="B1915" s="24"/>
    </row>
    <row r="1916" spans="2:2">
      <c r="B1916" s="24"/>
    </row>
    <row r="1917" spans="2:2">
      <c r="B1917" s="24"/>
    </row>
    <row r="1918" spans="2:2">
      <c r="B1918" s="24"/>
    </row>
    <row r="1919" spans="2:2">
      <c r="B1919" s="24"/>
    </row>
    <row r="1920" spans="2:2">
      <c r="B1920" s="24"/>
    </row>
    <row r="1921" spans="2:2">
      <c r="B1921" s="24"/>
    </row>
    <row r="1922" spans="2:2">
      <c r="B1922" s="24"/>
    </row>
    <row r="1923" spans="2:2">
      <c r="B1923" s="24"/>
    </row>
    <row r="1924" spans="2:2">
      <c r="B1924" s="24"/>
    </row>
    <row r="1925" spans="2:2">
      <c r="B1925" s="24"/>
    </row>
    <row r="1926" spans="2:2">
      <c r="B1926" s="24"/>
    </row>
    <row r="1927" spans="2:2">
      <c r="B1927" s="24"/>
    </row>
    <row r="1928" spans="2:2">
      <c r="B1928" s="24"/>
    </row>
    <row r="1929" spans="2:2">
      <c r="B1929" s="24"/>
    </row>
    <row r="1930" spans="2:2">
      <c r="B1930" s="24"/>
    </row>
    <row r="1931" spans="2:2">
      <c r="B1931" s="24"/>
    </row>
    <row r="1932" spans="2:2">
      <c r="B1932" s="24"/>
    </row>
    <row r="1933" spans="2:2">
      <c r="B1933" s="24"/>
    </row>
    <row r="1934" spans="2:2">
      <c r="B1934" s="24"/>
    </row>
    <row r="1935" spans="2:2">
      <c r="B1935" s="24"/>
    </row>
    <row r="1936" spans="2:2">
      <c r="B1936" s="24"/>
    </row>
    <row r="1937" spans="2:2">
      <c r="B1937" s="24"/>
    </row>
    <row r="1938" spans="2:2">
      <c r="B1938" s="24"/>
    </row>
    <row r="1939" spans="2:2">
      <c r="B1939" s="24"/>
    </row>
    <row r="1940" spans="2:2">
      <c r="B1940" s="24"/>
    </row>
    <row r="1941" spans="2:2">
      <c r="B1941" s="24"/>
    </row>
    <row r="1942" spans="2:2">
      <c r="B1942" s="24"/>
    </row>
    <row r="1943" spans="2:2">
      <c r="B1943" s="24"/>
    </row>
    <row r="1944" spans="2:2">
      <c r="B1944" s="24"/>
    </row>
    <row r="1945" spans="2:2">
      <c r="B1945" s="24"/>
    </row>
    <row r="1946" spans="2:2">
      <c r="B1946" s="24"/>
    </row>
    <row r="1947" spans="2:2">
      <c r="B1947" s="24"/>
    </row>
    <row r="1948" spans="2:2">
      <c r="B1948" s="24"/>
    </row>
    <row r="1949" spans="2:2">
      <c r="B1949" s="24"/>
    </row>
    <row r="1950" spans="2:2">
      <c r="B1950" s="24"/>
    </row>
    <row r="1951" spans="2:2">
      <c r="B1951" s="24"/>
    </row>
    <row r="1952" spans="2:2">
      <c r="B1952" s="24"/>
    </row>
    <row r="1953" spans="2:2">
      <c r="B1953" s="24"/>
    </row>
    <row r="1954" spans="2:2">
      <c r="B1954" s="24"/>
    </row>
    <row r="1955" spans="2:2">
      <c r="B1955" s="24"/>
    </row>
    <row r="1956" spans="2:2">
      <c r="B1956" s="24"/>
    </row>
    <row r="1957" spans="2:2">
      <c r="B1957" s="24"/>
    </row>
    <row r="1958" spans="2:2">
      <c r="B1958" s="24"/>
    </row>
    <row r="1959" spans="2:2">
      <c r="B1959" s="24"/>
    </row>
    <row r="1960" spans="2:2">
      <c r="B1960" s="24"/>
    </row>
    <row r="1961" spans="2:2">
      <c r="B1961" s="24"/>
    </row>
    <row r="1962" spans="2:2">
      <c r="B1962" s="24"/>
    </row>
    <row r="1963" spans="2:2">
      <c r="B1963" s="24"/>
    </row>
    <row r="1964" spans="2:2">
      <c r="B1964" s="24"/>
    </row>
    <row r="1965" spans="2:2">
      <c r="B1965" s="24"/>
    </row>
    <row r="1966" spans="2:2">
      <c r="B1966" s="24"/>
    </row>
    <row r="1967" spans="2:2">
      <c r="B1967" s="24"/>
    </row>
    <row r="1968" spans="2:2">
      <c r="B1968" s="24"/>
    </row>
    <row r="1969" spans="2:2">
      <c r="B1969" s="24"/>
    </row>
    <row r="1970" spans="2:2">
      <c r="B1970" s="24"/>
    </row>
    <row r="1971" spans="2:2">
      <c r="B1971" s="24"/>
    </row>
    <row r="1972" spans="2:2">
      <c r="B1972" s="24"/>
    </row>
    <row r="1973" spans="2:2">
      <c r="B1973" s="24"/>
    </row>
    <row r="1974" spans="2:2">
      <c r="B1974" s="24"/>
    </row>
    <row r="1975" spans="2:2">
      <c r="B1975" s="24"/>
    </row>
    <row r="1976" spans="2:2">
      <c r="B1976" s="24"/>
    </row>
    <row r="1977" spans="2:2">
      <c r="B1977" s="24"/>
    </row>
    <row r="1978" spans="2:2">
      <c r="B1978" s="24"/>
    </row>
    <row r="1979" spans="2:2">
      <c r="B1979" s="24"/>
    </row>
    <row r="1980" spans="2:2">
      <c r="B1980" s="24"/>
    </row>
    <row r="1981" spans="2:2">
      <c r="B1981" s="24"/>
    </row>
    <row r="1982" spans="2:2">
      <c r="B1982" s="24"/>
    </row>
    <row r="1983" spans="2:2">
      <c r="B1983" s="24"/>
    </row>
    <row r="1984" spans="2:2">
      <c r="B1984" s="24"/>
    </row>
    <row r="1985" spans="2:2">
      <c r="B1985" s="24"/>
    </row>
    <row r="1986" spans="2:2">
      <c r="B1986" s="24"/>
    </row>
    <row r="1987" spans="2:2">
      <c r="B1987" s="24"/>
    </row>
    <row r="1988" spans="2:2">
      <c r="B1988" s="24"/>
    </row>
    <row r="1989" spans="2:2">
      <c r="B1989" s="24"/>
    </row>
    <row r="1990" spans="2:2">
      <c r="B1990" s="24"/>
    </row>
    <row r="1991" spans="2:2">
      <c r="B1991" s="24"/>
    </row>
    <row r="1992" spans="2:2">
      <c r="B1992" s="24"/>
    </row>
    <row r="1993" spans="2:2">
      <c r="B1993" s="24"/>
    </row>
    <row r="1994" spans="2:2">
      <c r="B1994" s="24"/>
    </row>
    <row r="1995" spans="2:2">
      <c r="B1995" s="24"/>
    </row>
    <row r="1996" spans="2:2">
      <c r="B1996" s="24"/>
    </row>
    <row r="1997" spans="2:2">
      <c r="B1997" s="24"/>
    </row>
    <row r="1998" spans="2:2">
      <c r="B1998" s="24"/>
    </row>
    <row r="1999" spans="2:2">
      <c r="B1999" s="24"/>
    </row>
    <row r="2000" spans="2:2">
      <c r="B2000" s="24"/>
    </row>
    <row r="2001" spans="2:2">
      <c r="B2001" s="24"/>
    </row>
    <row r="2002" spans="2:2">
      <c r="B2002" s="24"/>
    </row>
    <row r="2003" spans="2:2">
      <c r="B2003" s="24"/>
    </row>
    <row r="2004" spans="2:2">
      <c r="B2004" s="24"/>
    </row>
    <row r="2005" spans="2:2">
      <c r="B2005" s="24"/>
    </row>
    <row r="2006" spans="2:2">
      <c r="B2006" s="24"/>
    </row>
    <row r="2007" spans="2:2">
      <c r="B2007" s="24"/>
    </row>
    <row r="2008" spans="2:2">
      <c r="B2008" s="24"/>
    </row>
    <row r="2009" spans="2:2">
      <c r="B2009" s="24"/>
    </row>
    <row r="2010" spans="2:2">
      <c r="B2010" s="24"/>
    </row>
    <row r="2011" spans="2:2">
      <c r="B2011" s="24"/>
    </row>
    <row r="2012" spans="2:2">
      <c r="B2012" s="24"/>
    </row>
    <row r="2013" spans="2:2">
      <c r="B2013" s="24"/>
    </row>
    <row r="2014" spans="2:2">
      <c r="B2014" s="24"/>
    </row>
    <row r="2015" spans="2:2">
      <c r="B2015" s="24"/>
    </row>
    <row r="2016" spans="2:2">
      <c r="B2016" s="24"/>
    </row>
    <row r="2017" spans="2:2">
      <c r="B2017" s="24"/>
    </row>
    <row r="2018" spans="2:2">
      <c r="B2018" s="24"/>
    </row>
    <row r="2019" spans="2:2">
      <c r="B2019" s="24"/>
    </row>
    <row r="2020" spans="2:2">
      <c r="B2020" s="24"/>
    </row>
    <row r="2021" spans="2:2">
      <c r="B2021" s="24"/>
    </row>
    <row r="2022" spans="2:2">
      <c r="B2022" s="24"/>
    </row>
    <row r="2023" spans="2:2">
      <c r="B2023" s="24"/>
    </row>
    <row r="2024" spans="2:2">
      <c r="B2024" s="24"/>
    </row>
    <row r="2025" spans="2:2">
      <c r="B2025" s="24"/>
    </row>
    <row r="2026" spans="2:2">
      <c r="B2026" s="24"/>
    </row>
    <row r="2027" spans="2:2">
      <c r="B2027" s="24"/>
    </row>
    <row r="2028" spans="2:2">
      <c r="B2028" s="24"/>
    </row>
    <row r="2029" spans="2:2">
      <c r="B2029" s="24"/>
    </row>
    <row r="2030" spans="2:2">
      <c r="B2030" s="24"/>
    </row>
    <row r="2031" spans="2:2">
      <c r="B2031" s="24"/>
    </row>
    <row r="2032" spans="2:2">
      <c r="B2032" s="24"/>
    </row>
    <row r="2033" spans="2:2">
      <c r="B2033" s="24"/>
    </row>
    <row r="2034" spans="2:2">
      <c r="B2034" s="24"/>
    </row>
    <row r="2035" spans="2:2">
      <c r="B2035" s="24"/>
    </row>
    <row r="2036" spans="2:2">
      <c r="B2036" s="24"/>
    </row>
    <row r="2037" spans="2:2">
      <c r="B2037" s="24"/>
    </row>
    <row r="2038" spans="2:2">
      <c r="B2038" s="24"/>
    </row>
    <row r="2039" spans="2:2">
      <c r="B2039" s="24"/>
    </row>
    <row r="2040" spans="2:2">
      <c r="B2040" s="24"/>
    </row>
    <row r="2041" spans="2:2">
      <c r="B2041" s="24"/>
    </row>
    <row r="2042" spans="2:2">
      <c r="B2042" s="24"/>
    </row>
    <row r="2043" spans="2:2">
      <c r="B2043" s="24"/>
    </row>
    <row r="2044" spans="2:2">
      <c r="B2044" s="24"/>
    </row>
    <row r="2045" spans="2:2">
      <c r="B2045" s="24"/>
    </row>
    <row r="2046" spans="2:2">
      <c r="B2046" s="24"/>
    </row>
    <row r="2047" spans="2:2">
      <c r="B2047" s="24"/>
    </row>
    <row r="2048" spans="2:2">
      <c r="B2048" s="24"/>
    </row>
    <row r="2049" spans="2:2">
      <c r="B2049" s="24"/>
    </row>
    <row r="2050" spans="2:2">
      <c r="B2050" s="24"/>
    </row>
    <row r="2051" spans="2:2">
      <c r="B2051" s="24"/>
    </row>
    <row r="2052" spans="2:2">
      <c r="B2052" s="24"/>
    </row>
    <row r="2053" spans="2:2">
      <c r="B2053" s="24"/>
    </row>
    <row r="2054" spans="2:2">
      <c r="B2054" s="24"/>
    </row>
    <row r="2055" spans="2:2">
      <c r="B2055" s="24"/>
    </row>
    <row r="2056" spans="2:2">
      <c r="B2056" s="24"/>
    </row>
    <row r="2057" spans="2:2">
      <c r="B2057" s="24"/>
    </row>
    <row r="2058" spans="2:2">
      <c r="B2058" s="24"/>
    </row>
    <row r="2059" spans="2:2">
      <c r="B2059" s="24"/>
    </row>
    <row r="2060" spans="2:2">
      <c r="B2060" s="24"/>
    </row>
    <row r="2061" spans="2:2">
      <c r="B2061" s="24"/>
    </row>
    <row r="2062" spans="2:2">
      <c r="B2062" s="24"/>
    </row>
    <row r="2063" spans="2:2">
      <c r="B2063" s="24"/>
    </row>
    <row r="2064" spans="2:2">
      <c r="B2064" s="24"/>
    </row>
    <row r="2065" spans="2:2">
      <c r="B2065" s="24"/>
    </row>
    <row r="2066" spans="2:2">
      <c r="B2066" s="24"/>
    </row>
    <row r="2067" spans="2:2">
      <c r="B2067" s="24"/>
    </row>
    <row r="2068" spans="2:2">
      <c r="B2068" s="24"/>
    </row>
    <row r="2069" spans="2:2">
      <c r="B2069" s="24"/>
    </row>
    <row r="2070" spans="2:2">
      <c r="B2070" s="24"/>
    </row>
    <row r="2071" spans="2:2">
      <c r="B2071" s="24"/>
    </row>
    <row r="2072" spans="2:2">
      <c r="B2072" s="24"/>
    </row>
    <row r="2073" spans="2:2">
      <c r="B2073" s="24"/>
    </row>
    <row r="2074" spans="2:2">
      <c r="B2074" s="24"/>
    </row>
    <row r="2075" spans="2:2">
      <c r="B2075" s="24"/>
    </row>
    <row r="2076" spans="2:2">
      <c r="B2076" s="24"/>
    </row>
    <row r="2077" spans="2:2">
      <c r="B2077" s="24"/>
    </row>
    <row r="2078" spans="2:2">
      <c r="B2078" s="24"/>
    </row>
    <row r="2079" spans="2:2">
      <c r="B2079" s="24"/>
    </row>
    <row r="2080" spans="2:2">
      <c r="B2080" s="24"/>
    </row>
    <row r="2081" spans="2:2">
      <c r="B2081" s="24"/>
    </row>
    <row r="2082" spans="2:2">
      <c r="B2082" s="24"/>
    </row>
    <row r="2083" spans="2:2">
      <c r="B2083" s="24"/>
    </row>
    <row r="2084" spans="2:2">
      <c r="B2084" s="24"/>
    </row>
    <row r="2085" spans="2:2">
      <c r="B2085" s="24"/>
    </row>
    <row r="2086" spans="2:2">
      <c r="B2086" s="24"/>
    </row>
    <row r="2087" spans="2:2">
      <c r="B2087" s="24"/>
    </row>
    <row r="2088" spans="2:2">
      <c r="B2088" s="24"/>
    </row>
    <row r="2089" spans="2:2">
      <c r="B2089" s="24"/>
    </row>
    <row r="2090" spans="2:2">
      <c r="B2090" s="24"/>
    </row>
    <row r="2091" spans="2:2">
      <c r="B2091" s="24"/>
    </row>
    <row r="2092" spans="2:2">
      <c r="B2092" s="24"/>
    </row>
    <row r="2093" spans="2:2">
      <c r="B2093" s="24"/>
    </row>
    <row r="2094" spans="2:2">
      <c r="B2094" s="24"/>
    </row>
    <row r="2095" spans="2:2">
      <c r="B2095" s="24"/>
    </row>
    <row r="2096" spans="2:2">
      <c r="B2096" s="24"/>
    </row>
    <row r="2097" spans="2:2">
      <c r="B2097" s="24"/>
    </row>
    <row r="2098" spans="2:2">
      <c r="B2098" s="24"/>
    </row>
    <row r="2099" spans="2:2">
      <c r="B2099" s="24"/>
    </row>
    <row r="2100" spans="2:2">
      <c r="B2100" s="24"/>
    </row>
    <row r="2101" spans="2:2">
      <c r="B2101" s="24"/>
    </row>
    <row r="2102" spans="2:2">
      <c r="B2102" s="24"/>
    </row>
    <row r="2103" spans="2:2">
      <c r="B2103" s="24"/>
    </row>
    <row r="2104" spans="2:2">
      <c r="B2104" s="24"/>
    </row>
    <row r="2105" spans="2:2">
      <c r="B2105" s="24"/>
    </row>
    <row r="2106" spans="2:2">
      <c r="B2106" s="24"/>
    </row>
    <row r="2107" spans="2:2">
      <c r="B2107" s="24"/>
    </row>
    <row r="2108" spans="2:2">
      <c r="B2108" s="24"/>
    </row>
    <row r="2109" spans="2:2">
      <c r="B2109" s="24"/>
    </row>
    <row r="2110" spans="2:2">
      <c r="B2110" s="24"/>
    </row>
    <row r="2111" spans="2:2">
      <c r="B2111" s="24"/>
    </row>
    <row r="2112" spans="2:2">
      <c r="B2112" s="24"/>
    </row>
    <row r="2113" spans="2:2">
      <c r="B2113" s="24"/>
    </row>
    <row r="2114" spans="2:2">
      <c r="B2114" s="24"/>
    </row>
    <row r="2115" spans="2:2">
      <c r="B2115" s="24"/>
    </row>
    <row r="2116" spans="2:2">
      <c r="B2116" s="24"/>
    </row>
    <row r="2117" spans="2:2">
      <c r="B2117" s="24"/>
    </row>
    <row r="2118" spans="2:2">
      <c r="B2118" s="24"/>
    </row>
    <row r="2119" spans="2:2">
      <c r="B2119" s="24"/>
    </row>
    <row r="2120" spans="2:2">
      <c r="B2120" s="24"/>
    </row>
    <row r="2121" spans="2:2">
      <c r="B2121" s="24"/>
    </row>
    <row r="2122" spans="2:2">
      <c r="B2122" s="24"/>
    </row>
    <row r="2123" spans="2:2">
      <c r="B2123" s="24"/>
    </row>
    <row r="2124" spans="2:2">
      <c r="B2124" s="24"/>
    </row>
    <row r="2125" spans="2:2">
      <c r="B2125" s="24"/>
    </row>
    <row r="2126" spans="2:2">
      <c r="B2126" s="24"/>
    </row>
    <row r="2127" spans="2:2">
      <c r="B2127" s="24"/>
    </row>
    <row r="2128" spans="2:2">
      <c r="B2128" s="24"/>
    </row>
    <row r="2129" spans="2:2">
      <c r="B2129" s="24"/>
    </row>
    <row r="2130" spans="2:2">
      <c r="B2130" s="24"/>
    </row>
    <row r="2131" spans="2:2">
      <c r="B2131" s="24"/>
    </row>
    <row r="2132" spans="2:2">
      <c r="B2132" s="24"/>
    </row>
    <row r="2133" spans="2:2">
      <c r="B2133" s="24"/>
    </row>
    <row r="2134" spans="2:2">
      <c r="B2134" s="24"/>
    </row>
    <row r="2135" spans="2:2">
      <c r="B2135" s="24"/>
    </row>
    <row r="2136" spans="2:2">
      <c r="B2136" s="24"/>
    </row>
    <row r="2137" spans="2:2">
      <c r="B2137" s="24"/>
    </row>
    <row r="2138" spans="2:2">
      <c r="B2138" s="24"/>
    </row>
    <row r="2139" spans="2:2">
      <c r="B2139" s="24"/>
    </row>
    <row r="2140" spans="2:2">
      <c r="B2140" s="24"/>
    </row>
    <row r="2141" spans="2:2">
      <c r="B2141" s="24"/>
    </row>
    <row r="2142" spans="2:2">
      <c r="B2142" s="24"/>
    </row>
    <row r="2143" spans="2:2">
      <c r="B2143" s="24"/>
    </row>
    <row r="2144" spans="2:2">
      <c r="B2144" s="24"/>
    </row>
    <row r="2145" spans="2:2">
      <c r="B2145" s="24"/>
    </row>
    <row r="2146" spans="2:2">
      <c r="B2146" s="24"/>
    </row>
    <row r="2147" spans="2:2">
      <c r="B2147" s="24"/>
    </row>
    <row r="2148" spans="2:2">
      <c r="B2148" s="24"/>
    </row>
    <row r="2149" spans="2:2">
      <c r="B2149" s="24"/>
    </row>
    <row r="2150" spans="2:2">
      <c r="B2150" s="24"/>
    </row>
    <row r="2151" spans="2:2">
      <c r="B2151" s="24"/>
    </row>
    <row r="2152" spans="2:2">
      <c r="B2152" s="24"/>
    </row>
    <row r="2153" spans="2:2">
      <c r="B2153" s="24"/>
    </row>
    <row r="2154" spans="2:2">
      <c r="B2154" s="24"/>
    </row>
    <row r="2155" spans="2:2">
      <c r="B2155" s="24"/>
    </row>
    <row r="2156" spans="2:2">
      <c r="B2156" s="24"/>
    </row>
    <row r="2157" spans="2:2">
      <c r="B2157" s="24"/>
    </row>
    <row r="2158" spans="2:2">
      <c r="B2158" s="24"/>
    </row>
    <row r="2159" spans="2:2">
      <c r="B2159" s="24"/>
    </row>
    <row r="2160" spans="2:2">
      <c r="B2160" s="24"/>
    </row>
    <row r="2161" spans="2:2">
      <c r="B2161" s="24"/>
    </row>
    <row r="2162" spans="2:2">
      <c r="B2162" s="24"/>
    </row>
    <row r="2163" spans="2:2">
      <c r="B2163" s="24"/>
    </row>
    <row r="2164" spans="2:2">
      <c r="B2164" s="24"/>
    </row>
    <row r="2165" spans="2:2">
      <c r="B2165" s="24"/>
    </row>
    <row r="2166" spans="2:2">
      <c r="B2166" s="24"/>
    </row>
    <row r="2167" spans="2:2">
      <c r="B2167" s="24"/>
    </row>
    <row r="2168" spans="2:2">
      <c r="B2168" s="24"/>
    </row>
    <row r="2169" spans="2:2">
      <c r="B2169" s="24"/>
    </row>
    <row r="2170" spans="2:2">
      <c r="B2170" s="24"/>
    </row>
    <row r="2171" spans="2:2">
      <c r="B2171" s="24"/>
    </row>
    <row r="2172" spans="2:2">
      <c r="B2172" s="24"/>
    </row>
    <row r="2173" spans="2:2">
      <c r="B2173" s="24"/>
    </row>
    <row r="2174" spans="2:2">
      <c r="B2174" s="24"/>
    </row>
    <row r="2175" spans="2:2">
      <c r="B2175" s="24"/>
    </row>
    <row r="2176" spans="2:2">
      <c r="B2176" s="24"/>
    </row>
    <row r="2177" spans="2:2">
      <c r="B2177" s="24"/>
    </row>
    <row r="2178" spans="2:2">
      <c r="B2178" s="24"/>
    </row>
    <row r="2179" spans="2:2">
      <c r="B2179" s="24"/>
    </row>
    <row r="2180" spans="2:2">
      <c r="B2180" s="24"/>
    </row>
    <row r="2181" spans="2:2">
      <c r="B2181" s="24"/>
    </row>
    <row r="2182" spans="2:2">
      <c r="B2182" s="24"/>
    </row>
    <row r="2183" spans="2:2">
      <c r="B2183" s="24"/>
    </row>
    <row r="2184" spans="2:2">
      <c r="B2184" s="24"/>
    </row>
    <row r="2185" spans="2:2">
      <c r="B2185" s="24"/>
    </row>
    <row r="2186" spans="2:2">
      <c r="B2186" s="24"/>
    </row>
    <row r="2187" spans="2:2">
      <c r="B2187" s="24"/>
    </row>
    <row r="2188" spans="2:2">
      <c r="B2188" s="24"/>
    </row>
    <row r="2189" spans="2:2">
      <c r="B2189" s="24"/>
    </row>
    <row r="2190" spans="2:2">
      <c r="B2190" s="24"/>
    </row>
    <row r="2191" spans="2:2">
      <c r="B2191" s="24"/>
    </row>
    <row r="2192" spans="2:2">
      <c r="B2192" s="24"/>
    </row>
    <row r="2193" spans="2:2">
      <c r="B2193" s="24"/>
    </row>
    <row r="2194" spans="2:2">
      <c r="B2194" s="24"/>
    </row>
    <row r="2195" spans="2:2">
      <c r="B2195" s="24"/>
    </row>
    <row r="2196" spans="2:2">
      <c r="B2196" s="24"/>
    </row>
    <row r="2197" spans="2:2">
      <c r="B2197" s="24"/>
    </row>
    <row r="2198" spans="2:2">
      <c r="B2198" s="24"/>
    </row>
    <row r="2199" spans="2:2">
      <c r="B2199" s="24"/>
    </row>
    <row r="2200" spans="2:2">
      <c r="B2200" s="24"/>
    </row>
    <row r="2201" spans="2:2">
      <c r="B2201" s="24"/>
    </row>
    <row r="2202" spans="2:2">
      <c r="B2202" s="24"/>
    </row>
    <row r="2203" spans="2:2">
      <c r="B2203" s="24"/>
    </row>
    <row r="2204" spans="2:2">
      <c r="B2204" s="24"/>
    </row>
    <row r="2205" spans="2:2">
      <c r="B2205" s="24"/>
    </row>
    <row r="2206" spans="2:2">
      <c r="B2206" s="24"/>
    </row>
    <row r="2207" spans="2:2">
      <c r="B2207" s="24"/>
    </row>
    <row r="2208" spans="2:2">
      <c r="B2208" s="24"/>
    </row>
    <row r="2209" spans="2:2">
      <c r="B2209" s="24"/>
    </row>
    <row r="2210" spans="2:2">
      <c r="B2210" s="24"/>
    </row>
    <row r="2211" spans="2:2">
      <c r="B2211" s="24"/>
    </row>
    <row r="2212" spans="2:2">
      <c r="B2212" s="24"/>
    </row>
    <row r="2213" spans="2:2">
      <c r="B2213" s="24"/>
    </row>
    <row r="2214" spans="2:2">
      <c r="B2214" s="24"/>
    </row>
    <row r="2215" spans="2:2">
      <c r="B2215" s="24"/>
    </row>
    <row r="2216" spans="2:2">
      <c r="B2216" s="24"/>
    </row>
    <row r="2217" spans="2:2">
      <c r="B2217" s="24"/>
    </row>
    <row r="2218" spans="2:2">
      <c r="B2218" s="24"/>
    </row>
    <row r="2219" spans="2:2">
      <c r="B2219" s="24"/>
    </row>
    <row r="2220" spans="2:2">
      <c r="B2220" s="24"/>
    </row>
    <row r="2221" spans="2:2">
      <c r="B2221" s="24"/>
    </row>
    <row r="2222" spans="2:2">
      <c r="B2222" s="24"/>
    </row>
    <row r="2223" spans="2:2">
      <c r="B2223" s="24"/>
    </row>
    <row r="2224" spans="2:2">
      <c r="B2224" s="24"/>
    </row>
    <row r="2225" spans="2:2">
      <c r="B2225" s="24"/>
    </row>
    <row r="2226" spans="2:2">
      <c r="B2226" s="24"/>
    </row>
    <row r="2227" spans="2:2">
      <c r="B2227" s="24"/>
    </row>
    <row r="2228" spans="2:2">
      <c r="B2228" s="24"/>
    </row>
    <row r="2229" spans="2:2">
      <c r="B2229" s="24"/>
    </row>
    <row r="2230" spans="2:2">
      <c r="B2230" s="24"/>
    </row>
    <row r="2231" spans="2:2">
      <c r="B2231" s="24"/>
    </row>
    <row r="2232" spans="2:2">
      <c r="B2232" s="24"/>
    </row>
    <row r="2233" spans="2:2">
      <c r="B2233" s="24"/>
    </row>
    <row r="2234" spans="2:2">
      <c r="B2234" s="24"/>
    </row>
    <row r="2235" spans="2:2">
      <c r="B2235" s="24"/>
    </row>
    <row r="2236" spans="2:2">
      <c r="B2236" s="24"/>
    </row>
    <row r="2237" spans="2:2">
      <c r="B2237" s="24"/>
    </row>
    <row r="2238" spans="2:2">
      <c r="B2238" s="24"/>
    </row>
    <row r="2239" spans="2:2">
      <c r="B2239" s="24"/>
    </row>
    <row r="2240" spans="2:2">
      <c r="B2240" s="24"/>
    </row>
    <row r="2241" spans="2:2">
      <c r="B2241" s="24"/>
    </row>
    <row r="2242" spans="2:2">
      <c r="B2242" s="24"/>
    </row>
    <row r="2243" spans="2:2">
      <c r="B2243" s="24"/>
    </row>
    <row r="2244" spans="2:2">
      <c r="B2244" s="24"/>
    </row>
    <row r="2245" spans="2:2">
      <c r="B2245" s="24"/>
    </row>
    <row r="2246" spans="2:2">
      <c r="B2246" s="24"/>
    </row>
    <row r="2247" spans="2:2">
      <c r="B2247" s="24"/>
    </row>
    <row r="2248" spans="2:2">
      <c r="B2248" s="24"/>
    </row>
    <row r="2249" spans="2:2">
      <c r="B2249" s="24"/>
    </row>
    <row r="2250" spans="2:2">
      <c r="B2250" s="24"/>
    </row>
    <row r="2251" spans="2:2">
      <c r="B2251" s="24"/>
    </row>
    <row r="2252" spans="2:2">
      <c r="B2252" s="24"/>
    </row>
    <row r="2253" spans="2:2">
      <c r="B2253" s="24"/>
    </row>
    <row r="2254" spans="2:2">
      <c r="B2254" s="24"/>
    </row>
    <row r="2255" spans="2:2">
      <c r="B2255" s="24"/>
    </row>
    <row r="2256" spans="2:2">
      <c r="B2256" s="24"/>
    </row>
    <row r="2257" spans="2:2">
      <c r="B2257" s="24"/>
    </row>
    <row r="2258" spans="2:2">
      <c r="B2258" s="24"/>
    </row>
    <row r="2259" spans="2:2">
      <c r="B2259" s="24"/>
    </row>
    <row r="2260" spans="2:2">
      <c r="B2260" s="24"/>
    </row>
    <row r="2261" spans="2:2">
      <c r="B2261" s="24"/>
    </row>
    <row r="2262" spans="2:2">
      <c r="B2262" s="24"/>
    </row>
    <row r="2263" spans="2:2">
      <c r="B2263" s="24"/>
    </row>
    <row r="2264" spans="2:2">
      <c r="B2264" s="24"/>
    </row>
    <row r="2265" spans="2:2">
      <c r="B2265" s="24"/>
    </row>
    <row r="2266" spans="2:2">
      <c r="B2266" s="24"/>
    </row>
    <row r="2267" spans="2:2">
      <c r="B2267" s="24"/>
    </row>
    <row r="2268" spans="2:2">
      <c r="B2268" s="24"/>
    </row>
    <row r="2269" spans="2:2">
      <c r="B2269" s="24"/>
    </row>
    <row r="2270" spans="2:2">
      <c r="B2270" s="24"/>
    </row>
    <row r="2271" spans="2:2">
      <c r="B2271" s="24"/>
    </row>
    <row r="2272" spans="2:2">
      <c r="B2272" s="24"/>
    </row>
    <row r="2273" spans="2:2">
      <c r="B2273" s="24"/>
    </row>
    <row r="2274" spans="2:2">
      <c r="B2274" s="24"/>
    </row>
    <row r="2275" spans="2:2">
      <c r="B2275" s="24"/>
    </row>
    <row r="2276" spans="2:2">
      <c r="B2276" s="24"/>
    </row>
    <row r="2277" spans="2:2">
      <c r="B2277" s="24"/>
    </row>
    <row r="2278" spans="2:2">
      <c r="B2278" s="24"/>
    </row>
    <row r="2279" spans="2:2">
      <c r="B2279" s="24"/>
    </row>
    <row r="2280" spans="2:2">
      <c r="B2280" s="24"/>
    </row>
    <row r="2281" spans="2:2">
      <c r="B2281" s="24"/>
    </row>
    <row r="2282" spans="2:2">
      <c r="B2282" s="24"/>
    </row>
    <row r="2283" spans="2:2">
      <c r="B2283" s="24"/>
    </row>
    <row r="2284" spans="2:2">
      <c r="B2284" s="24"/>
    </row>
    <row r="2285" spans="2:2">
      <c r="B2285" s="24"/>
    </row>
    <row r="2286" spans="2:2">
      <c r="B2286" s="24"/>
    </row>
    <row r="2287" spans="2:2">
      <c r="B2287" s="24"/>
    </row>
    <row r="2288" spans="2:2">
      <c r="B2288" s="24"/>
    </row>
    <row r="2289" spans="2:2">
      <c r="B2289" s="24"/>
    </row>
    <row r="2290" spans="2:2">
      <c r="B2290" s="24"/>
    </row>
    <row r="2291" spans="2:2">
      <c r="B2291" s="24"/>
    </row>
    <row r="2292" spans="2:2">
      <c r="B2292" s="24"/>
    </row>
    <row r="2293" spans="2:2">
      <c r="B2293" s="24"/>
    </row>
    <row r="2294" spans="2:2">
      <c r="B2294" s="24"/>
    </row>
    <row r="2295" spans="2:2">
      <c r="B2295" s="24"/>
    </row>
    <row r="2296" spans="2:2">
      <c r="B2296" s="24"/>
    </row>
    <row r="2297" spans="2:2">
      <c r="B2297" s="24"/>
    </row>
    <row r="2298" spans="2:2">
      <c r="B2298" s="24"/>
    </row>
    <row r="2299" spans="2:2">
      <c r="B2299" s="24"/>
    </row>
    <row r="2300" spans="2:2">
      <c r="B2300" s="24"/>
    </row>
    <row r="2301" spans="2:2">
      <c r="B2301" s="24"/>
    </row>
    <row r="2302" spans="2:2">
      <c r="B2302" s="24"/>
    </row>
    <row r="2303" spans="2:2">
      <c r="B2303" s="24"/>
    </row>
    <row r="2304" spans="2:2">
      <c r="B2304" s="24"/>
    </row>
    <row r="2305" spans="2:2">
      <c r="B2305" s="24"/>
    </row>
    <row r="2306" spans="2:2">
      <c r="B2306" s="24"/>
    </row>
    <row r="2307" spans="2:2">
      <c r="B2307" s="24"/>
    </row>
    <row r="2308" spans="2:2">
      <c r="B2308" s="24"/>
    </row>
    <row r="2309" spans="2:2">
      <c r="B2309" s="24"/>
    </row>
    <row r="2310" spans="2:2">
      <c r="B2310" s="24"/>
    </row>
    <row r="2311" spans="2:2">
      <c r="B2311" s="24"/>
    </row>
    <row r="2312" spans="2:2">
      <c r="B2312" s="24"/>
    </row>
    <row r="2313" spans="2:2">
      <c r="B2313" s="24"/>
    </row>
    <row r="2314" spans="2:2">
      <c r="B2314" s="24"/>
    </row>
    <row r="2315" spans="2:2">
      <c r="B2315" s="24"/>
    </row>
    <row r="2316" spans="2:2">
      <c r="B2316" s="24"/>
    </row>
    <row r="2317" spans="2:2">
      <c r="B2317" s="24"/>
    </row>
    <row r="2318" spans="2:2">
      <c r="B2318" s="24"/>
    </row>
    <row r="2319" spans="2:2">
      <c r="B2319" s="24"/>
    </row>
    <row r="2320" spans="2:2">
      <c r="B2320" s="24"/>
    </row>
    <row r="2321" spans="2:2">
      <c r="B2321" s="24"/>
    </row>
    <row r="2322" spans="2:2">
      <c r="B2322" s="24"/>
    </row>
    <row r="2323" spans="2:2">
      <c r="B2323" s="24"/>
    </row>
    <row r="2324" spans="2:2">
      <c r="B2324" s="24"/>
    </row>
    <row r="2325" spans="2:2">
      <c r="B2325" s="24"/>
    </row>
    <row r="2326" spans="2:2">
      <c r="B2326" s="24"/>
    </row>
    <row r="2327" spans="2:2">
      <c r="B2327" s="24"/>
    </row>
    <row r="2328" spans="2:2">
      <c r="B2328" s="24"/>
    </row>
    <row r="2329" spans="2:2">
      <c r="B2329" s="24"/>
    </row>
    <row r="2330" spans="2:2">
      <c r="B2330" s="24"/>
    </row>
    <row r="2331" spans="2:2">
      <c r="B2331" s="24"/>
    </row>
    <row r="2332" spans="2:2">
      <c r="B2332" s="24"/>
    </row>
    <row r="2333" spans="2:2">
      <c r="B2333" s="24"/>
    </row>
    <row r="2334" spans="2:2">
      <c r="B2334" s="24"/>
    </row>
    <row r="2335" spans="2:2">
      <c r="B2335" s="24"/>
    </row>
    <row r="2336" spans="2:2">
      <c r="B2336" s="24"/>
    </row>
    <row r="2337" spans="2:2">
      <c r="B2337" s="24"/>
    </row>
    <row r="2338" spans="2:2">
      <c r="B2338" s="24"/>
    </row>
    <row r="2339" spans="2:2">
      <c r="B2339" s="24"/>
    </row>
    <row r="2340" spans="2:2">
      <c r="B2340" s="24"/>
    </row>
    <row r="2341" spans="2:2">
      <c r="B2341" s="24"/>
    </row>
    <row r="2342" spans="2:2">
      <c r="B2342" s="24"/>
    </row>
    <row r="2343" spans="2:2">
      <c r="B2343" s="24"/>
    </row>
    <row r="2344" spans="2:2">
      <c r="B2344" s="24"/>
    </row>
    <row r="2345" spans="2:2">
      <c r="B2345" s="24"/>
    </row>
    <row r="2346" spans="2:2">
      <c r="B2346" s="24"/>
    </row>
    <row r="2347" spans="2:2">
      <c r="B2347" s="24"/>
    </row>
    <row r="2348" spans="2:2">
      <c r="B2348" s="24"/>
    </row>
    <row r="2349" spans="2:2">
      <c r="B2349" s="24"/>
    </row>
    <row r="2350" spans="2:2">
      <c r="B2350" s="24"/>
    </row>
    <row r="2351" spans="2:2">
      <c r="B2351" s="24"/>
    </row>
    <row r="2352" spans="2:2">
      <c r="B2352" s="24"/>
    </row>
    <row r="2353" spans="2:2">
      <c r="B2353" s="24"/>
    </row>
    <row r="2354" spans="2:2">
      <c r="B2354" s="24"/>
    </row>
    <row r="2355" spans="2:2">
      <c r="B2355" s="24"/>
    </row>
    <row r="2356" spans="2:2">
      <c r="B2356" s="24"/>
    </row>
    <row r="2357" spans="2:2">
      <c r="B2357" s="24"/>
    </row>
    <row r="2358" spans="2:2">
      <c r="B2358" s="24"/>
    </row>
    <row r="2359" spans="2:2">
      <c r="B2359" s="24"/>
    </row>
    <row r="2360" spans="2:2">
      <c r="B2360" s="24"/>
    </row>
    <row r="2361" spans="2:2">
      <c r="B2361" s="24"/>
    </row>
    <row r="2362" spans="2:2">
      <c r="B2362" s="24"/>
    </row>
    <row r="2363" spans="2:2">
      <c r="B2363" s="24"/>
    </row>
    <row r="2364" spans="2:2">
      <c r="B2364" s="24"/>
    </row>
    <row r="2365" spans="2:2">
      <c r="B2365" s="24"/>
    </row>
    <row r="2366" spans="2:2">
      <c r="B2366" s="24"/>
    </row>
    <row r="2367" spans="2:2">
      <c r="B2367" s="24"/>
    </row>
    <row r="2368" spans="2:2">
      <c r="B2368" s="24"/>
    </row>
    <row r="2369" spans="2:2">
      <c r="B2369" s="24"/>
    </row>
    <row r="2370" spans="2:2">
      <c r="B2370" s="24"/>
    </row>
    <row r="2371" spans="2:2">
      <c r="B2371" s="24"/>
    </row>
    <row r="2372" spans="2:2">
      <c r="B2372" s="24"/>
    </row>
    <row r="2373" spans="2:2">
      <c r="B2373" s="24"/>
    </row>
    <row r="2374" spans="2:2">
      <c r="B2374" s="24"/>
    </row>
    <row r="2375" spans="2:2">
      <c r="B2375" s="24"/>
    </row>
    <row r="2376" spans="2:2">
      <c r="B2376" s="24"/>
    </row>
    <row r="2377" spans="2:2">
      <c r="B2377" s="24"/>
    </row>
    <row r="2378" spans="2:2">
      <c r="B2378" s="24"/>
    </row>
    <row r="2379" spans="2:2">
      <c r="B2379" s="24"/>
    </row>
    <row r="2380" spans="2:2">
      <c r="B2380" s="24"/>
    </row>
    <row r="2381" spans="2:2">
      <c r="B2381" s="24"/>
    </row>
    <row r="2382" spans="2:2">
      <c r="B2382" s="24"/>
    </row>
    <row r="2383" spans="2:2">
      <c r="B2383" s="24"/>
    </row>
    <row r="2384" spans="2:2">
      <c r="B2384" s="24"/>
    </row>
    <row r="2385" spans="2:2">
      <c r="B2385" s="24"/>
    </row>
    <row r="2386" spans="2:2">
      <c r="B2386" s="24"/>
    </row>
    <row r="2387" spans="2:2">
      <c r="B2387" s="24"/>
    </row>
    <row r="2388" spans="2:2">
      <c r="B2388" s="24"/>
    </row>
    <row r="2389" spans="2:2">
      <c r="B2389" s="24"/>
    </row>
    <row r="2390" spans="2:2">
      <c r="B2390" s="24"/>
    </row>
    <row r="2391" spans="2:2">
      <c r="B2391" s="24"/>
    </row>
    <row r="2392" spans="2:2">
      <c r="B2392" s="24"/>
    </row>
    <row r="2393" spans="2:2">
      <c r="B2393" s="24"/>
    </row>
    <row r="2394" spans="2:2">
      <c r="B2394" s="24"/>
    </row>
    <row r="2395" spans="2:2">
      <c r="B2395" s="24"/>
    </row>
    <row r="2396" spans="2:2">
      <c r="B2396" s="24"/>
    </row>
    <row r="2397" spans="2:2">
      <c r="B2397" s="24"/>
    </row>
    <row r="2398" spans="2:2">
      <c r="B2398" s="24"/>
    </row>
    <row r="2399" spans="2:2">
      <c r="B2399" s="24"/>
    </row>
    <row r="2400" spans="2:2">
      <c r="B2400" s="24"/>
    </row>
    <row r="2401" spans="2:2">
      <c r="B2401" s="24"/>
    </row>
    <row r="2402" spans="2:2">
      <c r="B2402" s="24"/>
    </row>
    <row r="2403" spans="2:2">
      <c r="B2403" s="24"/>
    </row>
    <row r="2404" spans="2:2">
      <c r="B2404" s="24"/>
    </row>
    <row r="2405" spans="2:2">
      <c r="B2405" s="24"/>
    </row>
    <row r="2406" spans="2:2">
      <c r="B2406" s="24"/>
    </row>
    <row r="2407" spans="2:2">
      <c r="B2407" s="24"/>
    </row>
    <row r="2408" spans="2:2">
      <c r="B2408" s="24"/>
    </row>
    <row r="2409" spans="2:2">
      <c r="B2409" s="24"/>
    </row>
    <row r="2410" spans="2:2">
      <c r="B2410" s="24"/>
    </row>
    <row r="2411" spans="2:2">
      <c r="B2411" s="24"/>
    </row>
    <row r="2412" spans="2:2">
      <c r="B2412" s="24"/>
    </row>
    <row r="2413" spans="2:2">
      <c r="B2413" s="24"/>
    </row>
    <row r="2414" spans="2:2">
      <c r="B2414" s="24"/>
    </row>
    <row r="2415" spans="2:2">
      <c r="B2415" s="24"/>
    </row>
    <row r="2416" spans="2:2">
      <c r="B2416" s="24"/>
    </row>
    <row r="2417" spans="2:2">
      <c r="B2417" s="24"/>
    </row>
    <row r="2418" spans="2:2">
      <c r="B2418" s="24"/>
    </row>
    <row r="2419" spans="2:2">
      <c r="B2419" s="24"/>
    </row>
    <row r="2420" spans="2:2">
      <c r="B2420" s="24"/>
    </row>
    <row r="2421" spans="2:2">
      <c r="B2421" s="24"/>
    </row>
    <row r="2422" spans="2:2">
      <c r="B2422" s="24"/>
    </row>
    <row r="2423" spans="2:2">
      <c r="B2423" s="24"/>
    </row>
    <row r="2424" spans="2:2">
      <c r="B2424" s="24"/>
    </row>
    <row r="2425" spans="2:2">
      <c r="B2425" s="24"/>
    </row>
    <row r="2426" spans="2:2">
      <c r="B2426" s="24"/>
    </row>
    <row r="2427" spans="2:2">
      <c r="B2427" s="24"/>
    </row>
    <row r="2428" spans="2:2">
      <c r="B2428" s="24"/>
    </row>
    <row r="2429" spans="2:2">
      <c r="B2429" s="24"/>
    </row>
    <row r="2430" spans="2:2">
      <c r="B2430" s="24"/>
    </row>
    <row r="2431" spans="2:2">
      <c r="B2431" s="24"/>
    </row>
    <row r="2432" spans="2:2">
      <c r="B2432" s="24"/>
    </row>
    <row r="2433" spans="2:2">
      <c r="B2433" s="24"/>
    </row>
    <row r="2434" spans="2:2">
      <c r="B2434" s="24"/>
    </row>
    <row r="2435" spans="2:2">
      <c r="B2435" s="24"/>
    </row>
    <row r="2436" spans="2:2">
      <c r="B2436" s="24"/>
    </row>
    <row r="2437" spans="2:2">
      <c r="B2437" s="24"/>
    </row>
    <row r="2438" spans="2:2">
      <c r="B2438" s="24"/>
    </row>
    <row r="2439" spans="2:2">
      <c r="B2439" s="24"/>
    </row>
    <row r="2440" spans="2:2">
      <c r="B2440" s="24"/>
    </row>
    <row r="2441" spans="2:2">
      <c r="B2441" s="24"/>
    </row>
    <row r="2442" spans="2:2">
      <c r="B2442" s="24"/>
    </row>
    <row r="2443" spans="2:2">
      <c r="B2443" s="24"/>
    </row>
    <row r="2444" spans="2:2">
      <c r="B2444" s="24"/>
    </row>
    <row r="2445" spans="2:2">
      <c r="B2445" s="24"/>
    </row>
    <row r="2446" spans="2:2">
      <c r="B2446" s="24"/>
    </row>
    <row r="2447" spans="2:2">
      <c r="B2447" s="24"/>
    </row>
    <row r="2448" spans="2:2">
      <c r="B2448" s="24"/>
    </row>
    <row r="2449" spans="2:2">
      <c r="B2449" s="24"/>
    </row>
    <row r="2450" spans="2:2">
      <c r="B2450" s="24"/>
    </row>
    <row r="2451" spans="2:2">
      <c r="B2451" s="24"/>
    </row>
    <row r="2452" spans="2:2">
      <c r="B2452" s="24"/>
    </row>
    <row r="2453" spans="2:2">
      <c r="B2453" s="24"/>
    </row>
    <row r="2454" spans="2:2">
      <c r="B2454" s="24"/>
    </row>
    <row r="2455" spans="2:2">
      <c r="B2455" s="24"/>
    </row>
    <row r="2456" spans="2:2">
      <c r="B2456" s="24"/>
    </row>
    <row r="2457" spans="2:2">
      <c r="B2457" s="24"/>
    </row>
    <row r="2458" spans="2:2">
      <c r="B2458" s="24"/>
    </row>
    <row r="2459" spans="2:2">
      <c r="B2459" s="24"/>
    </row>
    <row r="2460" spans="2:2">
      <c r="B2460" s="24"/>
    </row>
    <row r="2461" spans="2:2">
      <c r="B2461" s="24"/>
    </row>
    <row r="2462" spans="2:2">
      <c r="B2462" s="24"/>
    </row>
    <row r="2463" spans="2:2">
      <c r="B2463" s="24"/>
    </row>
    <row r="2464" spans="2:2">
      <c r="B2464" s="24"/>
    </row>
    <row r="2465" spans="2:2">
      <c r="B2465" s="24"/>
    </row>
    <row r="2466" spans="2:2">
      <c r="B2466" s="24"/>
    </row>
    <row r="2467" spans="2:2">
      <c r="B2467" s="24"/>
    </row>
    <row r="2468" spans="2:2">
      <c r="B2468" s="24"/>
    </row>
    <row r="2469" spans="2:2">
      <c r="B2469" s="24"/>
    </row>
    <row r="2470" spans="2:2">
      <c r="B2470" s="24"/>
    </row>
    <row r="2471" spans="2:2">
      <c r="B2471" s="24"/>
    </row>
    <row r="2472" spans="2:2">
      <c r="B2472" s="24"/>
    </row>
    <row r="2473" spans="2:2">
      <c r="B2473" s="24"/>
    </row>
    <row r="2474" spans="2:2">
      <c r="B2474" s="24"/>
    </row>
    <row r="2475" spans="2:2">
      <c r="B2475" s="24"/>
    </row>
    <row r="2476" spans="2:2">
      <c r="B2476" s="24"/>
    </row>
    <row r="2477" spans="2:2">
      <c r="B2477" s="24"/>
    </row>
    <row r="2478" spans="2:2">
      <c r="B2478" s="24"/>
    </row>
    <row r="2479" spans="2:2">
      <c r="B2479" s="24"/>
    </row>
    <row r="2480" spans="2:2">
      <c r="B2480" s="24"/>
    </row>
    <row r="2481" spans="2:2">
      <c r="B2481" s="24"/>
    </row>
    <row r="2482" spans="2:2">
      <c r="B2482" s="24"/>
    </row>
    <row r="2483" spans="2:2">
      <c r="B2483" s="24"/>
    </row>
    <row r="2484" spans="2:2">
      <c r="B2484" s="24"/>
    </row>
    <row r="2485" spans="2:2">
      <c r="B2485" s="24"/>
    </row>
    <row r="2486" spans="2:2">
      <c r="B2486" s="24"/>
    </row>
    <row r="2487" spans="2:2">
      <c r="B2487" s="24"/>
    </row>
    <row r="2488" spans="2:2">
      <c r="B2488" s="24"/>
    </row>
    <row r="2489" spans="2:2">
      <c r="B2489" s="24"/>
    </row>
    <row r="2490" spans="2:2">
      <c r="B2490" s="24"/>
    </row>
    <row r="2491" spans="2:2">
      <c r="B2491" s="24"/>
    </row>
    <row r="2492" spans="2:2">
      <c r="B2492" s="24"/>
    </row>
    <row r="2493" spans="2:2">
      <c r="B2493" s="24"/>
    </row>
    <row r="2494" spans="2:2">
      <c r="B2494" s="24"/>
    </row>
    <row r="2495" spans="2:2">
      <c r="B2495" s="24"/>
    </row>
    <row r="2496" spans="2:2">
      <c r="B2496" s="24"/>
    </row>
    <row r="2497" spans="2:2">
      <c r="B2497" s="24"/>
    </row>
    <row r="2498" spans="2:2">
      <c r="B2498" s="24"/>
    </row>
    <row r="2499" spans="2:2">
      <c r="B2499" s="24"/>
    </row>
    <row r="2500" spans="2:2">
      <c r="B2500" s="24"/>
    </row>
    <row r="2501" spans="2:2">
      <c r="B2501" s="24"/>
    </row>
    <row r="2502" spans="2:2">
      <c r="B2502" s="24"/>
    </row>
    <row r="2503" spans="2:2">
      <c r="B2503" s="24"/>
    </row>
    <row r="2504" spans="2:2">
      <c r="B2504" s="24"/>
    </row>
    <row r="2505" spans="2:2">
      <c r="B2505" s="24"/>
    </row>
    <row r="2506" spans="2:2">
      <c r="B2506" s="24"/>
    </row>
    <row r="2507" spans="2:2">
      <c r="B2507" s="24"/>
    </row>
    <row r="2508" spans="2:2">
      <c r="B2508" s="24"/>
    </row>
    <row r="2509" spans="2:2">
      <c r="B2509" s="24"/>
    </row>
    <row r="2510" spans="2:2">
      <c r="B2510" s="24"/>
    </row>
    <row r="2511" spans="2:2">
      <c r="B2511" s="24"/>
    </row>
    <row r="2512" spans="2:2">
      <c r="B2512" s="24"/>
    </row>
    <row r="2513" spans="2:2">
      <c r="B2513" s="24"/>
    </row>
    <row r="2514" spans="2:2">
      <c r="B2514" s="24"/>
    </row>
    <row r="2515" spans="2:2">
      <c r="B2515" s="24"/>
    </row>
    <row r="2516" spans="2:2">
      <c r="B2516" s="24"/>
    </row>
    <row r="2517" spans="2:2">
      <c r="B2517" s="24"/>
    </row>
    <row r="2518" spans="2:2">
      <c r="B2518" s="24"/>
    </row>
    <row r="2519" spans="2:2">
      <c r="B2519" s="24"/>
    </row>
    <row r="2520" spans="2:2">
      <c r="B2520" s="24"/>
    </row>
    <row r="2521" spans="2:2">
      <c r="B2521" s="24"/>
    </row>
    <row r="2522" spans="2:2">
      <c r="B2522" s="24"/>
    </row>
    <row r="2523" spans="2:2">
      <c r="B2523" s="24"/>
    </row>
    <row r="2524" spans="2:2">
      <c r="B2524" s="24"/>
    </row>
    <row r="2525" spans="2:2">
      <c r="B2525" s="24"/>
    </row>
    <row r="2526" spans="2:2">
      <c r="B2526" s="24"/>
    </row>
    <row r="2527" spans="2:2">
      <c r="B2527" s="24"/>
    </row>
    <row r="2528" spans="2:2">
      <c r="B2528" s="24"/>
    </row>
    <row r="2529" spans="2:2">
      <c r="B2529" s="24"/>
    </row>
    <row r="2530" spans="2:2">
      <c r="B2530" s="24"/>
    </row>
    <row r="2531" spans="2:2">
      <c r="B2531" s="24"/>
    </row>
    <row r="2532" spans="2:2">
      <c r="B2532" s="24"/>
    </row>
    <row r="2533" spans="2:2">
      <c r="B2533" s="24"/>
    </row>
    <row r="2534" spans="2:2">
      <c r="B2534" s="24"/>
    </row>
    <row r="2535" spans="2:2">
      <c r="B2535" s="24"/>
    </row>
    <row r="2536" spans="2:2">
      <c r="B2536" s="24"/>
    </row>
    <row r="2537" spans="2:2">
      <c r="B2537" s="24"/>
    </row>
    <row r="2538" spans="2:2">
      <c r="B2538" s="24"/>
    </row>
    <row r="2539" spans="2:2">
      <c r="B2539" s="24"/>
    </row>
    <row r="2540" spans="2:2">
      <c r="B2540" s="24"/>
    </row>
    <row r="2541" spans="2:2">
      <c r="B2541" s="24"/>
    </row>
    <row r="2542" spans="2:2">
      <c r="B2542" s="24"/>
    </row>
    <row r="2543" spans="2:2">
      <c r="B2543" s="24"/>
    </row>
    <row r="2544" spans="2:2">
      <c r="B2544" s="24"/>
    </row>
    <row r="2545" spans="2:2">
      <c r="B2545" s="24"/>
    </row>
    <row r="2546" spans="2:2">
      <c r="B2546" s="24"/>
    </row>
    <row r="2547" spans="2:2">
      <c r="B2547" s="24"/>
    </row>
    <row r="2548" spans="2:2">
      <c r="B2548" s="24"/>
    </row>
    <row r="2549" spans="2:2">
      <c r="B2549" s="24"/>
    </row>
    <row r="2550" spans="2:2">
      <c r="B2550" s="24"/>
    </row>
    <row r="2551" spans="2:2">
      <c r="B2551" s="24"/>
    </row>
    <row r="2552" spans="2:2">
      <c r="B2552" s="24"/>
    </row>
    <row r="2553" spans="2:2">
      <c r="B2553" s="24"/>
    </row>
    <row r="2554" spans="2:2">
      <c r="B2554" s="24"/>
    </row>
    <row r="2555" spans="2:2">
      <c r="B2555" s="24"/>
    </row>
    <row r="2556" spans="2:2">
      <c r="B2556" s="24"/>
    </row>
    <row r="2557" spans="2:2">
      <c r="B2557" s="24"/>
    </row>
    <row r="2558" spans="2:2">
      <c r="B2558" s="24"/>
    </row>
    <row r="2559" spans="2:2">
      <c r="B2559" s="24"/>
    </row>
    <row r="2560" spans="2:2">
      <c r="B2560" s="24"/>
    </row>
    <row r="2561" spans="2:2">
      <c r="B2561" s="24"/>
    </row>
    <row r="2562" spans="2:2">
      <c r="B2562" s="24"/>
    </row>
    <row r="2563" spans="2:2">
      <c r="B2563" s="24"/>
    </row>
    <row r="2564" spans="2:2">
      <c r="B2564" s="24"/>
    </row>
    <row r="2565" spans="2:2">
      <c r="B2565" s="24"/>
    </row>
    <row r="2566" spans="2:2">
      <c r="B2566" s="24"/>
    </row>
    <row r="2567" spans="2:2">
      <c r="B2567" s="24"/>
    </row>
    <row r="2568" spans="2:2">
      <c r="B2568" s="24"/>
    </row>
    <row r="2569" spans="2:2">
      <c r="B2569" s="24"/>
    </row>
    <row r="2570" spans="2:2">
      <c r="B2570" s="24"/>
    </row>
    <row r="2571" spans="2:2">
      <c r="B2571" s="24"/>
    </row>
    <row r="2572" spans="2:2">
      <c r="B2572" s="24"/>
    </row>
    <row r="2573" spans="2:2">
      <c r="B2573" s="24"/>
    </row>
    <row r="2574" spans="2:2">
      <c r="B2574" s="24"/>
    </row>
    <row r="2575" spans="2:2">
      <c r="B2575" s="24"/>
    </row>
    <row r="2576" spans="2:2">
      <c r="B2576" s="24"/>
    </row>
    <row r="2577" spans="2:2">
      <c r="B2577" s="24"/>
    </row>
    <row r="2578" spans="2:2">
      <c r="B2578" s="24"/>
    </row>
    <row r="2579" spans="2:2">
      <c r="B2579" s="24"/>
    </row>
    <row r="2580" spans="2:2">
      <c r="B2580" s="24"/>
    </row>
    <row r="2581" spans="2:2">
      <c r="B2581" s="24"/>
    </row>
    <row r="2582" spans="2:2">
      <c r="B2582" s="24"/>
    </row>
    <row r="2583" spans="2:2">
      <c r="B2583" s="24"/>
    </row>
    <row r="2584" spans="2:2">
      <c r="B2584" s="24"/>
    </row>
    <row r="2585" spans="2:2">
      <c r="B2585" s="24"/>
    </row>
    <row r="2586" spans="2:2">
      <c r="B2586" s="24"/>
    </row>
    <row r="2587" spans="2:2">
      <c r="B2587" s="24"/>
    </row>
    <row r="2588" spans="2:2">
      <c r="B2588" s="24"/>
    </row>
    <row r="2589" spans="2:2">
      <c r="B2589" s="24"/>
    </row>
    <row r="2590" spans="2:2">
      <c r="B2590" s="24"/>
    </row>
    <row r="2591" spans="2:2">
      <c r="B2591" s="24"/>
    </row>
    <row r="2592" spans="2:2">
      <c r="B2592" s="24"/>
    </row>
    <row r="2593" spans="2:2">
      <c r="B2593" s="24"/>
    </row>
    <row r="2594" spans="2:2">
      <c r="B2594" s="24"/>
    </row>
    <row r="2595" spans="2:2">
      <c r="B2595" s="24"/>
    </row>
    <row r="2596" spans="2:2">
      <c r="B2596" s="24"/>
    </row>
    <row r="2597" spans="2:2">
      <c r="B2597" s="24"/>
    </row>
    <row r="2598" spans="2:2">
      <c r="B2598" s="24"/>
    </row>
    <row r="2599" spans="2:2">
      <c r="B2599" s="24"/>
    </row>
    <row r="2600" spans="2:2">
      <c r="B2600" s="24"/>
    </row>
    <row r="2601" spans="2:2">
      <c r="B2601" s="24"/>
    </row>
    <row r="2602" spans="2:2">
      <c r="B2602" s="24"/>
    </row>
    <row r="2603" spans="2:2">
      <c r="B2603" s="24"/>
    </row>
    <row r="2604" spans="2:2">
      <c r="B2604" s="24"/>
    </row>
    <row r="2605" spans="2:2">
      <c r="B2605" s="24"/>
    </row>
    <row r="2606" spans="2:2">
      <c r="B2606" s="24"/>
    </row>
    <row r="2607" spans="2:2">
      <c r="B2607" s="24"/>
    </row>
    <row r="2608" spans="2:2">
      <c r="B2608" s="24"/>
    </row>
    <row r="2609" spans="2:2">
      <c r="B2609" s="24"/>
    </row>
    <row r="2610" spans="2:2">
      <c r="B2610" s="24"/>
    </row>
    <row r="2611" spans="2:2">
      <c r="B2611" s="24"/>
    </row>
    <row r="2612" spans="2:2">
      <c r="B2612" s="24"/>
    </row>
    <row r="2613" spans="2:2">
      <c r="B2613" s="24"/>
    </row>
    <row r="2614" spans="2:2">
      <c r="B2614" s="24"/>
    </row>
    <row r="2615" spans="2:2">
      <c r="B2615" s="24"/>
    </row>
    <row r="2616" spans="2:2">
      <c r="B2616" s="24"/>
    </row>
    <row r="2617" spans="2:2">
      <c r="B2617" s="24"/>
    </row>
    <row r="2618" spans="2:2">
      <c r="B2618" s="24"/>
    </row>
    <row r="2619" spans="2:2">
      <c r="B2619" s="24"/>
    </row>
    <row r="2620" spans="2:2">
      <c r="B2620" s="24"/>
    </row>
    <row r="2621" spans="2:2">
      <c r="B2621" s="24"/>
    </row>
    <row r="2622" spans="2:2">
      <c r="B2622" s="24"/>
    </row>
    <row r="2623" spans="2:2">
      <c r="B2623" s="24"/>
    </row>
    <row r="2624" spans="2:2">
      <c r="B2624" s="24"/>
    </row>
    <row r="2625" spans="2:2">
      <c r="B2625" s="24"/>
    </row>
    <row r="2626" spans="2:2">
      <c r="B2626" s="24"/>
    </row>
    <row r="2627" spans="2:2">
      <c r="B2627" s="24"/>
    </row>
    <row r="2628" spans="2:2">
      <c r="B2628" s="24"/>
    </row>
    <row r="2629" spans="2:2">
      <c r="B2629" s="24"/>
    </row>
    <row r="2630" spans="2:2">
      <c r="B2630" s="24"/>
    </row>
    <row r="2631" spans="2:2">
      <c r="B2631" s="24"/>
    </row>
    <row r="2632" spans="2:2">
      <c r="B2632" s="24"/>
    </row>
    <row r="2633" spans="2:2">
      <c r="B2633" s="24"/>
    </row>
    <row r="2634" spans="2:2">
      <c r="B2634" s="24"/>
    </row>
    <row r="2635" spans="2:2">
      <c r="B2635" s="24"/>
    </row>
    <row r="2636" spans="2:2">
      <c r="B2636" s="24"/>
    </row>
    <row r="2637" spans="2:2">
      <c r="B2637" s="24"/>
    </row>
    <row r="2638" spans="2:2">
      <c r="B2638" s="24"/>
    </row>
    <row r="2639" spans="2:2">
      <c r="B2639" s="24"/>
    </row>
    <row r="2640" spans="2:2">
      <c r="B2640" s="24"/>
    </row>
    <row r="2641" spans="2:2">
      <c r="B2641" s="24"/>
    </row>
    <row r="2642" spans="2:2">
      <c r="B2642" s="24"/>
    </row>
    <row r="2643" spans="2:2">
      <c r="B2643" s="24"/>
    </row>
    <row r="2644" spans="2:2">
      <c r="B2644" s="24"/>
    </row>
    <row r="2645" spans="2:2">
      <c r="B2645" s="24"/>
    </row>
    <row r="2646" spans="2:2">
      <c r="B2646" s="24"/>
    </row>
    <row r="2647" spans="2:2">
      <c r="B2647" s="24"/>
    </row>
    <row r="2648" spans="2:2">
      <c r="B2648" s="24"/>
    </row>
    <row r="2649" spans="2:2">
      <c r="B2649" s="24"/>
    </row>
    <row r="2650" spans="2:2">
      <c r="B2650" s="24"/>
    </row>
    <row r="2651" spans="2:2">
      <c r="B2651" s="24"/>
    </row>
    <row r="2652" spans="2:2">
      <c r="B2652" s="24"/>
    </row>
    <row r="2653" spans="2:2">
      <c r="B2653" s="24"/>
    </row>
    <row r="2654" spans="2:2">
      <c r="B2654" s="24"/>
    </row>
    <row r="2655" spans="2:2">
      <c r="B2655" s="24"/>
    </row>
    <row r="2656" spans="2:2">
      <c r="B2656" s="24"/>
    </row>
    <row r="2657" spans="2:2">
      <c r="B2657" s="24"/>
    </row>
    <row r="2658" spans="2:2">
      <c r="B2658" s="24"/>
    </row>
    <row r="2659" spans="2:2">
      <c r="B2659" s="24"/>
    </row>
    <row r="2660" spans="2:2">
      <c r="B2660" s="24"/>
    </row>
    <row r="2661" spans="2:2">
      <c r="B2661" s="24"/>
    </row>
    <row r="2662" spans="2:2">
      <c r="B2662" s="24"/>
    </row>
    <row r="2663" spans="2:2">
      <c r="B2663" s="24"/>
    </row>
    <row r="2664" spans="2:2">
      <c r="B2664" s="24"/>
    </row>
    <row r="2665" spans="2:2">
      <c r="B2665" s="24"/>
    </row>
    <row r="2666" spans="2:2">
      <c r="B2666" s="24"/>
    </row>
    <row r="2667" spans="2:2">
      <c r="B2667" s="24"/>
    </row>
    <row r="2668" spans="2:2">
      <c r="B2668" s="24"/>
    </row>
    <row r="2669" spans="2:2">
      <c r="B2669" s="24"/>
    </row>
    <row r="2670" spans="2:2">
      <c r="B2670" s="24"/>
    </row>
    <row r="2671" spans="2:2">
      <c r="B2671" s="24"/>
    </row>
    <row r="2672" spans="2:2">
      <c r="B2672" s="24"/>
    </row>
    <row r="2673" spans="2:2">
      <c r="B2673" s="24"/>
    </row>
    <row r="2674" spans="2:2">
      <c r="B2674" s="24"/>
    </row>
    <row r="2675" spans="2:2">
      <c r="B2675" s="24"/>
    </row>
    <row r="2676" spans="2:2">
      <c r="B2676" s="24"/>
    </row>
    <row r="2677" spans="2:2">
      <c r="B2677" s="24"/>
    </row>
    <row r="2678" spans="2:2">
      <c r="B2678" s="24"/>
    </row>
    <row r="2679" spans="2:2">
      <c r="B2679" s="24"/>
    </row>
    <row r="2680" spans="2:2">
      <c r="B2680" s="24"/>
    </row>
    <row r="2681" spans="2:2">
      <c r="B2681" s="24"/>
    </row>
    <row r="2682" spans="2:2">
      <c r="B2682" s="24"/>
    </row>
    <row r="2683" spans="2:2">
      <c r="B2683" s="24"/>
    </row>
    <row r="2684" spans="2:2">
      <c r="B2684" s="24"/>
    </row>
    <row r="2685" spans="2:2">
      <c r="B2685" s="24"/>
    </row>
    <row r="2686" spans="2:2">
      <c r="B2686" s="24"/>
    </row>
    <row r="2687" spans="2:2">
      <c r="B2687" s="24"/>
    </row>
    <row r="2688" spans="2:2">
      <c r="B2688" s="24"/>
    </row>
    <row r="2689" spans="2:2">
      <c r="B2689" s="24"/>
    </row>
    <row r="2690" spans="2:2">
      <c r="B2690" s="24"/>
    </row>
    <row r="2691" spans="2:2">
      <c r="B2691" s="24"/>
    </row>
    <row r="2692" spans="2:2">
      <c r="B2692" s="24"/>
    </row>
    <row r="2693" spans="2:2">
      <c r="B2693" s="24"/>
    </row>
    <row r="2694" spans="2:2">
      <c r="B2694" s="24"/>
    </row>
    <row r="2695" spans="2:2">
      <c r="B2695" s="24"/>
    </row>
    <row r="2696" spans="2:2">
      <c r="B2696" s="24"/>
    </row>
    <row r="2697" spans="2:2">
      <c r="B2697" s="24"/>
    </row>
    <row r="2698" spans="2:2">
      <c r="B2698" s="24"/>
    </row>
    <row r="2699" spans="2:2">
      <c r="B2699" s="24"/>
    </row>
    <row r="2700" spans="2:2">
      <c r="B2700" s="24"/>
    </row>
    <row r="2701" spans="2:2">
      <c r="B2701" s="24"/>
    </row>
    <row r="2702" spans="2:2">
      <c r="B2702" s="24"/>
    </row>
    <row r="2703" spans="2:2">
      <c r="B2703" s="24"/>
    </row>
    <row r="2704" spans="2:2">
      <c r="B2704" s="24"/>
    </row>
    <row r="2705" spans="2:2">
      <c r="B2705" s="24"/>
    </row>
    <row r="2706" spans="2:2">
      <c r="B2706" s="24"/>
    </row>
    <row r="2707" spans="2:2">
      <c r="B2707" s="24"/>
    </row>
    <row r="2708" spans="2:2">
      <c r="B2708" s="24"/>
    </row>
    <row r="2709" spans="2:2">
      <c r="B2709" s="24"/>
    </row>
    <row r="2710" spans="2:2">
      <c r="B2710" s="24"/>
    </row>
    <row r="2711" spans="2:2">
      <c r="B2711" s="24"/>
    </row>
    <row r="2712" spans="2:2">
      <c r="B2712" s="24"/>
    </row>
    <row r="2713" spans="2:2">
      <c r="B2713" s="24"/>
    </row>
    <row r="2714" spans="2:2">
      <c r="B2714" s="24"/>
    </row>
    <row r="2715" spans="2:2">
      <c r="B2715" s="24"/>
    </row>
    <row r="2716" spans="2:2">
      <c r="B2716" s="24"/>
    </row>
    <row r="2717" spans="2:2">
      <c r="B2717" s="24"/>
    </row>
    <row r="2718" spans="2:2">
      <c r="B2718" s="24"/>
    </row>
    <row r="2719" spans="2:2">
      <c r="B2719" s="24"/>
    </row>
    <row r="2720" spans="2:2">
      <c r="B2720" s="24"/>
    </row>
    <row r="2721" spans="2:2">
      <c r="B2721" s="24"/>
    </row>
    <row r="2722" spans="2:2">
      <c r="B2722" s="24"/>
    </row>
    <row r="2723" spans="2:2">
      <c r="B2723" s="24"/>
    </row>
    <row r="2724" spans="2:2">
      <c r="B2724" s="24"/>
    </row>
    <row r="2725" spans="2:2">
      <c r="B2725" s="24"/>
    </row>
    <row r="2726" spans="2:2">
      <c r="B2726" s="24"/>
    </row>
    <row r="2727" spans="2:2">
      <c r="B2727" s="24"/>
    </row>
    <row r="2728" spans="2:2">
      <c r="B2728" s="24"/>
    </row>
    <row r="2729" spans="2:2">
      <c r="B2729" s="24"/>
    </row>
    <row r="2730" spans="2:2">
      <c r="B2730" s="24"/>
    </row>
    <row r="2731" spans="2:2">
      <c r="B2731" s="24"/>
    </row>
    <row r="2732" spans="2:2">
      <c r="B2732" s="24"/>
    </row>
    <row r="2733" spans="2:2">
      <c r="B2733" s="24"/>
    </row>
    <row r="2734" spans="2:2">
      <c r="B2734" s="24"/>
    </row>
    <row r="2735" spans="2:2">
      <c r="B2735" s="24"/>
    </row>
    <row r="2736" spans="2:2">
      <c r="B2736" s="24"/>
    </row>
    <row r="2737" spans="2:2">
      <c r="B2737" s="24"/>
    </row>
    <row r="2738" spans="2:2">
      <c r="B2738" s="24"/>
    </row>
    <row r="2739" spans="2:2">
      <c r="B2739" s="24"/>
    </row>
    <row r="2740" spans="2:2">
      <c r="B2740" s="24"/>
    </row>
    <row r="2741" spans="2:2">
      <c r="B2741" s="24"/>
    </row>
    <row r="2742" spans="2:2">
      <c r="B2742" s="24"/>
    </row>
    <row r="2743" spans="2:2">
      <c r="B2743" s="24"/>
    </row>
    <row r="2744" spans="2:2">
      <c r="B2744" s="24"/>
    </row>
    <row r="2745" spans="2:2">
      <c r="B2745" s="24"/>
    </row>
    <row r="2746" spans="2:2">
      <c r="B2746" s="24"/>
    </row>
    <row r="2747" spans="2:2">
      <c r="B2747" s="24"/>
    </row>
    <row r="2748" spans="2:2">
      <c r="B2748" s="24"/>
    </row>
    <row r="2749" spans="2:2">
      <c r="B2749" s="24"/>
    </row>
    <row r="2750" spans="2:2">
      <c r="B2750" s="24"/>
    </row>
    <row r="2751" spans="2:2">
      <c r="B2751" s="24"/>
    </row>
    <row r="2752" spans="2:2">
      <c r="B2752" s="24"/>
    </row>
    <row r="2753" spans="2:2">
      <c r="B2753" s="24"/>
    </row>
    <row r="2754" spans="2:2">
      <c r="B2754" s="24"/>
    </row>
    <row r="2755" spans="2:2">
      <c r="B2755" s="24"/>
    </row>
    <row r="2756" spans="2:2">
      <c r="B2756" s="24"/>
    </row>
    <row r="2757" spans="2:2">
      <c r="B2757" s="24"/>
    </row>
    <row r="2758" spans="2:2">
      <c r="B2758" s="24"/>
    </row>
    <row r="2759" spans="2:2">
      <c r="B2759" s="24"/>
    </row>
    <row r="2760" spans="2:2">
      <c r="B2760" s="24"/>
    </row>
    <row r="2761" spans="2:2">
      <c r="B2761" s="24"/>
    </row>
    <row r="2762" spans="2:2">
      <c r="B2762" s="24"/>
    </row>
    <row r="2763" spans="2:2">
      <c r="B2763" s="24"/>
    </row>
    <row r="2764" spans="2:2">
      <c r="B2764" s="24"/>
    </row>
    <row r="2765" spans="2:2">
      <c r="B2765" s="24"/>
    </row>
    <row r="2766" spans="2:2">
      <c r="B2766" s="24"/>
    </row>
    <row r="2767" spans="2:2">
      <c r="B2767" s="24"/>
    </row>
    <row r="2768" spans="2:2">
      <c r="B2768" s="24"/>
    </row>
    <row r="2769" spans="2:2">
      <c r="B2769" s="24"/>
    </row>
    <row r="2770" spans="2:2">
      <c r="B2770" s="24"/>
    </row>
    <row r="2771" spans="2:2">
      <c r="B2771" s="24"/>
    </row>
    <row r="2772" spans="2:2">
      <c r="B2772" s="24"/>
    </row>
    <row r="2773" spans="2:2">
      <c r="B2773" s="24"/>
    </row>
    <row r="2774" spans="2:2">
      <c r="B2774" s="24"/>
    </row>
    <row r="2775" spans="2:2">
      <c r="B2775" s="24"/>
    </row>
    <row r="2776" spans="2:2">
      <c r="B2776" s="24"/>
    </row>
    <row r="2777" spans="2:2">
      <c r="B2777" s="24"/>
    </row>
    <row r="2778" spans="2:2">
      <c r="B2778" s="24"/>
    </row>
    <row r="2779" spans="2:2">
      <c r="B2779" s="24"/>
    </row>
    <row r="2780" spans="2:2">
      <c r="B2780" s="24"/>
    </row>
    <row r="2781" spans="2:2">
      <c r="B2781" s="24"/>
    </row>
    <row r="2782" spans="2:2">
      <c r="B2782" s="24"/>
    </row>
    <row r="2783" spans="2:2">
      <c r="B2783" s="24"/>
    </row>
    <row r="2784" spans="2:2">
      <c r="B2784" s="24"/>
    </row>
    <row r="2785" spans="2:2">
      <c r="B2785" s="24"/>
    </row>
    <row r="2786" spans="2:2">
      <c r="B2786" s="24"/>
    </row>
    <row r="2787" spans="2:2">
      <c r="B2787" s="24"/>
    </row>
    <row r="2788" spans="2:2">
      <c r="B2788" s="24"/>
    </row>
    <row r="2789" spans="2:2">
      <c r="B2789" s="24"/>
    </row>
    <row r="2790" spans="2:2">
      <c r="B2790" s="24"/>
    </row>
    <row r="2791" spans="2:2">
      <c r="B2791" s="24"/>
    </row>
    <row r="2792" spans="2:2">
      <c r="B2792" s="24"/>
    </row>
    <row r="2793" spans="2:2">
      <c r="B2793" s="24"/>
    </row>
    <row r="2794" spans="2:2">
      <c r="B2794" s="24"/>
    </row>
    <row r="2795" spans="2:2">
      <c r="B2795" s="24"/>
    </row>
    <row r="2796" spans="2:2">
      <c r="B2796" s="24"/>
    </row>
    <row r="2797" spans="2:2">
      <c r="B2797" s="24"/>
    </row>
    <row r="2798" spans="2:2">
      <c r="B2798" s="24"/>
    </row>
    <row r="2799" spans="2:2">
      <c r="B2799" s="24"/>
    </row>
    <row r="2800" spans="2:2">
      <c r="B2800" s="24"/>
    </row>
    <row r="2801" spans="2:2">
      <c r="B2801" s="24"/>
    </row>
    <row r="2802" spans="2:2">
      <c r="B2802" s="24"/>
    </row>
    <row r="2803" spans="2:2">
      <c r="B2803" s="24"/>
    </row>
    <row r="2804" spans="2:2">
      <c r="B2804" s="24"/>
    </row>
    <row r="2805" spans="2:2">
      <c r="B2805" s="24"/>
    </row>
    <row r="2806" spans="2:2">
      <c r="B2806" s="24"/>
    </row>
    <row r="2807" spans="2:2">
      <c r="B2807" s="24"/>
    </row>
    <row r="2808" spans="2:2">
      <c r="B2808" s="24"/>
    </row>
    <row r="2809" spans="2:2">
      <c r="B2809" s="24"/>
    </row>
    <row r="2810" spans="2:2">
      <c r="B2810" s="24"/>
    </row>
    <row r="2811" spans="2:2">
      <c r="B2811" s="24"/>
    </row>
    <row r="2812" spans="2:2">
      <c r="B2812" s="24"/>
    </row>
    <row r="2813" spans="2:2">
      <c r="B2813" s="24"/>
    </row>
    <row r="2814" spans="2:2">
      <c r="B2814" s="24"/>
    </row>
    <row r="2815" spans="2:2">
      <c r="B2815" s="24"/>
    </row>
    <row r="2816" spans="2:2">
      <c r="B2816" s="24"/>
    </row>
    <row r="2817" spans="2:2">
      <c r="B2817" s="24"/>
    </row>
    <row r="2818" spans="2:2">
      <c r="B2818" s="24"/>
    </row>
    <row r="2819" spans="2:2">
      <c r="B2819" s="24"/>
    </row>
    <row r="2820" spans="2:2">
      <c r="B2820" s="24"/>
    </row>
    <row r="2821" spans="2:2">
      <c r="B2821" s="24"/>
    </row>
    <row r="2822" spans="2:2">
      <c r="B2822" s="24"/>
    </row>
    <row r="2823" spans="2:2">
      <c r="B2823" s="24"/>
    </row>
    <row r="2824" spans="2:2">
      <c r="B2824" s="24"/>
    </row>
    <row r="2825" spans="2:2">
      <c r="B2825" s="24"/>
    </row>
    <row r="2826" spans="2:2">
      <c r="B2826" s="24"/>
    </row>
    <row r="2827" spans="2:2">
      <c r="B2827" s="24"/>
    </row>
    <row r="2828" spans="2:2">
      <c r="B2828" s="24"/>
    </row>
    <row r="2829" spans="2:2">
      <c r="B2829" s="24"/>
    </row>
    <row r="2830" spans="2:2">
      <c r="B2830" s="24"/>
    </row>
    <row r="2831" spans="2:2">
      <c r="B2831" s="24"/>
    </row>
    <row r="2832" spans="2:2">
      <c r="B2832" s="24"/>
    </row>
    <row r="2833" spans="2:2">
      <c r="B2833" s="24"/>
    </row>
    <row r="2834" spans="2:2">
      <c r="B2834" s="24"/>
    </row>
    <row r="2835" spans="2:2">
      <c r="B2835" s="24"/>
    </row>
    <row r="2836" spans="2:2">
      <c r="B2836" s="24"/>
    </row>
    <row r="2837" spans="2:2">
      <c r="B2837" s="24"/>
    </row>
    <row r="2838" spans="2:2">
      <c r="B2838" s="24"/>
    </row>
    <row r="2839" spans="2:2">
      <c r="B2839" s="24"/>
    </row>
    <row r="2840" spans="2:2">
      <c r="B2840" s="24"/>
    </row>
    <row r="2841" spans="2:2">
      <c r="B2841" s="24"/>
    </row>
    <row r="2842" spans="2:2">
      <c r="B2842" s="24"/>
    </row>
    <row r="2843" spans="2:2">
      <c r="B2843" s="24"/>
    </row>
    <row r="2844" spans="2:2">
      <c r="B2844" s="24"/>
    </row>
    <row r="2845" spans="2:2">
      <c r="B2845" s="24"/>
    </row>
    <row r="2846" spans="2:2">
      <c r="B2846" s="24"/>
    </row>
    <row r="2847" spans="2:2">
      <c r="B2847" s="24"/>
    </row>
    <row r="2848" spans="2:2">
      <c r="B2848" s="24"/>
    </row>
    <row r="2849" spans="2:2">
      <c r="B2849" s="24"/>
    </row>
    <row r="2850" spans="2:2">
      <c r="B2850" s="24"/>
    </row>
    <row r="2851" spans="2:2">
      <c r="B2851" s="24"/>
    </row>
    <row r="2852" spans="2:2">
      <c r="B2852" s="24"/>
    </row>
    <row r="2853" spans="2:2">
      <c r="B2853" s="24"/>
    </row>
    <row r="2854" spans="2:2">
      <c r="B2854" s="24"/>
    </row>
    <row r="2855" spans="2:2">
      <c r="B2855" s="24"/>
    </row>
    <row r="2856" spans="2:2">
      <c r="B2856" s="24"/>
    </row>
    <row r="2857" spans="2:2">
      <c r="B2857" s="24"/>
    </row>
    <row r="2858" spans="2:2">
      <c r="B2858" s="24"/>
    </row>
    <row r="2859" spans="2:2">
      <c r="B2859" s="24"/>
    </row>
    <row r="2860" spans="2:2">
      <c r="B2860" s="24"/>
    </row>
    <row r="2861" spans="2:2">
      <c r="B2861" s="24"/>
    </row>
    <row r="2862" spans="2:2">
      <c r="B2862" s="24"/>
    </row>
    <row r="2863" spans="2:2">
      <c r="B2863" s="24"/>
    </row>
    <row r="2864" spans="2:2">
      <c r="B2864" s="24"/>
    </row>
    <row r="2865" spans="2:2">
      <c r="B2865" s="24"/>
    </row>
    <row r="2866" spans="2:2">
      <c r="B2866" s="24"/>
    </row>
    <row r="2867" spans="2:2">
      <c r="B2867" s="24"/>
    </row>
    <row r="2868" spans="2:2">
      <c r="B2868" s="24"/>
    </row>
    <row r="2869" spans="2:2">
      <c r="B2869" s="24"/>
    </row>
    <row r="2870" spans="2:2">
      <c r="B2870" s="24"/>
    </row>
    <row r="2871" spans="2:2">
      <c r="B2871" s="24"/>
    </row>
    <row r="2872" spans="2:2">
      <c r="B2872" s="24"/>
    </row>
    <row r="2873" spans="2:2">
      <c r="B2873" s="24"/>
    </row>
    <row r="2874" spans="2:2">
      <c r="B2874" s="24"/>
    </row>
    <row r="2875" spans="2:2">
      <c r="B2875" s="24"/>
    </row>
    <row r="2876" spans="2:2">
      <c r="B2876" s="24"/>
    </row>
    <row r="2877" spans="2:2">
      <c r="B2877" s="24"/>
    </row>
    <row r="2878" spans="2:2">
      <c r="B2878" s="24"/>
    </row>
    <row r="2879" spans="2:2">
      <c r="B2879" s="24"/>
    </row>
    <row r="2880" spans="2:2">
      <c r="B2880" s="24"/>
    </row>
    <row r="2881" spans="2:2">
      <c r="B2881" s="24"/>
    </row>
    <row r="2882" spans="2:2">
      <c r="B2882" s="24"/>
    </row>
    <row r="2883" spans="2:2">
      <c r="B2883" s="24"/>
    </row>
    <row r="2884" spans="2:2">
      <c r="B2884" s="24"/>
    </row>
    <row r="2885" spans="2:2">
      <c r="B2885" s="24"/>
    </row>
    <row r="2886" spans="2:2">
      <c r="B2886" s="24"/>
    </row>
    <row r="2887" spans="2:2">
      <c r="B2887" s="24"/>
    </row>
    <row r="2888" spans="2:2">
      <c r="B2888" s="24"/>
    </row>
    <row r="2889" spans="2:2">
      <c r="B2889" s="24"/>
    </row>
    <row r="2890" spans="2:2">
      <c r="B2890" s="24"/>
    </row>
    <row r="2891" spans="2:2">
      <c r="B2891" s="24"/>
    </row>
    <row r="2892" spans="2:2">
      <c r="B2892" s="24"/>
    </row>
    <row r="2893" spans="2:2">
      <c r="B2893" s="24"/>
    </row>
    <row r="2894" spans="2:2">
      <c r="B2894" s="24"/>
    </row>
    <row r="2895" spans="2:2">
      <c r="B2895" s="24"/>
    </row>
    <row r="2896" spans="2:2">
      <c r="B2896" s="24"/>
    </row>
    <row r="2897" spans="2:2">
      <c r="B2897" s="24"/>
    </row>
    <row r="2898" spans="2:2">
      <c r="B2898" s="24"/>
    </row>
    <row r="2899" spans="2:2">
      <c r="B2899" s="24"/>
    </row>
    <row r="2900" spans="2:2">
      <c r="B2900" s="24"/>
    </row>
    <row r="2901" spans="2:2">
      <c r="B2901" s="24"/>
    </row>
    <row r="2902" spans="2:2">
      <c r="B2902" s="24"/>
    </row>
    <row r="2903" spans="2:2">
      <c r="B2903" s="24"/>
    </row>
    <row r="2904" spans="2:2">
      <c r="B2904" s="24"/>
    </row>
    <row r="2905" spans="2:2">
      <c r="B2905" s="24"/>
    </row>
    <row r="2906" spans="2:2">
      <c r="B2906" s="24"/>
    </row>
    <row r="2907" spans="2:2">
      <c r="B2907" s="24"/>
    </row>
    <row r="2908" spans="2:2">
      <c r="B2908" s="24"/>
    </row>
    <row r="2909" spans="2:2">
      <c r="B2909" s="24"/>
    </row>
    <row r="2910" spans="2:2">
      <c r="B2910" s="24"/>
    </row>
    <row r="2911" spans="2:2">
      <c r="B2911" s="24"/>
    </row>
    <row r="2912" spans="2:2">
      <c r="B2912" s="24"/>
    </row>
    <row r="2913" spans="2:2">
      <c r="B2913" s="24"/>
    </row>
    <row r="2914" spans="2:2">
      <c r="B2914" s="24"/>
    </row>
    <row r="2915" spans="2:2">
      <c r="B2915" s="24"/>
    </row>
    <row r="2916" spans="2:2">
      <c r="B2916" s="24"/>
    </row>
    <row r="2917" spans="2:2">
      <c r="B2917" s="24"/>
    </row>
    <row r="2918" spans="2:2">
      <c r="B2918" s="24"/>
    </row>
    <row r="2919" spans="2:2">
      <c r="B2919" s="24"/>
    </row>
    <row r="2920" spans="2:2">
      <c r="B2920" s="24"/>
    </row>
    <row r="2921" spans="2:2">
      <c r="B2921" s="24"/>
    </row>
    <row r="2922" spans="2:2">
      <c r="B2922" s="24"/>
    </row>
    <row r="2923" spans="2:2">
      <c r="B2923" s="24"/>
    </row>
    <row r="2924" spans="2:2">
      <c r="B2924" s="24"/>
    </row>
    <row r="2925" spans="2:2">
      <c r="B2925" s="24"/>
    </row>
    <row r="2926" spans="2:2">
      <c r="B2926" s="24"/>
    </row>
    <row r="2927" spans="2:2">
      <c r="B2927" s="24"/>
    </row>
    <row r="2928" spans="2:2">
      <c r="B2928" s="24"/>
    </row>
    <row r="2929" spans="2:2">
      <c r="B2929" s="24"/>
    </row>
    <row r="2930" spans="2:2">
      <c r="B2930" s="24"/>
    </row>
    <row r="2931" spans="2:2">
      <c r="B2931" s="24"/>
    </row>
    <row r="2932" spans="2:2">
      <c r="B2932" s="24"/>
    </row>
    <row r="2933" spans="2:2">
      <c r="B2933" s="24"/>
    </row>
    <row r="2934" spans="2:2">
      <c r="B2934" s="24"/>
    </row>
    <row r="2935" spans="2:2">
      <c r="B2935" s="24"/>
    </row>
    <row r="2936" spans="2:2">
      <c r="B2936" s="24"/>
    </row>
    <row r="2937" spans="2:2">
      <c r="B2937" s="24"/>
    </row>
    <row r="2938" spans="2:2">
      <c r="B2938" s="24"/>
    </row>
    <row r="2939" spans="2:2">
      <c r="B2939" s="24"/>
    </row>
    <row r="2940" spans="2:2">
      <c r="B2940" s="24"/>
    </row>
    <row r="2941" spans="2:2">
      <c r="B2941" s="24"/>
    </row>
    <row r="2942" spans="2:2">
      <c r="B2942" s="24"/>
    </row>
    <row r="2943" spans="2:2">
      <c r="B2943" s="24"/>
    </row>
    <row r="2944" spans="2:2">
      <c r="B2944" s="24"/>
    </row>
    <row r="2945" spans="2:2">
      <c r="B2945" s="24"/>
    </row>
    <row r="2946" spans="2:2">
      <c r="B2946" s="24"/>
    </row>
    <row r="2947" spans="2:2">
      <c r="B2947" s="24"/>
    </row>
    <row r="2948" spans="2:2">
      <c r="B2948" s="24"/>
    </row>
    <row r="2949" spans="2:2">
      <c r="B2949" s="24"/>
    </row>
    <row r="2950" spans="2:2">
      <c r="B2950" s="24"/>
    </row>
    <row r="2951" spans="2:2">
      <c r="B2951" s="24"/>
    </row>
    <row r="2952" spans="2:2">
      <c r="B2952" s="24"/>
    </row>
    <row r="2953" spans="2:2">
      <c r="B2953" s="24"/>
    </row>
    <row r="2954" spans="2:2">
      <c r="B2954" s="24"/>
    </row>
    <row r="2955" spans="2:2">
      <c r="B2955" s="24"/>
    </row>
    <row r="2956" spans="2:2">
      <c r="B2956" s="24"/>
    </row>
    <row r="2957" spans="2:2">
      <c r="B2957" s="24"/>
    </row>
    <row r="2958" spans="2:2">
      <c r="B2958" s="24"/>
    </row>
    <row r="2959" spans="2:2">
      <c r="B2959" s="24"/>
    </row>
    <row r="2960" spans="2:2">
      <c r="B2960" s="24"/>
    </row>
    <row r="2961" spans="2:2">
      <c r="B2961" s="24"/>
    </row>
    <row r="2962" spans="2:2">
      <c r="B2962" s="24"/>
    </row>
    <row r="2963" spans="2:2">
      <c r="B2963" s="24"/>
    </row>
    <row r="2964" spans="2:2">
      <c r="B2964" s="24"/>
    </row>
    <row r="2965" spans="2:2">
      <c r="B2965" s="24"/>
    </row>
    <row r="2966" spans="2:2">
      <c r="B2966" s="24"/>
    </row>
    <row r="2967" spans="2:2">
      <c r="B2967" s="24"/>
    </row>
    <row r="2968" spans="2:2">
      <c r="B2968" s="24"/>
    </row>
    <row r="2969" spans="2:2">
      <c r="B2969" s="24"/>
    </row>
    <row r="2970" spans="2:2">
      <c r="B2970" s="24"/>
    </row>
    <row r="2971" spans="2:2">
      <c r="B2971" s="24"/>
    </row>
    <row r="2972" spans="2:2">
      <c r="B2972" s="24"/>
    </row>
    <row r="2973" spans="2:2">
      <c r="B2973" s="24"/>
    </row>
    <row r="2974" spans="2:2">
      <c r="B2974" s="24"/>
    </row>
    <row r="2975" spans="2:2">
      <c r="B2975" s="24"/>
    </row>
    <row r="2976" spans="2:2">
      <c r="B2976" s="24"/>
    </row>
    <row r="2977" spans="2:2">
      <c r="B2977" s="24"/>
    </row>
    <row r="2978" spans="2:2">
      <c r="B2978" s="24"/>
    </row>
    <row r="2979" spans="2:2">
      <c r="B2979" s="24"/>
    </row>
    <row r="2980" spans="2:2">
      <c r="B2980" s="24"/>
    </row>
    <row r="2981" spans="2:2">
      <c r="B2981" s="24"/>
    </row>
    <row r="2982" spans="2:2">
      <c r="B2982" s="24"/>
    </row>
    <row r="2983" spans="2:2">
      <c r="B2983" s="24"/>
    </row>
    <row r="2984" spans="2:2">
      <c r="B2984" s="24"/>
    </row>
    <row r="2985" spans="2:2">
      <c r="B2985" s="24"/>
    </row>
    <row r="2986" spans="2:2">
      <c r="B2986" s="24"/>
    </row>
    <row r="2987" spans="2:2">
      <c r="B2987" s="24"/>
    </row>
    <row r="2988" spans="2:2">
      <c r="B2988" s="24"/>
    </row>
    <row r="2989" spans="2:2">
      <c r="B2989" s="24"/>
    </row>
    <row r="2990" spans="2:2">
      <c r="B2990" s="24"/>
    </row>
    <row r="2991" spans="2:2">
      <c r="B2991" s="24"/>
    </row>
    <row r="2992" spans="2:2">
      <c r="B2992" s="24"/>
    </row>
    <row r="2993" spans="2:2">
      <c r="B2993" s="24"/>
    </row>
    <row r="2994" spans="2:2">
      <c r="B2994" s="24"/>
    </row>
    <row r="2995" spans="2:2">
      <c r="B2995" s="24"/>
    </row>
    <row r="2996" spans="2:2">
      <c r="B2996" s="24"/>
    </row>
    <row r="2997" spans="2:2">
      <c r="B2997" s="24"/>
    </row>
    <row r="2998" spans="2:2">
      <c r="B2998" s="24"/>
    </row>
    <row r="2999" spans="2:2">
      <c r="B2999" s="24"/>
    </row>
    <row r="3000" spans="2:2">
      <c r="B3000" s="24"/>
    </row>
    <row r="3001" spans="2:2">
      <c r="B3001" s="24"/>
    </row>
    <row r="3002" spans="2:2">
      <c r="B3002" s="24"/>
    </row>
    <row r="3003" spans="2:2">
      <c r="B3003" s="24"/>
    </row>
    <row r="3004" spans="2:2">
      <c r="B3004" s="24"/>
    </row>
    <row r="3005" spans="2:2">
      <c r="B3005" s="24"/>
    </row>
    <row r="3006" spans="2:2">
      <c r="B3006" s="24"/>
    </row>
    <row r="3007" spans="2:2">
      <c r="B3007" s="24"/>
    </row>
    <row r="3008" spans="2:2">
      <c r="B3008" s="24"/>
    </row>
    <row r="3009" spans="2:2">
      <c r="B3009" s="24"/>
    </row>
    <row r="3010" spans="2:2">
      <c r="B3010" s="24"/>
    </row>
    <row r="3011" spans="2:2">
      <c r="B3011" s="24"/>
    </row>
    <row r="3012" spans="2:2">
      <c r="B3012" s="24"/>
    </row>
    <row r="3013" spans="2:2">
      <c r="B3013" s="24"/>
    </row>
    <row r="3014" spans="2:2">
      <c r="B3014" s="24"/>
    </row>
    <row r="3015" spans="2:2">
      <c r="B3015" s="24"/>
    </row>
    <row r="3016" spans="2:2">
      <c r="B3016" s="24"/>
    </row>
    <row r="3017" spans="2:2">
      <c r="B3017" s="24"/>
    </row>
    <row r="3018" spans="2:2">
      <c r="B3018" s="24"/>
    </row>
    <row r="3019" spans="2:2">
      <c r="B3019" s="24"/>
    </row>
    <row r="3020" spans="2:2">
      <c r="B3020" s="24"/>
    </row>
    <row r="3021" spans="2:2">
      <c r="B3021" s="24"/>
    </row>
    <row r="3022" spans="2:2">
      <c r="B3022" s="24"/>
    </row>
    <row r="3023" spans="2:2">
      <c r="B3023" s="24"/>
    </row>
    <row r="3024" spans="2:2">
      <c r="B3024" s="24"/>
    </row>
    <row r="3025" spans="2:2">
      <c r="B3025" s="24"/>
    </row>
    <row r="3026" spans="2:2">
      <c r="B3026" s="24"/>
    </row>
    <row r="3027" spans="2:2">
      <c r="B3027" s="24"/>
    </row>
    <row r="3028" spans="2:2">
      <c r="B3028" s="24"/>
    </row>
    <row r="3029" spans="2:2">
      <c r="B3029" s="24"/>
    </row>
    <row r="3030" spans="2:2">
      <c r="B3030" s="24"/>
    </row>
    <row r="3031" spans="2:2">
      <c r="B3031" s="24"/>
    </row>
    <row r="3032" spans="2:2">
      <c r="B3032" s="24"/>
    </row>
    <row r="3033" spans="2:2">
      <c r="B3033" s="24"/>
    </row>
    <row r="3034" spans="2:2">
      <c r="B3034" s="24"/>
    </row>
    <row r="3035" spans="2:2">
      <c r="B3035" s="24"/>
    </row>
    <row r="3036" spans="2:2">
      <c r="B3036" s="24"/>
    </row>
    <row r="3037" spans="2:2">
      <c r="B3037" s="24"/>
    </row>
    <row r="3038" spans="2:2">
      <c r="B3038" s="24"/>
    </row>
    <row r="3039" spans="2:2">
      <c r="B3039" s="24"/>
    </row>
    <row r="3040" spans="2:2">
      <c r="B3040" s="24"/>
    </row>
    <row r="3041" spans="2:2">
      <c r="B3041" s="24"/>
    </row>
    <row r="3042" spans="2:2">
      <c r="B3042" s="24"/>
    </row>
    <row r="3043" spans="2:2">
      <c r="B3043" s="24"/>
    </row>
    <row r="3044" spans="2:2">
      <c r="B3044" s="24"/>
    </row>
    <row r="3045" spans="2:2">
      <c r="B3045" s="24"/>
    </row>
    <row r="3046" spans="2:2">
      <c r="B3046" s="24"/>
    </row>
    <row r="3047" spans="2:2">
      <c r="B3047" s="24"/>
    </row>
    <row r="3048" spans="2:2">
      <c r="B3048" s="24"/>
    </row>
    <row r="3049" spans="2:2">
      <c r="B3049" s="24"/>
    </row>
    <row r="3050" spans="2:2">
      <c r="B3050" s="24"/>
    </row>
    <row r="3051" spans="2:2">
      <c r="B3051" s="24"/>
    </row>
    <row r="3052" spans="2:2">
      <c r="B3052" s="24"/>
    </row>
    <row r="3053" spans="2:2">
      <c r="B3053" s="24"/>
    </row>
    <row r="3054" spans="2:2">
      <c r="B3054" s="24"/>
    </row>
    <row r="3055" spans="2:2">
      <c r="B3055" s="24"/>
    </row>
    <row r="3056" spans="2:2">
      <c r="B3056" s="24"/>
    </row>
    <row r="3057" spans="2:2">
      <c r="B3057" s="24"/>
    </row>
    <row r="3058" spans="2:2">
      <c r="B3058" s="24"/>
    </row>
    <row r="3059" spans="2:2">
      <c r="B3059" s="24"/>
    </row>
    <row r="3060" spans="2:2">
      <c r="B3060" s="24"/>
    </row>
    <row r="3061" spans="2:2">
      <c r="B3061" s="24"/>
    </row>
    <row r="3062" spans="2:2">
      <c r="B3062" s="24"/>
    </row>
    <row r="3063" spans="2:2">
      <c r="B3063" s="24"/>
    </row>
    <row r="3064" spans="2:2">
      <c r="B3064" s="24"/>
    </row>
    <row r="3065" spans="2:2">
      <c r="B3065" s="24"/>
    </row>
    <row r="3066" spans="2:2">
      <c r="B3066" s="24"/>
    </row>
    <row r="3067" spans="2:2">
      <c r="B3067" s="24"/>
    </row>
    <row r="3068" spans="2:2">
      <c r="B3068" s="24"/>
    </row>
    <row r="3069" spans="2:2">
      <c r="B3069" s="24"/>
    </row>
    <row r="3070" spans="2:2">
      <c r="B3070" s="24"/>
    </row>
    <row r="3071" spans="2:2">
      <c r="B3071" s="24"/>
    </row>
    <row r="3072" spans="2:2">
      <c r="B3072" s="24"/>
    </row>
    <row r="3073" spans="2:2">
      <c r="B3073" s="24"/>
    </row>
    <row r="3074" spans="2:2">
      <c r="B3074" s="24"/>
    </row>
    <row r="3075" spans="2:2">
      <c r="B3075" s="24"/>
    </row>
    <row r="3076" spans="2:2">
      <c r="B3076" s="24"/>
    </row>
    <row r="3077" spans="2:2">
      <c r="B3077" s="24"/>
    </row>
    <row r="3078" spans="2:2">
      <c r="B3078" s="24"/>
    </row>
    <row r="3079" spans="2:2">
      <c r="B3079" s="24"/>
    </row>
    <row r="3080" spans="2:2">
      <c r="B3080" s="24"/>
    </row>
    <row r="3081" spans="2:2">
      <c r="B3081" s="24"/>
    </row>
    <row r="3082" spans="2:2">
      <c r="B3082" s="24"/>
    </row>
    <row r="3083" spans="2:2">
      <c r="B3083" s="24"/>
    </row>
    <row r="3084" spans="2:2">
      <c r="B3084" s="24"/>
    </row>
    <row r="3085" spans="2:2">
      <c r="B3085" s="24"/>
    </row>
    <row r="3086" spans="2:2">
      <c r="B3086" s="24"/>
    </row>
    <row r="3087" spans="2:2">
      <c r="B3087" s="24"/>
    </row>
    <row r="3088" spans="2:2">
      <c r="B3088" s="24"/>
    </row>
    <row r="3089" spans="2:2">
      <c r="B3089" s="24"/>
    </row>
    <row r="3090" spans="2:2">
      <c r="B3090" s="24"/>
    </row>
    <row r="3091" spans="2:2">
      <c r="B3091" s="24"/>
    </row>
    <row r="3092" spans="2:2">
      <c r="B3092" s="24"/>
    </row>
    <row r="3093" spans="2:2">
      <c r="B3093" s="24"/>
    </row>
    <row r="3094" spans="2:2">
      <c r="B3094" s="24"/>
    </row>
    <row r="3095" spans="2:2">
      <c r="B3095" s="24"/>
    </row>
    <row r="3096" spans="2:2">
      <c r="B3096" s="24"/>
    </row>
    <row r="3097" spans="2:2">
      <c r="B3097" s="24"/>
    </row>
    <row r="3098" spans="2:2">
      <c r="B3098" s="24"/>
    </row>
    <row r="3099" spans="2:2">
      <c r="B3099" s="24"/>
    </row>
    <row r="3100" spans="2:2">
      <c r="B3100" s="24"/>
    </row>
    <row r="3101" spans="2:2">
      <c r="B3101" s="24"/>
    </row>
    <row r="3102" spans="2:2">
      <c r="B3102" s="24"/>
    </row>
    <row r="3103" spans="2:2">
      <c r="B3103" s="24"/>
    </row>
    <row r="3104" spans="2:2">
      <c r="B3104" s="24"/>
    </row>
    <row r="3105" spans="2:2">
      <c r="B3105" s="24"/>
    </row>
    <row r="3106" spans="2:2">
      <c r="B3106" s="24"/>
    </row>
    <row r="3107" spans="2:2">
      <c r="B3107" s="24"/>
    </row>
    <row r="3108" spans="2:2">
      <c r="B3108" s="24"/>
    </row>
    <row r="3109" spans="2:2">
      <c r="B3109" s="24"/>
    </row>
    <row r="3110" spans="2:2">
      <c r="B3110" s="24"/>
    </row>
    <row r="3111" spans="2:2">
      <c r="B3111" s="24"/>
    </row>
    <row r="3112" spans="2:2">
      <c r="B3112" s="24"/>
    </row>
    <row r="3113" spans="2:2">
      <c r="B3113" s="24"/>
    </row>
    <row r="3114" spans="2:2">
      <c r="B3114" s="24"/>
    </row>
    <row r="3115" spans="2:2">
      <c r="B3115" s="24"/>
    </row>
    <row r="3116" spans="2:2">
      <c r="B3116" s="24"/>
    </row>
    <row r="3117" spans="2:2">
      <c r="B3117" s="24"/>
    </row>
    <row r="3118" spans="2:2">
      <c r="B3118" s="24"/>
    </row>
    <row r="3119" spans="2:2">
      <c r="B3119" s="24"/>
    </row>
    <row r="3120" spans="2:2">
      <c r="B3120" s="24"/>
    </row>
    <row r="3121" spans="2:2">
      <c r="B3121" s="24"/>
    </row>
    <row r="3122" spans="2:2">
      <c r="B3122" s="24"/>
    </row>
    <row r="3123" spans="2:2">
      <c r="B3123" s="24"/>
    </row>
    <row r="3124" spans="2:2">
      <c r="B3124" s="24"/>
    </row>
    <row r="3125" spans="2:2">
      <c r="B3125" s="24"/>
    </row>
    <row r="3126" spans="2:2">
      <c r="B3126" s="24"/>
    </row>
    <row r="3127" spans="2:2">
      <c r="B3127" s="24"/>
    </row>
    <row r="3128" spans="2:2">
      <c r="B3128" s="24"/>
    </row>
    <row r="3129" spans="2:2">
      <c r="B3129" s="24"/>
    </row>
    <row r="3130" spans="2:2">
      <c r="B3130" s="24"/>
    </row>
    <row r="3131" spans="2:2">
      <c r="B3131" s="24"/>
    </row>
    <row r="3132" spans="2:2">
      <c r="B3132" s="24"/>
    </row>
    <row r="3133" spans="2:2">
      <c r="B3133" s="24"/>
    </row>
    <row r="3134" spans="2:2">
      <c r="B3134" s="24"/>
    </row>
    <row r="3135" spans="2:2">
      <c r="B3135" s="24"/>
    </row>
    <row r="3136" spans="2:2">
      <c r="B3136" s="24"/>
    </row>
    <row r="3137" spans="2:2">
      <c r="B3137" s="24"/>
    </row>
    <row r="3138" spans="2:2">
      <c r="B3138" s="24"/>
    </row>
    <row r="3139" spans="2:2">
      <c r="B3139" s="24"/>
    </row>
    <row r="3140" spans="2:2">
      <c r="B3140" s="24"/>
    </row>
    <row r="3141" spans="2:2">
      <c r="B3141" s="24"/>
    </row>
    <row r="3142" spans="2:2">
      <c r="B3142" s="24"/>
    </row>
    <row r="3143" spans="2:2">
      <c r="B3143" s="24"/>
    </row>
    <row r="3144" spans="2:2">
      <c r="B3144" s="24"/>
    </row>
    <row r="3145" spans="2:2">
      <c r="B3145" s="24"/>
    </row>
    <row r="3146" spans="2:2">
      <c r="B3146" s="24"/>
    </row>
    <row r="3147" spans="2:2">
      <c r="B3147" s="24"/>
    </row>
    <row r="3148" spans="2:2">
      <c r="B3148" s="24"/>
    </row>
    <row r="3149" spans="2:2">
      <c r="B3149" s="24"/>
    </row>
    <row r="3150" spans="2:2">
      <c r="B3150" s="24"/>
    </row>
    <row r="3151" spans="2:2">
      <c r="B3151" s="24"/>
    </row>
    <row r="3152" spans="2:2">
      <c r="B3152" s="24"/>
    </row>
    <row r="3153" spans="2:2">
      <c r="B3153" s="24"/>
    </row>
    <row r="3154" spans="2:2">
      <c r="B3154" s="24"/>
    </row>
    <row r="3155" spans="2:2">
      <c r="B3155" s="24"/>
    </row>
    <row r="3156" spans="2:2">
      <c r="B3156" s="24"/>
    </row>
    <row r="3157" spans="2:2">
      <c r="B3157" s="24"/>
    </row>
    <row r="3158" spans="2:2">
      <c r="B3158" s="24"/>
    </row>
    <row r="3159" spans="2:2">
      <c r="B3159" s="24"/>
    </row>
    <row r="3160" spans="2:2">
      <c r="B3160" s="24"/>
    </row>
    <row r="3161" spans="2:2">
      <c r="B3161" s="24"/>
    </row>
    <row r="3162" spans="2:2">
      <c r="B3162" s="24"/>
    </row>
    <row r="3163" spans="2:2">
      <c r="B3163" s="24"/>
    </row>
    <row r="3164" spans="2:2">
      <c r="B3164" s="24"/>
    </row>
    <row r="3165" spans="2:2">
      <c r="B3165" s="24"/>
    </row>
    <row r="3166" spans="2:2">
      <c r="B3166" s="24"/>
    </row>
    <row r="3167" spans="2:2">
      <c r="B3167" s="24"/>
    </row>
    <row r="3168" spans="2:2">
      <c r="B3168" s="24"/>
    </row>
    <row r="3169" spans="2:2">
      <c r="B3169" s="24"/>
    </row>
    <row r="3170" spans="2:2">
      <c r="B3170" s="24"/>
    </row>
    <row r="3171" spans="2:2">
      <c r="B3171" s="24"/>
    </row>
    <row r="3172" spans="2:2">
      <c r="B3172" s="24"/>
    </row>
    <row r="3173" spans="2:2">
      <c r="B3173" s="24"/>
    </row>
    <row r="3174" spans="2:2">
      <c r="B3174" s="24"/>
    </row>
    <row r="3175" spans="2:2">
      <c r="B3175" s="24"/>
    </row>
    <row r="3176" spans="2:2">
      <c r="B3176" s="24"/>
    </row>
    <row r="3177" spans="2:2">
      <c r="B3177" s="24"/>
    </row>
    <row r="3178" spans="2:2">
      <c r="B3178" s="24"/>
    </row>
    <row r="3179" spans="2:2">
      <c r="B3179" s="24"/>
    </row>
    <row r="3180" spans="2:2">
      <c r="B3180" s="24"/>
    </row>
    <row r="3181" spans="2:2">
      <c r="B3181" s="24"/>
    </row>
    <row r="3182" spans="2:2">
      <c r="B3182" s="24"/>
    </row>
    <row r="3183" spans="2:2">
      <c r="B3183" s="24"/>
    </row>
    <row r="3184" spans="2:2">
      <c r="B3184" s="24"/>
    </row>
    <row r="3185" spans="2:2">
      <c r="B3185" s="24"/>
    </row>
    <row r="3186" spans="2:2">
      <c r="B3186" s="24"/>
    </row>
    <row r="3187" spans="2:2">
      <c r="B3187" s="24"/>
    </row>
    <row r="3188" spans="2:2">
      <c r="B3188" s="24"/>
    </row>
    <row r="3189" spans="2:2">
      <c r="B3189" s="24"/>
    </row>
    <row r="3190" spans="2:2">
      <c r="B3190" s="24"/>
    </row>
    <row r="3191" spans="2:2">
      <c r="B3191" s="24"/>
    </row>
    <row r="3192" spans="2:2">
      <c r="B3192" s="24"/>
    </row>
    <row r="3193" spans="2:2">
      <c r="B3193" s="24"/>
    </row>
    <row r="3194" spans="2:2">
      <c r="B3194" s="24"/>
    </row>
    <row r="3195" spans="2:2">
      <c r="B3195" s="24"/>
    </row>
    <row r="3196" spans="2:2">
      <c r="B3196" s="24"/>
    </row>
    <row r="3197" spans="2:2">
      <c r="B3197" s="24"/>
    </row>
    <row r="3198" spans="2:2">
      <c r="B3198" s="24"/>
    </row>
    <row r="3199" spans="2:2">
      <c r="B3199" s="24"/>
    </row>
    <row r="3200" spans="2:2">
      <c r="B3200" s="24"/>
    </row>
    <row r="3201" spans="2:2">
      <c r="B3201" s="24"/>
    </row>
    <row r="3202" spans="2:2">
      <c r="B3202" s="24"/>
    </row>
    <row r="3203" spans="2:2">
      <c r="B3203" s="24"/>
    </row>
    <row r="3204" spans="2:2">
      <c r="B3204" s="24"/>
    </row>
    <row r="3205" spans="2:2">
      <c r="B3205" s="24"/>
    </row>
    <row r="3206" spans="2:2">
      <c r="B3206" s="24"/>
    </row>
    <row r="3207" spans="2:2">
      <c r="B3207" s="24"/>
    </row>
    <row r="3208" spans="2:2">
      <c r="B3208" s="24"/>
    </row>
    <row r="3209" spans="2:2">
      <c r="B3209" s="24"/>
    </row>
    <row r="3210" spans="2:2">
      <c r="B3210" s="24"/>
    </row>
    <row r="3211" spans="2:2">
      <c r="B3211" s="24"/>
    </row>
    <row r="3212" spans="2:2">
      <c r="B3212" s="24"/>
    </row>
    <row r="3213" spans="2:2">
      <c r="B3213" s="24"/>
    </row>
    <row r="3214" spans="2:2">
      <c r="B3214" s="24"/>
    </row>
    <row r="3215" spans="2:2">
      <c r="B3215" s="24"/>
    </row>
    <row r="3216" spans="2:2">
      <c r="B3216" s="24"/>
    </row>
    <row r="3217" spans="2:2">
      <c r="B3217" s="24"/>
    </row>
    <row r="3218" spans="2:2">
      <c r="B3218" s="24"/>
    </row>
    <row r="3219" spans="2:2">
      <c r="B3219" s="24"/>
    </row>
    <row r="3220" spans="2:2">
      <c r="B3220" s="24"/>
    </row>
    <row r="3221" spans="2:2">
      <c r="B3221" s="24"/>
    </row>
    <row r="3222" spans="2:2">
      <c r="B3222" s="24"/>
    </row>
    <row r="3223" spans="2:2">
      <c r="B3223" s="24"/>
    </row>
    <row r="3224" spans="2:2">
      <c r="B3224" s="24"/>
    </row>
    <row r="3225" spans="2:2">
      <c r="B3225" s="24"/>
    </row>
    <row r="3226" spans="2:2">
      <c r="B3226" s="24"/>
    </row>
    <row r="3227" spans="2:2">
      <c r="B3227" s="24"/>
    </row>
    <row r="3228" spans="2:2">
      <c r="B3228" s="24"/>
    </row>
    <row r="3229" spans="2:2">
      <c r="B3229" s="24"/>
    </row>
    <row r="3230" spans="2:2">
      <c r="B3230" s="24"/>
    </row>
    <row r="3231" spans="2:2">
      <c r="B3231" s="24"/>
    </row>
    <row r="3232" spans="2:2">
      <c r="B3232" s="24"/>
    </row>
    <row r="3233" spans="2:2">
      <c r="B3233" s="24"/>
    </row>
    <row r="3234" spans="2:2">
      <c r="B3234" s="24"/>
    </row>
    <row r="3235" spans="2:2">
      <c r="B3235" s="24"/>
    </row>
    <row r="3236" spans="2:2">
      <c r="B3236" s="24"/>
    </row>
    <row r="3237" spans="2:2">
      <c r="B3237" s="24"/>
    </row>
    <row r="3238" spans="2:2">
      <c r="B3238" s="24"/>
    </row>
    <row r="3239" spans="2:2">
      <c r="B3239" s="24"/>
    </row>
    <row r="3240" spans="2:2">
      <c r="B3240" s="24"/>
    </row>
    <row r="3241" spans="2:2">
      <c r="B3241" s="24"/>
    </row>
    <row r="3242" spans="2:2">
      <c r="B3242" s="24"/>
    </row>
    <row r="3243" spans="2:2">
      <c r="B3243" s="24"/>
    </row>
    <row r="3244" spans="2:2">
      <c r="B3244" s="24"/>
    </row>
    <row r="3245" spans="2:2">
      <c r="B3245" s="24"/>
    </row>
    <row r="3246" spans="2:2">
      <c r="B3246" s="24"/>
    </row>
    <row r="3247" spans="2:2">
      <c r="B3247" s="24"/>
    </row>
    <row r="3248" spans="2:2">
      <c r="B3248" s="24"/>
    </row>
    <row r="3249" spans="2:2">
      <c r="B3249" s="24"/>
    </row>
    <row r="3250" spans="2:2">
      <c r="B3250" s="24"/>
    </row>
    <row r="3251" spans="2:2">
      <c r="B3251" s="24"/>
    </row>
    <row r="3252" spans="2:2">
      <c r="B3252" s="24"/>
    </row>
    <row r="3253" spans="2:2">
      <c r="B3253" s="24"/>
    </row>
    <row r="3254" spans="2:2">
      <c r="B3254" s="24"/>
    </row>
    <row r="3255" spans="2:2">
      <c r="B3255" s="24"/>
    </row>
    <row r="3256" spans="2:2">
      <c r="B3256" s="24"/>
    </row>
    <row r="3257" spans="2:2">
      <c r="B3257" s="24"/>
    </row>
    <row r="3258" spans="2:2">
      <c r="B3258" s="24"/>
    </row>
    <row r="3259" spans="2:2">
      <c r="B3259" s="24"/>
    </row>
    <row r="3260" spans="2:2">
      <c r="B3260" s="24"/>
    </row>
    <row r="3261" spans="2:2">
      <c r="B3261" s="24"/>
    </row>
    <row r="3262" spans="2:2">
      <c r="B3262" s="24"/>
    </row>
    <row r="3263" spans="2:2">
      <c r="B3263" s="24"/>
    </row>
    <row r="3264" spans="2:2">
      <c r="B3264" s="24"/>
    </row>
    <row r="3265" spans="2:2">
      <c r="B3265" s="24"/>
    </row>
    <row r="3266" spans="2:2">
      <c r="B3266" s="24"/>
    </row>
    <row r="3267" spans="2:2">
      <c r="B3267" s="24"/>
    </row>
    <row r="3268" spans="2:2">
      <c r="B3268" s="24"/>
    </row>
    <row r="3269" spans="2:2">
      <c r="B3269" s="24"/>
    </row>
    <row r="3270" spans="2:2">
      <c r="B3270" s="24"/>
    </row>
    <row r="3271" spans="2:2">
      <c r="B3271" s="24"/>
    </row>
    <row r="3272" spans="2:2">
      <c r="B3272" s="24"/>
    </row>
    <row r="3273" spans="2:2">
      <c r="B3273" s="24"/>
    </row>
    <row r="3274" spans="2:2">
      <c r="B3274" s="24"/>
    </row>
    <row r="3275" spans="2:2">
      <c r="B3275" s="24"/>
    </row>
    <row r="3276" spans="2:2">
      <c r="B3276" s="24"/>
    </row>
    <row r="3277" spans="2:2">
      <c r="B3277" s="24"/>
    </row>
    <row r="3278" spans="2:2">
      <c r="B3278" s="24"/>
    </row>
    <row r="3279" spans="2:2">
      <c r="B3279" s="24"/>
    </row>
    <row r="3280" spans="2:2">
      <c r="B3280" s="24"/>
    </row>
    <row r="3281" spans="2:2">
      <c r="B3281" s="24"/>
    </row>
    <row r="3282" spans="2:2">
      <c r="B3282" s="24"/>
    </row>
    <row r="3283" spans="2:2">
      <c r="B3283" s="24"/>
    </row>
    <row r="3284" spans="2:2">
      <c r="B3284" s="24"/>
    </row>
    <row r="3285" spans="2:2">
      <c r="B3285" s="24"/>
    </row>
    <row r="3286" spans="2:2">
      <c r="B3286" s="24"/>
    </row>
    <row r="3287" spans="2:2">
      <c r="B3287" s="24"/>
    </row>
    <row r="3288" spans="2:2">
      <c r="B3288" s="24"/>
    </row>
    <row r="3289" spans="2:2">
      <c r="B3289" s="24"/>
    </row>
    <row r="3290" spans="2:2">
      <c r="B3290" s="24"/>
    </row>
    <row r="3291" spans="2:2">
      <c r="B3291" s="24"/>
    </row>
    <row r="3292" spans="2:2">
      <c r="B3292" s="24"/>
    </row>
    <row r="3293" spans="2:2">
      <c r="B3293" s="24"/>
    </row>
    <row r="3294" spans="2:2">
      <c r="B3294" s="24"/>
    </row>
    <row r="3295" spans="2:2">
      <c r="B3295" s="24"/>
    </row>
    <row r="3296" spans="2:2">
      <c r="B3296" s="24"/>
    </row>
    <row r="3297" spans="2:2">
      <c r="B3297" s="24"/>
    </row>
    <row r="3298" spans="2:2">
      <c r="B3298" s="24"/>
    </row>
    <row r="3299" spans="2:2">
      <c r="B3299" s="24"/>
    </row>
    <row r="3300" spans="2:2">
      <c r="B3300" s="24"/>
    </row>
    <row r="3301" spans="2:2">
      <c r="B3301" s="24"/>
    </row>
    <row r="3302" spans="2:2">
      <c r="B3302" s="24"/>
    </row>
    <row r="3303" spans="2:2">
      <c r="B3303" s="24"/>
    </row>
    <row r="3304" spans="2:2">
      <c r="B3304" s="24"/>
    </row>
    <row r="3305" spans="2:2">
      <c r="B3305" s="24"/>
    </row>
    <row r="3306" spans="2:2">
      <c r="B3306" s="24"/>
    </row>
    <row r="3307" spans="2:2">
      <c r="B3307" s="24"/>
    </row>
    <row r="3308" spans="2:2">
      <c r="B3308" s="24"/>
    </row>
    <row r="3309" spans="2:2">
      <c r="B3309" s="24"/>
    </row>
    <row r="3310" spans="2:2">
      <c r="B3310" s="24"/>
    </row>
    <row r="3311" spans="2:2">
      <c r="B3311" s="24"/>
    </row>
    <row r="3312" spans="2:2">
      <c r="B3312" s="24"/>
    </row>
    <row r="3313" spans="2:2">
      <c r="B3313" s="24"/>
    </row>
    <row r="3314" spans="2:2">
      <c r="B3314" s="24"/>
    </row>
    <row r="3315" spans="2:2">
      <c r="B3315" s="24"/>
    </row>
    <row r="3316" spans="2:2">
      <c r="B3316" s="24"/>
    </row>
    <row r="3317" spans="2:2">
      <c r="B3317" s="24"/>
    </row>
    <row r="3318" spans="2:2">
      <c r="B3318" s="24"/>
    </row>
    <row r="3319" spans="2:2">
      <c r="B3319" s="24"/>
    </row>
    <row r="3320" spans="2:2">
      <c r="B3320" s="24"/>
    </row>
    <row r="3321" spans="2:2">
      <c r="B3321" s="24"/>
    </row>
    <row r="3322" spans="2:2">
      <c r="B3322" s="24"/>
    </row>
    <row r="3323" spans="2:2">
      <c r="B3323" s="24"/>
    </row>
    <row r="3324" spans="2:2">
      <c r="B3324" s="24"/>
    </row>
    <row r="3325" spans="2:2">
      <c r="B3325" s="24"/>
    </row>
    <row r="3326" spans="2:2">
      <c r="B3326" s="24"/>
    </row>
    <row r="3327" spans="2:2">
      <c r="B3327" s="24"/>
    </row>
    <row r="3328" spans="2:2">
      <c r="B3328" s="24"/>
    </row>
    <row r="3329" spans="2:2">
      <c r="B3329" s="24"/>
    </row>
    <row r="3330" spans="2:2">
      <c r="B3330" s="24"/>
    </row>
    <row r="3331" spans="2:2">
      <c r="B3331" s="24"/>
    </row>
    <row r="3332" spans="2:2">
      <c r="B3332" s="24"/>
    </row>
    <row r="3333" spans="2:2">
      <c r="B3333" s="24"/>
    </row>
    <row r="3334" spans="2:2">
      <c r="B3334" s="24"/>
    </row>
    <row r="3335" spans="2:2">
      <c r="B3335" s="24"/>
    </row>
    <row r="3336" spans="2:2">
      <c r="B3336" s="24"/>
    </row>
    <row r="3337" spans="2:2">
      <c r="B3337" s="24"/>
    </row>
    <row r="3338" spans="2:2">
      <c r="B3338" s="24"/>
    </row>
    <row r="3339" spans="2:2">
      <c r="B3339" s="24"/>
    </row>
    <row r="3340" spans="2:2">
      <c r="B3340" s="24"/>
    </row>
    <row r="3341" spans="2:2">
      <c r="B3341" s="24"/>
    </row>
    <row r="3342" spans="2:2">
      <c r="B3342" s="24"/>
    </row>
    <row r="3343" spans="2:2">
      <c r="B3343" s="24"/>
    </row>
    <row r="3344" spans="2:2">
      <c r="B3344" s="24"/>
    </row>
    <row r="3345" spans="2:2">
      <c r="B3345" s="24"/>
    </row>
    <row r="3346" spans="2:2">
      <c r="B3346" s="24"/>
    </row>
    <row r="3347" spans="2:2">
      <c r="B3347" s="24"/>
    </row>
    <row r="3348" spans="2:2">
      <c r="B3348" s="24"/>
    </row>
    <row r="3349" spans="2:2">
      <c r="B3349" s="24"/>
    </row>
    <row r="3350" spans="2:2">
      <c r="B3350" s="24"/>
    </row>
    <row r="3351" spans="2:2">
      <c r="B3351" s="24"/>
    </row>
    <row r="3352" spans="2:2">
      <c r="B3352" s="24"/>
    </row>
    <row r="3353" spans="2:2">
      <c r="B3353" s="24"/>
    </row>
    <row r="3354" spans="2:2">
      <c r="B3354" s="24"/>
    </row>
    <row r="3355" spans="2:2">
      <c r="B3355" s="24"/>
    </row>
    <row r="3356" spans="2:2">
      <c r="B3356" s="24"/>
    </row>
    <row r="3357" spans="2:2">
      <c r="B3357" s="24"/>
    </row>
    <row r="3358" spans="2:2">
      <c r="B3358" s="24"/>
    </row>
    <row r="3359" spans="2:2">
      <c r="B3359" s="24"/>
    </row>
    <row r="3360" spans="2:2">
      <c r="B3360" s="24"/>
    </row>
    <row r="3361" spans="2:2">
      <c r="B3361" s="24"/>
    </row>
    <row r="3362" spans="2:2">
      <c r="B3362" s="24"/>
    </row>
    <row r="3363" spans="2:2">
      <c r="B3363" s="24"/>
    </row>
    <row r="3364" spans="2:2">
      <c r="B3364" s="24"/>
    </row>
    <row r="3365" spans="2:2">
      <c r="B3365" s="24"/>
    </row>
    <row r="3366" spans="2:2">
      <c r="B3366" s="24"/>
    </row>
    <row r="3367" spans="2:2">
      <c r="B3367" s="24"/>
    </row>
    <row r="3368" spans="2:2">
      <c r="B3368" s="24"/>
    </row>
    <row r="3369" spans="2:2">
      <c r="B3369" s="24"/>
    </row>
    <row r="3370" spans="2:2">
      <c r="B3370" s="24"/>
    </row>
    <row r="3371" spans="2:2">
      <c r="B3371" s="24"/>
    </row>
    <row r="3372" spans="2:2">
      <c r="B3372" s="24"/>
    </row>
    <row r="3373" spans="2:2">
      <c r="B3373" s="24"/>
    </row>
    <row r="3374" spans="2:2">
      <c r="B3374" s="24"/>
    </row>
    <row r="3375" spans="2:2">
      <c r="B3375" s="24"/>
    </row>
    <row r="3376" spans="2:2">
      <c r="B3376" s="24"/>
    </row>
    <row r="3377" spans="2:2">
      <c r="B3377" s="24"/>
    </row>
    <row r="3378" spans="2:2">
      <c r="B3378" s="24"/>
    </row>
    <row r="3379" spans="2:2">
      <c r="B3379" s="24"/>
    </row>
    <row r="3380" spans="2:2">
      <c r="B3380" s="24"/>
    </row>
    <row r="3381" spans="2:2">
      <c r="B3381" s="24"/>
    </row>
    <row r="3382" spans="2:2">
      <c r="B3382" s="24"/>
    </row>
    <row r="3383" spans="2:2">
      <c r="B3383" s="24"/>
    </row>
    <row r="3384" spans="2:2">
      <c r="B3384" s="24"/>
    </row>
    <row r="3385" spans="2:2">
      <c r="B3385" s="24"/>
    </row>
    <row r="3386" spans="2:2">
      <c r="B3386" s="24"/>
    </row>
    <row r="3387" spans="2:2">
      <c r="B3387" s="24"/>
    </row>
    <row r="3388" spans="2:2">
      <c r="B3388" s="24"/>
    </row>
    <row r="3389" spans="2:2">
      <c r="B3389" s="24"/>
    </row>
    <row r="3390" spans="2:2">
      <c r="B3390" s="24"/>
    </row>
    <row r="3391" spans="2:2">
      <c r="B3391" s="24"/>
    </row>
    <row r="3392" spans="2:2">
      <c r="B3392" s="24"/>
    </row>
    <row r="3393" spans="2:2">
      <c r="B3393" s="24"/>
    </row>
    <row r="3394" spans="2:2">
      <c r="B3394" s="24"/>
    </row>
    <row r="3395" spans="2:2">
      <c r="B3395" s="24"/>
    </row>
    <row r="3396" spans="2:2">
      <c r="B3396" s="24"/>
    </row>
    <row r="3397" spans="2:2">
      <c r="B3397" s="24"/>
    </row>
    <row r="3398" spans="2:2">
      <c r="B3398" s="24"/>
    </row>
    <row r="3399" spans="2:2">
      <c r="B3399" s="24"/>
    </row>
    <row r="3400" spans="2:2">
      <c r="B3400" s="24"/>
    </row>
    <row r="3401" spans="2:2">
      <c r="B3401" s="24"/>
    </row>
    <row r="3402" spans="2:2">
      <c r="B3402" s="24"/>
    </row>
    <row r="3403" spans="2:2">
      <c r="B3403" s="24"/>
    </row>
    <row r="3404" spans="2:2">
      <c r="B3404" s="24"/>
    </row>
    <row r="3405" spans="2:2">
      <c r="B3405" s="24"/>
    </row>
    <row r="3406" spans="2:2">
      <c r="B3406" s="24"/>
    </row>
    <row r="3407" spans="2:2">
      <c r="B3407" s="24"/>
    </row>
    <row r="3408" spans="2:2">
      <c r="B3408" s="24"/>
    </row>
    <row r="3409" spans="2:2">
      <c r="B3409" s="24"/>
    </row>
    <row r="3410" spans="2:2">
      <c r="B3410" s="24"/>
    </row>
    <row r="3411" spans="2:2">
      <c r="B3411" s="24"/>
    </row>
    <row r="3412" spans="2:2">
      <c r="B3412" s="24"/>
    </row>
    <row r="3413" spans="2:2">
      <c r="B3413" s="24"/>
    </row>
    <row r="3414" spans="2:2">
      <c r="B3414" s="24"/>
    </row>
    <row r="3415" spans="2:2">
      <c r="B3415" s="24"/>
    </row>
    <row r="3416" spans="2:2">
      <c r="B3416" s="24"/>
    </row>
    <row r="3417" spans="2:2">
      <c r="B3417" s="24"/>
    </row>
    <row r="3418" spans="2:2">
      <c r="B3418" s="24"/>
    </row>
    <row r="3419" spans="2:2">
      <c r="B3419" s="24"/>
    </row>
    <row r="3420" spans="2:2">
      <c r="B3420" s="24"/>
    </row>
    <row r="3421" spans="2:2">
      <c r="B3421" s="24"/>
    </row>
    <row r="3422" spans="2:2">
      <c r="B3422" s="24"/>
    </row>
    <row r="3423" spans="2:2">
      <c r="B3423" s="24"/>
    </row>
    <row r="3424" spans="2:2">
      <c r="B3424" s="24"/>
    </row>
    <row r="3425" spans="2:2">
      <c r="B3425" s="24"/>
    </row>
    <row r="3426" spans="2:2">
      <c r="B3426" s="24"/>
    </row>
    <row r="3427" spans="2:2">
      <c r="B3427" s="24"/>
    </row>
    <row r="3428" spans="2:2">
      <c r="B3428" s="24"/>
    </row>
    <row r="3429" spans="2:2">
      <c r="B3429" s="24"/>
    </row>
    <row r="3430" spans="2:2">
      <c r="B3430" s="24"/>
    </row>
    <row r="3431" spans="2:2">
      <c r="B3431" s="24"/>
    </row>
    <row r="3432" spans="2:2">
      <c r="B3432" s="24"/>
    </row>
    <row r="3433" spans="2:2">
      <c r="B3433" s="24"/>
    </row>
    <row r="3434" spans="2:2">
      <c r="B3434" s="24"/>
    </row>
    <row r="3435" spans="2:2">
      <c r="B3435" s="24"/>
    </row>
    <row r="3436" spans="2:2">
      <c r="B3436" s="24"/>
    </row>
    <row r="3437" spans="2:2">
      <c r="B3437" s="24"/>
    </row>
    <row r="3438" spans="2:2">
      <c r="B3438" s="24"/>
    </row>
    <row r="3439" spans="2:2">
      <c r="B3439" s="24"/>
    </row>
    <row r="3440" spans="2:2">
      <c r="B3440" s="24"/>
    </row>
    <row r="3441" spans="2:2">
      <c r="B3441" s="24"/>
    </row>
    <row r="3442" spans="2:2">
      <c r="B3442" s="24"/>
    </row>
    <row r="3443" spans="2:2">
      <c r="B3443" s="24"/>
    </row>
    <row r="3444" spans="2:2">
      <c r="B3444" s="24"/>
    </row>
    <row r="3445" spans="2:2">
      <c r="B3445" s="24"/>
    </row>
    <row r="3446" spans="2:2">
      <c r="B3446" s="24"/>
    </row>
    <row r="3447" spans="2:2">
      <c r="B3447" s="24"/>
    </row>
    <row r="3448" spans="2:2">
      <c r="B3448" s="24"/>
    </row>
    <row r="3449" spans="2:2">
      <c r="B3449" s="24"/>
    </row>
    <row r="3450" spans="2:2">
      <c r="B3450" s="24"/>
    </row>
    <row r="3451" spans="2:2">
      <c r="B3451" s="24"/>
    </row>
    <row r="3452" spans="2:2">
      <c r="B3452" s="24"/>
    </row>
    <row r="3453" spans="2:2">
      <c r="B3453" s="24"/>
    </row>
    <row r="3454" spans="2:2">
      <c r="B3454" s="24"/>
    </row>
    <row r="3455" spans="2:2">
      <c r="B3455" s="24"/>
    </row>
    <row r="3456" spans="2:2">
      <c r="B3456" s="24"/>
    </row>
    <row r="3457" spans="2:2">
      <c r="B3457" s="24"/>
    </row>
    <row r="3458" spans="2:2">
      <c r="B3458" s="24"/>
    </row>
    <row r="3459" spans="2:2">
      <c r="B3459" s="24"/>
    </row>
    <row r="3460" spans="2:2">
      <c r="B3460" s="24"/>
    </row>
    <row r="3461" spans="2:2">
      <c r="B3461" s="24"/>
    </row>
    <row r="3462" spans="2:2">
      <c r="B3462" s="24"/>
    </row>
    <row r="3463" spans="2:2">
      <c r="B3463" s="24"/>
    </row>
    <row r="3464" spans="2:2">
      <c r="B3464" s="24"/>
    </row>
    <row r="3465" spans="2:2">
      <c r="B3465" s="24"/>
    </row>
    <row r="3466" spans="2:2">
      <c r="B3466" s="24"/>
    </row>
    <row r="3467" spans="2:2">
      <c r="B3467" s="24"/>
    </row>
    <row r="3468" spans="2:2">
      <c r="B3468" s="24"/>
    </row>
    <row r="3469" spans="2:2">
      <c r="B3469" s="24"/>
    </row>
    <row r="3470" spans="2:2">
      <c r="B3470" s="24"/>
    </row>
    <row r="3471" spans="2:2">
      <c r="B3471" s="24"/>
    </row>
    <row r="3472" spans="2:2">
      <c r="B3472" s="24"/>
    </row>
    <row r="3473" spans="2:2">
      <c r="B3473" s="24"/>
    </row>
    <row r="3474" spans="2:2">
      <c r="B3474" s="24"/>
    </row>
    <row r="3475" spans="2:2">
      <c r="B3475" s="24"/>
    </row>
    <row r="3476" spans="2:2">
      <c r="B3476" s="24"/>
    </row>
    <row r="3477" spans="2:2">
      <c r="B3477" s="24"/>
    </row>
    <row r="3478" spans="2:2">
      <c r="B3478" s="24"/>
    </row>
    <row r="3479" spans="2:2">
      <c r="B3479" s="24"/>
    </row>
    <row r="3480" spans="2:2">
      <c r="B3480" s="24"/>
    </row>
    <row r="3481" spans="2:2">
      <c r="B3481" s="24"/>
    </row>
    <row r="3482" spans="2:2">
      <c r="B3482" s="24"/>
    </row>
    <row r="3483" spans="2:2">
      <c r="B3483" s="24"/>
    </row>
    <row r="3484" spans="2:2">
      <c r="B3484" s="24"/>
    </row>
    <row r="3485" spans="2:2">
      <c r="B3485" s="24"/>
    </row>
    <row r="3486" spans="2:2">
      <c r="B3486" s="24"/>
    </row>
    <row r="3487" spans="2:2">
      <c r="B3487" s="24"/>
    </row>
    <row r="3488" spans="2:2">
      <c r="B3488" s="24"/>
    </row>
    <row r="3489" spans="2:2">
      <c r="B3489" s="24"/>
    </row>
    <row r="3490" spans="2:2">
      <c r="B3490" s="24"/>
    </row>
    <row r="3491" spans="2:2">
      <c r="B3491" s="24"/>
    </row>
    <row r="3492" spans="2:2">
      <c r="B3492" s="24"/>
    </row>
    <row r="3493" spans="2:2">
      <c r="B3493" s="24"/>
    </row>
    <row r="3494" spans="2:2">
      <c r="B3494" s="24"/>
    </row>
    <row r="3495" spans="2:2">
      <c r="B3495" s="24"/>
    </row>
    <row r="3496" spans="2:2">
      <c r="B3496" s="24"/>
    </row>
    <row r="3497" spans="2:2">
      <c r="B3497" s="24"/>
    </row>
    <row r="3498" spans="2:2">
      <c r="B3498" s="24"/>
    </row>
    <row r="3499" spans="2:2">
      <c r="B3499" s="24"/>
    </row>
    <row r="3500" spans="2:2">
      <c r="B3500" s="24"/>
    </row>
    <row r="3501" spans="2:2">
      <c r="B3501" s="24"/>
    </row>
    <row r="3502" spans="2:2">
      <c r="B3502" s="24"/>
    </row>
    <row r="3503" spans="2:2">
      <c r="B3503" s="24"/>
    </row>
    <row r="3504" spans="2:2">
      <c r="B3504" s="24"/>
    </row>
    <row r="3505" spans="2:2">
      <c r="B3505" s="24"/>
    </row>
    <row r="3506" spans="2:2">
      <c r="B3506" s="24"/>
    </row>
    <row r="3507" spans="2:2">
      <c r="B3507" s="24"/>
    </row>
    <row r="3508" spans="2:2">
      <c r="B3508" s="24"/>
    </row>
    <row r="3509" spans="2:2">
      <c r="B3509" s="24"/>
    </row>
    <row r="3510" spans="2:2">
      <c r="B3510" s="24"/>
    </row>
    <row r="3511" spans="2:2">
      <c r="B3511" s="24"/>
    </row>
    <row r="3512" spans="2:2">
      <c r="B3512" s="24"/>
    </row>
    <row r="3513" spans="2:2">
      <c r="B3513" s="24"/>
    </row>
    <row r="3514" spans="2:2">
      <c r="B3514" s="24"/>
    </row>
    <row r="3515" spans="2:2">
      <c r="B3515" s="24"/>
    </row>
    <row r="3516" spans="2:2">
      <c r="B3516" s="24"/>
    </row>
    <row r="3517" spans="2:2">
      <c r="B3517" s="24"/>
    </row>
    <row r="3518" spans="2:2">
      <c r="B3518" s="24"/>
    </row>
    <row r="3519" spans="2:2">
      <c r="B3519" s="24"/>
    </row>
    <row r="3520" spans="2:2">
      <c r="B3520" s="24"/>
    </row>
    <row r="3521" spans="2:2">
      <c r="B3521" s="24"/>
    </row>
    <row r="3522" spans="2:2">
      <c r="B3522" s="24"/>
    </row>
    <row r="3523" spans="2:2">
      <c r="B3523" s="24"/>
    </row>
    <row r="3524" spans="2:2">
      <c r="B3524" s="24"/>
    </row>
    <row r="3525" spans="2:2">
      <c r="B3525" s="24"/>
    </row>
    <row r="3526" spans="2:2">
      <c r="B3526" s="24"/>
    </row>
    <row r="3527" spans="2:2">
      <c r="B3527" s="24"/>
    </row>
    <row r="3528" spans="2:2">
      <c r="B3528" s="24"/>
    </row>
    <row r="3529" spans="2:2">
      <c r="B3529" s="24"/>
    </row>
    <row r="3530" spans="2:2">
      <c r="B3530" s="24"/>
    </row>
    <row r="3531" spans="2:2">
      <c r="B3531" s="24"/>
    </row>
    <row r="3532" spans="2:2">
      <c r="B3532" s="24"/>
    </row>
    <row r="3533" spans="2:2">
      <c r="B3533" s="24"/>
    </row>
    <row r="3534" spans="2:2">
      <c r="B3534" s="24"/>
    </row>
    <row r="3535" spans="2:2">
      <c r="B3535" s="24"/>
    </row>
    <row r="3536" spans="2:2">
      <c r="B3536" s="24"/>
    </row>
    <row r="3537" spans="2:2">
      <c r="B3537" s="24"/>
    </row>
    <row r="3538" spans="2:2">
      <c r="B3538" s="24"/>
    </row>
    <row r="3539" spans="2:2">
      <c r="B3539" s="24"/>
    </row>
    <row r="3540" spans="2:2">
      <c r="B3540" s="24"/>
    </row>
    <row r="3541" spans="2:2">
      <c r="B3541" s="24"/>
    </row>
    <row r="3542" spans="2:2">
      <c r="B3542" s="24"/>
    </row>
    <row r="3543" spans="2:2">
      <c r="B3543" s="24"/>
    </row>
    <row r="3544" spans="2:2">
      <c r="B3544" s="24"/>
    </row>
    <row r="3545" spans="2:2">
      <c r="B3545" s="24"/>
    </row>
    <row r="3546" spans="2:2">
      <c r="B3546" s="24"/>
    </row>
    <row r="3547" spans="2:2">
      <c r="B3547" s="24"/>
    </row>
    <row r="3548" spans="2:2">
      <c r="B3548" s="24"/>
    </row>
    <row r="3549" spans="2:2">
      <c r="B3549" s="24"/>
    </row>
    <row r="3550" spans="2:2">
      <c r="B3550" s="24"/>
    </row>
    <row r="3551" spans="2:2">
      <c r="B3551" s="24"/>
    </row>
    <row r="3552" spans="2:2">
      <c r="B3552" s="24"/>
    </row>
    <row r="3553" spans="2:2">
      <c r="B3553" s="24"/>
    </row>
    <row r="3554" spans="2:2">
      <c r="B3554" s="24"/>
    </row>
    <row r="3555" spans="2:2">
      <c r="B3555" s="24"/>
    </row>
    <row r="3556" spans="2:2">
      <c r="B3556" s="24"/>
    </row>
    <row r="3557" spans="2:2">
      <c r="B3557" s="24"/>
    </row>
    <row r="3558" spans="2:2">
      <c r="B3558" s="24"/>
    </row>
    <row r="3559" spans="2:2">
      <c r="B3559" s="24"/>
    </row>
    <row r="3560" spans="2:2">
      <c r="B3560" s="24"/>
    </row>
    <row r="3561" spans="2:2">
      <c r="B3561" s="24"/>
    </row>
    <row r="3562" spans="2:2">
      <c r="B3562" s="24"/>
    </row>
    <row r="3563" spans="2:2">
      <c r="B3563" s="24"/>
    </row>
    <row r="3564" spans="2:2">
      <c r="B3564" s="24"/>
    </row>
    <row r="3565" spans="2:2">
      <c r="B3565" s="24"/>
    </row>
    <row r="3566" spans="2:2">
      <c r="B3566" s="24"/>
    </row>
    <row r="3567" spans="2:2">
      <c r="B3567" s="24"/>
    </row>
    <row r="3568" spans="2:2">
      <c r="B3568" s="24"/>
    </row>
    <row r="3569" spans="2:2">
      <c r="B3569" s="24"/>
    </row>
    <row r="3570" spans="2:2">
      <c r="B3570" s="24"/>
    </row>
    <row r="3571" spans="2:2">
      <c r="B3571" s="24"/>
    </row>
    <row r="3572" spans="2:2">
      <c r="B3572" s="24"/>
    </row>
    <row r="3573" spans="2:2">
      <c r="B3573" s="24"/>
    </row>
    <row r="3574" spans="2:2">
      <c r="B3574" s="24"/>
    </row>
    <row r="3575" spans="2:2">
      <c r="B3575" s="24"/>
    </row>
    <row r="3576" spans="2:2">
      <c r="B3576" s="24"/>
    </row>
    <row r="3577" spans="2:2">
      <c r="B3577" s="24"/>
    </row>
    <row r="3578" spans="2:2">
      <c r="B3578" s="24"/>
    </row>
    <row r="3579" spans="2:2">
      <c r="B3579" s="24"/>
    </row>
    <row r="3580" spans="2:2">
      <c r="B3580" s="24"/>
    </row>
    <row r="3581" spans="2:2">
      <c r="B3581" s="24"/>
    </row>
    <row r="3582" spans="2:2">
      <c r="B3582" s="24"/>
    </row>
    <row r="3583" spans="2:2">
      <c r="B3583" s="24"/>
    </row>
    <row r="3584" spans="2:2">
      <c r="B3584" s="24"/>
    </row>
    <row r="3585" spans="2:2">
      <c r="B3585" s="24"/>
    </row>
    <row r="3586" spans="2:2">
      <c r="B3586" s="24"/>
    </row>
    <row r="3587" spans="2:2">
      <c r="B3587" s="24"/>
    </row>
    <row r="3588" spans="2:2">
      <c r="B3588" s="24"/>
    </row>
    <row r="3589" spans="2:2">
      <c r="B3589" s="24"/>
    </row>
    <row r="3590" spans="2:2">
      <c r="B3590" s="24"/>
    </row>
    <row r="3591" spans="2:2">
      <c r="B3591" s="24"/>
    </row>
    <row r="3592" spans="2:2">
      <c r="B3592" s="24"/>
    </row>
    <row r="3593" spans="2:2">
      <c r="B3593" s="24"/>
    </row>
    <row r="3594" spans="2:2">
      <c r="B3594" s="24"/>
    </row>
    <row r="3595" spans="2:2">
      <c r="B3595" s="24"/>
    </row>
    <row r="3596" spans="2:2">
      <c r="B3596" s="24"/>
    </row>
    <row r="3597" spans="2:2">
      <c r="B3597" s="24"/>
    </row>
    <row r="3598" spans="2:2">
      <c r="B3598" s="24"/>
    </row>
    <row r="3599" spans="2:2">
      <c r="B3599" s="24"/>
    </row>
    <row r="3600" spans="2:2">
      <c r="B3600" s="24"/>
    </row>
    <row r="3601" spans="2:2">
      <c r="B3601" s="24"/>
    </row>
    <row r="3602" spans="2:2">
      <c r="B3602" s="24"/>
    </row>
    <row r="3603" spans="2:2">
      <c r="B3603" s="24"/>
    </row>
    <row r="3604" spans="2:2">
      <c r="B3604" s="24"/>
    </row>
    <row r="3605" spans="2:2">
      <c r="B3605" s="24"/>
    </row>
    <row r="3606" spans="2:2">
      <c r="B3606" s="24"/>
    </row>
    <row r="3607" spans="2:2">
      <c r="B3607" s="24"/>
    </row>
    <row r="3608" spans="2:2">
      <c r="B3608" s="24"/>
    </row>
    <row r="3609" spans="2:2">
      <c r="B3609" s="24"/>
    </row>
    <row r="3610" spans="2:2">
      <c r="B3610" s="24"/>
    </row>
    <row r="3611" spans="2:2">
      <c r="B3611" s="24"/>
    </row>
    <row r="3612" spans="2:2">
      <c r="B3612" s="24"/>
    </row>
    <row r="3613" spans="2:2">
      <c r="B3613" s="24"/>
    </row>
    <row r="3614" spans="2:2">
      <c r="B3614" s="24"/>
    </row>
    <row r="3615" spans="2:2">
      <c r="B3615" s="24"/>
    </row>
    <row r="3616" spans="2:2">
      <c r="B3616" s="24"/>
    </row>
    <row r="3617" spans="2:2">
      <c r="B3617" s="24"/>
    </row>
    <row r="3618" spans="2:2">
      <c r="B3618" s="24"/>
    </row>
    <row r="3619" spans="2:2">
      <c r="B3619" s="24"/>
    </row>
    <row r="3620" spans="2:2">
      <c r="B3620" s="24"/>
    </row>
    <row r="3621" spans="2:2">
      <c r="B3621" s="24"/>
    </row>
    <row r="3622" spans="2:2">
      <c r="B3622" s="24"/>
    </row>
    <row r="3623" spans="2:2">
      <c r="B3623" s="24"/>
    </row>
    <row r="3624" spans="2:2">
      <c r="B3624" s="24"/>
    </row>
    <row r="3625" spans="2:2">
      <c r="B3625" s="24"/>
    </row>
    <row r="3626" spans="2:2">
      <c r="B3626" s="24"/>
    </row>
    <row r="3627" spans="2:2">
      <c r="B3627" s="24"/>
    </row>
    <row r="3628" spans="2:2">
      <c r="B3628" s="24"/>
    </row>
    <row r="3629" spans="2:2">
      <c r="B3629" s="24"/>
    </row>
    <row r="3630" spans="2:2">
      <c r="B3630" s="24"/>
    </row>
    <row r="3631" spans="2:2">
      <c r="B3631" s="24"/>
    </row>
    <row r="3632" spans="2:2">
      <c r="B3632" s="24"/>
    </row>
    <row r="3633" spans="2:2">
      <c r="B3633" s="24"/>
    </row>
    <row r="3634" spans="2:2">
      <c r="B3634" s="24"/>
    </row>
    <row r="3635" spans="2:2">
      <c r="B3635" s="24"/>
    </row>
    <row r="3636" spans="2:2">
      <c r="B3636" s="24"/>
    </row>
    <row r="3637" spans="2:2">
      <c r="B3637" s="24"/>
    </row>
    <row r="3638" spans="2:2">
      <c r="B3638" s="24"/>
    </row>
    <row r="3639" spans="2:2">
      <c r="B3639" s="24"/>
    </row>
    <row r="3640" spans="2:2">
      <c r="B3640" s="24"/>
    </row>
    <row r="3641" spans="2:2">
      <c r="B3641" s="24"/>
    </row>
    <row r="3642" spans="2:2">
      <c r="B3642" s="24"/>
    </row>
    <row r="3643" spans="2:2">
      <c r="B3643" s="24"/>
    </row>
    <row r="3644" spans="2:2">
      <c r="B3644" s="24"/>
    </row>
    <row r="3645" spans="2:2">
      <c r="B3645" s="24"/>
    </row>
    <row r="3646" spans="2:2">
      <c r="B3646" s="24"/>
    </row>
    <row r="3647" spans="2:2">
      <c r="B3647" s="24"/>
    </row>
    <row r="3648" spans="2:2">
      <c r="B3648" s="24"/>
    </row>
    <row r="3649" spans="2:2">
      <c r="B3649" s="24"/>
    </row>
    <row r="3650" spans="2:2">
      <c r="B3650" s="24"/>
    </row>
    <row r="3651" spans="2:2">
      <c r="B3651" s="24"/>
    </row>
    <row r="3652" spans="2:2">
      <c r="B3652" s="24"/>
    </row>
    <row r="3653" spans="2:2">
      <c r="B3653" s="24"/>
    </row>
    <row r="3654" spans="2:2">
      <c r="B3654" s="24"/>
    </row>
    <row r="3655" spans="2:2">
      <c r="B3655" s="24"/>
    </row>
    <row r="3656" spans="2:2">
      <c r="B3656" s="24"/>
    </row>
    <row r="3657" spans="2:2">
      <c r="B3657" s="24"/>
    </row>
    <row r="3658" spans="2:2">
      <c r="B3658" s="24"/>
    </row>
    <row r="3659" spans="2:2">
      <c r="B3659" s="24"/>
    </row>
    <row r="3660" spans="2:2">
      <c r="B3660" s="24"/>
    </row>
    <row r="3661" spans="2:2">
      <c r="B3661" s="24"/>
    </row>
    <row r="3662" spans="2:2">
      <c r="B3662" s="24"/>
    </row>
    <row r="3663" spans="2:2">
      <c r="B3663" s="24"/>
    </row>
    <row r="3664" spans="2:2">
      <c r="B3664" s="24"/>
    </row>
    <row r="3665" spans="2:2">
      <c r="B3665" s="24"/>
    </row>
    <row r="3666" spans="2:2">
      <c r="B3666" s="24"/>
    </row>
    <row r="3667" spans="2:2">
      <c r="B3667" s="24"/>
    </row>
    <row r="3668" spans="2:2">
      <c r="B3668" s="24"/>
    </row>
    <row r="3669" spans="2:2">
      <c r="B3669" s="24"/>
    </row>
    <row r="3670" spans="2:2">
      <c r="B3670" s="24"/>
    </row>
    <row r="3671" spans="2:2">
      <c r="B3671" s="24"/>
    </row>
    <row r="3672" spans="2:2">
      <c r="B3672" s="24"/>
    </row>
    <row r="3673" spans="2:2">
      <c r="B3673" s="24"/>
    </row>
    <row r="3674" spans="2:2">
      <c r="B3674" s="24"/>
    </row>
    <row r="3675" spans="2:2">
      <c r="B3675" s="24"/>
    </row>
    <row r="3676" spans="2:2">
      <c r="B3676" s="24"/>
    </row>
    <row r="3677" spans="2:2">
      <c r="B3677" s="24"/>
    </row>
    <row r="3678" spans="2:2">
      <c r="B3678" s="24"/>
    </row>
    <row r="3679" spans="2:2">
      <c r="B3679" s="24"/>
    </row>
    <row r="3680" spans="2:2">
      <c r="B3680" s="24"/>
    </row>
    <row r="3681" spans="2:2">
      <c r="B3681" s="24"/>
    </row>
    <row r="3682" spans="2:2">
      <c r="B3682" s="24"/>
    </row>
    <row r="3683" spans="2:2">
      <c r="B3683" s="24"/>
    </row>
    <row r="3684" spans="2:2">
      <c r="B3684" s="24"/>
    </row>
    <row r="3685" spans="2:2">
      <c r="B3685" s="24"/>
    </row>
    <row r="3686" spans="2:2">
      <c r="B3686" s="24"/>
    </row>
    <row r="3687" spans="2:2">
      <c r="B3687" s="24"/>
    </row>
    <row r="3688" spans="2:2">
      <c r="B3688" s="24"/>
    </row>
    <row r="3689" spans="2:2">
      <c r="B3689" s="24"/>
    </row>
    <row r="3690" spans="2:2">
      <c r="B3690" s="24"/>
    </row>
    <row r="3691" spans="2:2">
      <c r="B3691" s="24"/>
    </row>
    <row r="3692" spans="2:2">
      <c r="B3692" s="24"/>
    </row>
    <row r="3693" spans="2:2">
      <c r="B3693" s="24"/>
    </row>
    <row r="3694" spans="2:2">
      <c r="B3694" s="24"/>
    </row>
    <row r="3695" spans="2:2">
      <c r="B3695" s="24"/>
    </row>
    <row r="3696" spans="2:2">
      <c r="B3696" s="24"/>
    </row>
    <row r="3697" spans="2:2">
      <c r="B3697" s="24"/>
    </row>
    <row r="3698" spans="2:2">
      <c r="B3698" s="24"/>
    </row>
    <row r="3699" spans="2:2">
      <c r="B3699" s="24"/>
    </row>
    <row r="3700" spans="2:2">
      <c r="B3700" s="24"/>
    </row>
    <row r="3701" spans="2:2">
      <c r="B3701" s="24"/>
    </row>
    <row r="3702" spans="2:2">
      <c r="B3702" s="24"/>
    </row>
    <row r="3703" spans="2:2">
      <c r="B3703" s="24"/>
    </row>
    <row r="3704" spans="2:2">
      <c r="B3704" s="24"/>
    </row>
    <row r="3705" spans="2:2">
      <c r="B3705" s="24"/>
    </row>
    <row r="3706" spans="2:2">
      <c r="B3706" s="24"/>
    </row>
    <row r="3707" spans="2:2">
      <c r="B3707" s="24"/>
    </row>
    <row r="3708" spans="2:2">
      <c r="B3708" s="24"/>
    </row>
    <row r="3709" spans="2:2">
      <c r="B3709" s="24"/>
    </row>
    <row r="3710" spans="2:2">
      <c r="B3710" s="24"/>
    </row>
    <row r="3711" spans="2:2">
      <c r="B3711" s="24"/>
    </row>
    <row r="3712" spans="2:2">
      <c r="B3712" s="24"/>
    </row>
    <row r="3713" spans="2:2">
      <c r="B3713" s="24"/>
    </row>
    <row r="3714" spans="2:2">
      <c r="B3714" s="24"/>
    </row>
    <row r="3715" spans="2:2">
      <c r="B3715" s="24"/>
    </row>
    <row r="3716" spans="2:2">
      <c r="B3716" s="24"/>
    </row>
    <row r="3717" spans="2:2">
      <c r="B3717" s="24"/>
    </row>
    <row r="3718" spans="2:2">
      <c r="B3718" s="24"/>
    </row>
    <row r="3719" spans="2:2">
      <c r="B3719" s="24"/>
    </row>
    <row r="3720" spans="2:2">
      <c r="B3720" s="24"/>
    </row>
    <row r="3721" spans="2:2">
      <c r="B3721" s="24"/>
    </row>
    <row r="3722" spans="2:2">
      <c r="B3722" s="24"/>
    </row>
    <row r="3723" spans="2:2">
      <c r="B3723" s="24"/>
    </row>
    <row r="3724" spans="2:2">
      <c r="B3724" s="24"/>
    </row>
    <row r="3725" spans="2:2">
      <c r="B3725" s="24"/>
    </row>
    <row r="3726" spans="2:2">
      <c r="B3726" s="24"/>
    </row>
    <row r="3727" spans="2:2">
      <c r="B3727" s="24"/>
    </row>
    <row r="3728" spans="2:2">
      <c r="B3728" s="24"/>
    </row>
    <row r="3729" spans="2:2">
      <c r="B3729" s="24"/>
    </row>
    <row r="3730" spans="2:2">
      <c r="B3730" s="24"/>
    </row>
    <row r="3731" spans="2:2">
      <c r="B3731" s="24"/>
    </row>
    <row r="3732" spans="2:2">
      <c r="B3732" s="24"/>
    </row>
    <row r="3733" spans="2:2">
      <c r="B3733" s="24"/>
    </row>
    <row r="3734" spans="2:2">
      <c r="B3734" s="24"/>
    </row>
    <row r="3735" spans="2:2">
      <c r="B3735" s="24"/>
    </row>
    <row r="3736" spans="2:2">
      <c r="B3736" s="24"/>
    </row>
    <row r="3737" spans="2:2">
      <c r="B3737" s="24"/>
    </row>
    <row r="3738" spans="2:2">
      <c r="B3738" s="24"/>
    </row>
    <row r="3739" spans="2:2">
      <c r="B3739" s="24"/>
    </row>
    <row r="3740" spans="2:2">
      <c r="B3740" s="24"/>
    </row>
    <row r="3741" spans="2:2">
      <c r="B3741" s="24"/>
    </row>
    <row r="3742" spans="2:2">
      <c r="B3742" s="24"/>
    </row>
    <row r="3743" spans="2:2">
      <c r="B3743" s="24"/>
    </row>
    <row r="3744" spans="2:2">
      <c r="B3744" s="24"/>
    </row>
    <row r="3745" spans="2:2">
      <c r="B3745" s="24"/>
    </row>
    <row r="3746" spans="2:2">
      <c r="B3746" s="24"/>
    </row>
    <row r="3747" spans="2:2">
      <c r="B3747" s="24"/>
    </row>
    <row r="3748" spans="2:2">
      <c r="B3748" s="24"/>
    </row>
    <row r="3749" spans="2:2">
      <c r="B3749" s="24"/>
    </row>
    <row r="3750" spans="2:2">
      <c r="B3750" s="24"/>
    </row>
    <row r="3751" spans="2:2">
      <c r="B3751" s="24"/>
    </row>
    <row r="3752" spans="2:2">
      <c r="B3752" s="24"/>
    </row>
    <row r="3753" spans="2:2">
      <c r="B3753" s="24"/>
    </row>
    <row r="3754" spans="2:2">
      <c r="B3754" s="24"/>
    </row>
    <row r="3755" spans="2:2">
      <c r="B3755" s="24"/>
    </row>
    <row r="3756" spans="2:2">
      <c r="B3756" s="24"/>
    </row>
    <row r="3757" spans="2:2">
      <c r="B3757" s="24"/>
    </row>
    <row r="3758" spans="2:2">
      <c r="B3758" s="24"/>
    </row>
    <row r="3759" spans="2:2">
      <c r="B3759" s="24"/>
    </row>
    <row r="3760" spans="2:2">
      <c r="B3760" s="24"/>
    </row>
    <row r="3761" spans="2:2">
      <c r="B3761" s="24"/>
    </row>
    <row r="3762" spans="2:2">
      <c r="B3762" s="24"/>
    </row>
    <row r="3763" spans="2:2">
      <c r="B3763" s="24"/>
    </row>
    <row r="3764" spans="2:2">
      <c r="B3764" s="24"/>
    </row>
    <row r="3765" spans="2:2">
      <c r="B3765" s="24"/>
    </row>
    <row r="3766" spans="2:2">
      <c r="B3766" s="24"/>
    </row>
    <row r="3767" spans="2:2">
      <c r="B3767" s="24"/>
    </row>
    <row r="3768" spans="2:2">
      <c r="B3768" s="24"/>
    </row>
    <row r="3769" spans="2:2">
      <c r="B3769" s="24"/>
    </row>
    <row r="3770" spans="2:2">
      <c r="B3770" s="24"/>
    </row>
    <row r="3771" spans="2:2">
      <c r="B3771" s="24"/>
    </row>
    <row r="3772" spans="2:2">
      <c r="B3772" s="24"/>
    </row>
    <row r="3773" spans="2:2">
      <c r="B3773" s="24"/>
    </row>
    <row r="3774" spans="2:2">
      <c r="B3774" s="24"/>
    </row>
    <row r="3775" spans="2:2">
      <c r="B3775" s="24"/>
    </row>
    <row r="3776" spans="2:2">
      <c r="B3776" s="24"/>
    </row>
    <row r="3777" spans="2:2">
      <c r="B3777" s="24"/>
    </row>
    <row r="3778" spans="2:2">
      <c r="B3778" s="24"/>
    </row>
    <row r="3779" spans="2:2">
      <c r="B3779" s="24"/>
    </row>
    <row r="3780" spans="2:2">
      <c r="B3780" s="24"/>
    </row>
    <row r="3781" spans="2:2">
      <c r="B3781" s="24"/>
    </row>
    <row r="3782" spans="2:2">
      <c r="B3782" s="24"/>
    </row>
    <row r="3783" spans="2:2">
      <c r="B3783" s="24"/>
    </row>
    <row r="3784" spans="2:2">
      <c r="B3784" s="24"/>
    </row>
    <row r="3785" spans="2:2">
      <c r="B3785" s="24"/>
    </row>
    <row r="3786" spans="2:2">
      <c r="B3786" s="24"/>
    </row>
    <row r="3787" spans="2:2">
      <c r="B3787" s="24"/>
    </row>
    <row r="3788" spans="2:2">
      <c r="B3788" s="24"/>
    </row>
    <row r="3789" spans="2:2">
      <c r="B3789" s="24"/>
    </row>
    <row r="3790" spans="2:2">
      <c r="B3790" s="24"/>
    </row>
    <row r="3791" spans="2:2">
      <c r="B3791" s="24"/>
    </row>
    <row r="3792" spans="2:2">
      <c r="B3792" s="24"/>
    </row>
    <row r="3793" spans="2:2">
      <c r="B3793" s="24"/>
    </row>
    <row r="3794" spans="2:2">
      <c r="B3794" s="24"/>
    </row>
    <row r="3795" spans="2:2">
      <c r="B3795" s="24"/>
    </row>
    <row r="3796" spans="2:2">
      <c r="B3796" s="24"/>
    </row>
    <row r="3797" spans="2:2">
      <c r="B3797" s="24"/>
    </row>
    <row r="3798" spans="2:2">
      <c r="B3798" s="24"/>
    </row>
    <row r="3799" spans="2:2">
      <c r="B3799" s="24"/>
    </row>
    <row r="3800" spans="2:2">
      <c r="B3800" s="24"/>
    </row>
    <row r="3801" spans="2:2">
      <c r="B3801" s="24"/>
    </row>
    <row r="3802" spans="2:2">
      <c r="B3802" s="24"/>
    </row>
    <row r="3803" spans="2:2">
      <c r="B3803" s="24"/>
    </row>
    <row r="3804" spans="2:2">
      <c r="B3804" s="24"/>
    </row>
    <row r="3805" spans="2:2">
      <c r="B3805" s="24"/>
    </row>
    <row r="3806" spans="2:2">
      <c r="B3806" s="24"/>
    </row>
    <row r="3807" spans="2:2">
      <c r="B3807" s="24"/>
    </row>
    <row r="3808" spans="2:2">
      <c r="B3808" s="24"/>
    </row>
    <row r="3809" spans="2:2">
      <c r="B3809" s="24"/>
    </row>
    <row r="3810" spans="2:2">
      <c r="B3810" s="24"/>
    </row>
    <row r="3811" spans="2:2">
      <c r="B3811" s="24"/>
    </row>
    <row r="3812" spans="2:2">
      <c r="B3812" s="24"/>
    </row>
    <row r="3813" spans="2:2">
      <c r="B3813" s="24"/>
    </row>
    <row r="3814" spans="2:2">
      <c r="B3814" s="24"/>
    </row>
    <row r="3815" spans="2:2">
      <c r="B3815" s="24"/>
    </row>
    <row r="3816" spans="2:2">
      <c r="B3816" s="24"/>
    </row>
    <row r="3817" spans="2:2">
      <c r="B3817" s="24"/>
    </row>
    <row r="3818" spans="2:2">
      <c r="B3818" s="24"/>
    </row>
    <row r="3819" spans="2:2">
      <c r="B3819" s="24"/>
    </row>
    <row r="3820" spans="2:2">
      <c r="B3820" s="24"/>
    </row>
    <row r="3821" spans="2:2">
      <c r="B3821" s="24"/>
    </row>
    <row r="3822" spans="2:2">
      <c r="B3822" s="24"/>
    </row>
    <row r="3823" spans="2:2">
      <c r="B3823" s="24"/>
    </row>
    <row r="3824" spans="2:2">
      <c r="B3824" s="24"/>
    </row>
    <row r="3825" spans="2:2">
      <c r="B3825" s="24"/>
    </row>
    <row r="3826" spans="2:2">
      <c r="B3826" s="24"/>
    </row>
    <row r="3827" spans="2:2">
      <c r="B3827" s="24"/>
    </row>
    <row r="3828" spans="2:2">
      <c r="B3828" s="24"/>
    </row>
    <row r="3829" spans="2:2">
      <c r="B3829" s="24"/>
    </row>
    <row r="3830" spans="2:2">
      <c r="B3830" s="24"/>
    </row>
    <row r="3831" spans="2:2">
      <c r="B3831" s="24"/>
    </row>
    <row r="3832" spans="2:2">
      <c r="B3832" s="24"/>
    </row>
    <row r="3833" spans="2:2">
      <c r="B3833" s="24"/>
    </row>
    <row r="3834" spans="2:2">
      <c r="B3834" s="24"/>
    </row>
    <row r="3835" spans="2:2">
      <c r="B3835" s="24"/>
    </row>
    <row r="3836" spans="2:2">
      <c r="B3836" s="24"/>
    </row>
    <row r="3837" spans="2:2">
      <c r="B3837" s="24"/>
    </row>
    <row r="3838" spans="2:2">
      <c r="B3838" s="24"/>
    </row>
    <row r="3839" spans="2:2">
      <c r="B3839" s="24"/>
    </row>
    <row r="3840" spans="2:2">
      <c r="B3840" s="24"/>
    </row>
    <row r="3841" spans="2:2">
      <c r="B3841" s="24"/>
    </row>
    <row r="3842" spans="2:2">
      <c r="B3842" s="24"/>
    </row>
    <row r="3843" spans="2:2">
      <c r="B3843" s="24"/>
    </row>
    <row r="3844" spans="2:2">
      <c r="B3844" s="24"/>
    </row>
    <row r="3845" spans="2:2">
      <c r="B3845" s="24"/>
    </row>
    <row r="3846" spans="2:2">
      <c r="B3846" s="24"/>
    </row>
    <row r="3847" spans="2:2">
      <c r="B3847" s="24"/>
    </row>
    <row r="3848" spans="2:2">
      <c r="B3848" s="24"/>
    </row>
    <row r="3849" spans="2:2">
      <c r="B3849" s="24"/>
    </row>
    <row r="3850" spans="2:2">
      <c r="B3850" s="24"/>
    </row>
    <row r="3851" spans="2:2">
      <c r="B3851" s="24"/>
    </row>
    <row r="3852" spans="2:2">
      <c r="B3852" s="24"/>
    </row>
    <row r="3853" spans="2:2">
      <c r="B3853" s="24"/>
    </row>
    <row r="3854" spans="2:2">
      <c r="B3854" s="24"/>
    </row>
    <row r="3855" spans="2:2">
      <c r="B3855" s="24"/>
    </row>
    <row r="3856" spans="2:2">
      <c r="B3856" s="24"/>
    </row>
    <row r="3857" spans="2:2">
      <c r="B3857" s="24"/>
    </row>
    <row r="3858" spans="2:2">
      <c r="B3858" s="24"/>
    </row>
    <row r="3859" spans="2:2">
      <c r="B3859" s="24"/>
    </row>
    <row r="3860" spans="2:2">
      <c r="B3860" s="24"/>
    </row>
    <row r="3861" spans="2:2">
      <c r="B3861" s="24"/>
    </row>
    <row r="3862" spans="2:2">
      <c r="B3862" s="24"/>
    </row>
    <row r="3863" spans="2:2">
      <c r="B3863" s="24"/>
    </row>
    <row r="3864" spans="2:2">
      <c r="B3864" s="24"/>
    </row>
    <row r="3865" spans="2:2">
      <c r="B3865" s="24"/>
    </row>
    <row r="3866" spans="2:2">
      <c r="B3866" s="24"/>
    </row>
    <row r="3867" spans="2:2">
      <c r="B3867" s="24"/>
    </row>
    <row r="3868" spans="2:2">
      <c r="B3868" s="24"/>
    </row>
    <row r="3869" spans="2:2">
      <c r="B3869" s="24"/>
    </row>
    <row r="3870" spans="2:2">
      <c r="B3870" s="24"/>
    </row>
    <row r="3871" spans="2:2">
      <c r="B3871" s="24"/>
    </row>
    <row r="3872" spans="2:2">
      <c r="B3872" s="24"/>
    </row>
    <row r="3873" spans="2:2">
      <c r="B3873" s="24"/>
    </row>
    <row r="3874" spans="2:2">
      <c r="B3874" s="24"/>
    </row>
    <row r="3875" spans="2:2">
      <c r="B3875" s="24"/>
    </row>
    <row r="3876" spans="2:2">
      <c r="B3876" s="24"/>
    </row>
    <row r="3877" spans="2:2">
      <c r="B3877" s="24"/>
    </row>
    <row r="3878" spans="2:2">
      <c r="B3878" s="24"/>
    </row>
    <row r="3879" spans="2:2">
      <c r="B3879" s="24"/>
    </row>
    <row r="3880" spans="2:2">
      <c r="B3880" s="24"/>
    </row>
    <row r="3881" spans="2:2">
      <c r="B3881" s="24"/>
    </row>
    <row r="3882" spans="2:2">
      <c r="B3882" s="24"/>
    </row>
    <row r="3883" spans="2:2">
      <c r="B3883" s="24"/>
    </row>
    <row r="3884" spans="2:2">
      <c r="B3884" s="24"/>
    </row>
    <row r="3885" spans="2:2">
      <c r="B3885" s="24"/>
    </row>
    <row r="3886" spans="2:2">
      <c r="B3886" s="24"/>
    </row>
    <row r="3887" spans="2:2">
      <c r="B3887" s="24"/>
    </row>
    <row r="3888" spans="2:2">
      <c r="B3888" s="24"/>
    </row>
    <row r="3889" spans="2:2">
      <c r="B3889" s="24"/>
    </row>
    <row r="3890" spans="2:2">
      <c r="B3890" s="24"/>
    </row>
    <row r="3891" spans="2:2">
      <c r="B3891" s="24"/>
    </row>
    <row r="3892" spans="2:2">
      <c r="B3892" s="24"/>
    </row>
    <row r="3893" spans="2:2">
      <c r="B3893" s="24"/>
    </row>
    <row r="3894" spans="2:2">
      <c r="B3894" s="24"/>
    </row>
    <row r="3895" spans="2:2">
      <c r="B3895" s="24"/>
    </row>
    <row r="3896" spans="2:2">
      <c r="B3896" s="24"/>
    </row>
    <row r="3897" spans="2:2">
      <c r="B3897" s="24"/>
    </row>
    <row r="3898" spans="2:2">
      <c r="B3898" s="24"/>
    </row>
    <row r="3899" spans="2:2">
      <c r="B3899" s="24"/>
    </row>
    <row r="3900" spans="2:2">
      <c r="B3900" s="24"/>
    </row>
    <row r="3901" spans="2:2">
      <c r="B3901" s="24"/>
    </row>
    <row r="3902" spans="2:2">
      <c r="B3902" s="24"/>
    </row>
    <row r="3903" spans="2:2">
      <c r="B3903" s="24"/>
    </row>
    <row r="3904" spans="2:2">
      <c r="B3904" s="24"/>
    </row>
    <row r="3905" spans="2:2">
      <c r="B3905" s="24"/>
    </row>
    <row r="3906" spans="2:2">
      <c r="B3906" s="24"/>
    </row>
    <row r="3907" spans="2:2">
      <c r="B3907" s="24"/>
    </row>
    <row r="3908" spans="2:2">
      <c r="B3908" s="24"/>
    </row>
    <row r="3909" spans="2:2">
      <c r="B3909" s="24"/>
    </row>
    <row r="3910" spans="2:2">
      <c r="B3910" s="24"/>
    </row>
    <row r="3911" spans="2:2">
      <c r="B3911" s="24"/>
    </row>
    <row r="3912" spans="2:2">
      <c r="B3912" s="24"/>
    </row>
    <row r="3913" spans="2:2">
      <c r="B3913" s="24"/>
    </row>
    <row r="3914" spans="2:2">
      <c r="B3914" s="24"/>
    </row>
    <row r="3915" spans="2:2">
      <c r="B3915" s="24"/>
    </row>
    <row r="3916" spans="2:2">
      <c r="B3916" s="24"/>
    </row>
    <row r="3917" spans="2:2">
      <c r="B3917" s="24"/>
    </row>
    <row r="3918" spans="2:2">
      <c r="B3918" s="24"/>
    </row>
    <row r="3919" spans="2:2">
      <c r="B3919" s="24"/>
    </row>
    <row r="3920" spans="2:2">
      <c r="B3920" s="24"/>
    </row>
    <row r="3921" spans="2:2">
      <c r="B3921" s="24"/>
    </row>
    <row r="3922" spans="2:2">
      <c r="B3922" s="24"/>
    </row>
    <row r="3923" spans="2:2">
      <c r="B3923" s="24"/>
    </row>
    <row r="3924" spans="2:2">
      <c r="B3924" s="24"/>
    </row>
    <row r="3925" spans="2:2">
      <c r="B3925" s="24"/>
    </row>
    <row r="3926" spans="2:2">
      <c r="B3926" s="24"/>
    </row>
    <row r="3927" spans="2:2">
      <c r="B3927" s="24"/>
    </row>
    <row r="3928" spans="2:2">
      <c r="B3928" s="24"/>
    </row>
    <row r="3929" spans="2:2">
      <c r="B3929" s="24"/>
    </row>
    <row r="3930" spans="2:2">
      <c r="B3930" s="24"/>
    </row>
    <row r="3931" spans="2:2">
      <c r="B3931" s="24"/>
    </row>
    <row r="3932" spans="2:2">
      <c r="B3932" s="24"/>
    </row>
    <row r="3933" spans="2:2">
      <c r="B3933" s="24"/>
    </row>
    <row r="3934" spans="2:2">
      <c r="B3934" s="24"/>
    </row>
    <row r="3935" spans="2:2">
      <c r="B3935" s="24"/>
    </row>
    <row r="3936" spans="2:2">
      <c r="B3936" s="24"/>
    </row>
    <row r="3937" spans="2:2">
      <c r="B3937" s="24"/>
    </row>
    <row r="3938" spans="2:2">
      <c r="B3938" s="24"/>
    </row>
    <row r="3939" spans="2:2">
      <c r="B3939" s="24"/>
    </row>
    <row r="3940" spans="2:2">
      <c r="B3940" s="24"/>
    </row>
    <row r="3941" spans="2:2">
      <c r="B3941" s="24"/>
    </row>
    <row r="3942" spans="2:2">
      <c r="B3942" s="24"/>
    </row>
    <row r="3943" spans="2:2">
      <c r="B3943" s="24"/>
    </row>
    <row r="3944" spans="2:2">
      <c r="B3944" s="24"/>
    </row>
    <row r="3945" spans="2:2">
      <c r="B3945" s="24"/>
    </row>
    <row r="3946" spans="2:2">
      <c r="B3946" s="24"/>
    </row>
    <row r="3947" spans="2:2">
      <c r="B3947" s="24"/>
    </row>
    <row r="3948" spans="2:2">
      <c r="B3948" s="24"/>
    </row>
    <row r="3949" spans="2:2">
      <c r="B3949" s="24"/>
    </row>
    <row r="3950" spans="2:2">
      <c r="B3950" s="24"/>
    </row>
    <row r="3951" spans="2:2">
      <c r="B3951" s="24"/>
    </row>
    <row r="3952" spans="2:2">
      <c r="B3952" s="24"/>
    </row>
    <row r="3953" spans="2:2">
      <c r="B3953" s="24"/>
    </row>
    <row r="3954" spans="2:2">
      <c r="B3954" s="24"/>
    </row>
    <row r="3955" spans="2:2">
      <c r="B3955" s="24"/>
    </row>
    <row r="3956" spans="2:2">
      <c r="B3956" s="24"/>
    </row>
    <row r="3957" spans="2:2">
      <c r="B3957" s="24"/>
    </row>
    <row r="3958" spans="2:2">
      <c r="B3958" s="24"/>
    </row>
    <row r="3959" spans="2:2">
      <c r="B3959" s="24"/>
    </row>
    <row r="3960" spans="2:2">
      <c r="B3960" s="24"/>
    </row>
    <row r="3961" spans="2:2">
      <c r="B3961" s="24"/>
    </row>
    <row r="3962" spans="2:2">
      <c r="B3962" s="24"/>
    </row>
    <row r="3963" spans="2:2">
      <c r="B3963" s="24"/>
    </row>
    <row r="3964" spans="2:2">
      <c r="B3964" s="24"/>
    </row>
    <row r="3965" spans="2:2">
      <c r="B3965" s="24"/>
    </row>
    <row r="3966" spans="2:2">
      <c r="B3966" s="24"/>
    </row>
    <row r="3967" spans="2:2">
      <c r="B3967" s="24"/>
    </row>
    <row r="3968" spans="2:2">
      <c r="B3968" s="24"/>
    </row>
    <row r="3969" spans="2:2">
      <c r="B3969" s="24"/>
    </row>
    <row r="3970" spans="2:2">
      <c r="B3970" s="24"/>
    </row>
    <row r="3971" spans="2:2">
      <c r="B3971" s="24"/>
    </row>
    <row r="3972" spans="2:2">
      <c r="B3972" s="24"/>
    </row>
    <row r="3973" spans="2:2">
      <c r="B3973" s="24"/>
    </row>
    <row r="3974" spans="2:2">
      <c r="B3974" s="24"/>
    </row>
    <row r="3975" spans="2:2">
      <c r="B3975" s="24"/>
    </row>
    <row r="3976" spans="2:2">
      <c r="B3976" s="24"/>
    </row>
    <row r="3977" spans="2:2">
      <c r="B3977" s="24"/>
    </row>
    <row r="3978" spans="2:2">
      <c r="B3978" s="24"/>
    </row>
    <row r="3979" spans="2:2">
      <c r="B3979" s="24"/>
    </row>
    <row r="3980" spans="2:2">
      <c r="B3980" s="24"/>
    </row>
    <row r="3981" spans="2:2">
      <c r="B3981" s="24"/>
    </row>
    <row r="3982" spans="2:2">
      <c r="B3982" s="24"/>
    </row>
    <row r="3983" spans="2:2">
      <c r="B3983" s="24"/>
    </row>
    <row r="3984" spans="2:2">
      <c r="B3984" s="24"/>
    </row>
    <row r="3985" spans="2:2">
      <c r="B3985" s="24"/>
    </row>
    <row r="3986" spans="2:2">
      <c r="B3986" s="24"/>
    </row>
    <row r="3987" spans="2:2">
      <c r="B3987" s="24"/>
    </row>
    <row r="3988" spans="2:2">
      <c r="B3988" s="24"/>
    </row>
    <row r="3989" spans="2:2">
      <c r="B3989" s="24"/>
    </row>
    <row r="3990" spans="2:2">
      <c r="B3990" s="24"/>
    </row>
    <row r="3991" spans="2:2">
      <c r="B3991" s="24"/>
    </row>
    <row r="3992" spans="2:2">
      <c r="B3992" s="24"/>
    </row>
    <row r="3993" spans="2:2">
      <c r="B3993" s="24"/>
    </row>
    <row r="3994" spans="2:2">
      <c r="B3994" s="24"/>
    </row>
    <row r="3995" spans="2:2">
      <c r="B3995" s="24"/>
    </row>
    <row r="3996" spans="2:2">
      <c r="B3996" s="24"/>
    </row>
    <row r="3997" spans="2:2">
      <c r="B3997" s="24"/>
    </row>
    <row r="3998" spans="2:2">
      <c r="B3998" s="24"/>
    </row>
    <row r="3999" spans="2:2">
      <c r="B3999" s="24"/>
    </row>
    <row r="4000" spans="2:2">
      <c r="B4000" s="24"/>
    </row>
    <row r="4001" spans="2:2">
      <c r="B4001" s="24"/>
    </row>
    <row r="4002" spans="2:2">
      <c r="B4002" s="24"/>
    </row>
    <row r="4003" spans="2:2">
      <c r="B4003" s="24"/>
    </row>
    <row r="4004" spans="2:2">
      <c r="B4004" s="24"/>
    </row>
    <row r="4005" spans="2:2">
      <c r="B4005" s="24"/>
    </row>
    <row r="4006" spans="2:2">
      <c r="B4006" s="24"/>
    </row>
    <row r="4007" spans="2:2">
      <c r="B4007" s="24"/>
    </row>
    <row r="4008" spans="2:2">
      <c r="B4008" s="24"/>
    </row>
    <row r="4009" spans="2:2">
      <c r="B4009" s="24"/>
    </row>
    <row r="4010" spans="2:2">
      <c r="B4010" s="24"/>
    </row>
    <row r="4011" spans="2:2">
      <c r="B4011" s="24"/>
    </row>
    <row r="4012" spans="2:2">
      <c r="B4012" s="24"/>
    </row>
    <row r="4013" spans="2:2">
      <c r="B4013" s="24"/>
    </row>
    <row r="4014" spans="2:2">
      <c r="B4014" s="24"/>
    </row>
    <row r="4015" spans="2:2">
      <c r="B4015" s="24"/>
    </row>
    <row r="4016" spans="2:2">
      <c r="B4016" s="24"/>
    </row>
    <row r="4017" spans="2:2">
      <c r="B4017" s="24"/>
    </row>
    <row r="4018" spans="2:2">
      <c r="B4018" s="24"/>
    </row>
    <row r="4019" spans="2:2">
      <c r="B4019" s="24"/>
    </row>
    <row r="4020" spans="2:2">
      <c r="B4020" s="24"/>
    </row>
    <row r="4021" spans="2:2">
      <c r="B4021" s="24"/>
    </row>
    <row r="4022" spans="2:2">
      <c r="B4022" s="24"/>
    </row>
    <row r="4023" spans="2:2">
      <c r="B4023" s="24"/>
    </row>
    <row r="4024" spans="2:2">
      <c r="B4024" s="24"/>
    </row>
    <row r="4025" spans="2:2">
      <c r="B4025" s="24"/>
    </row>
    <row r="4026" spans="2:2">
      <c r="B4026" s="24"/>
    </row>
    <row r="4027" spans="2:2">
      <c r="B4027" s="24"/>
    </row>
    <row r="4028" spans="2:2">
      <c r="B4028" s="24"/>
    </row>
    <row r="4029" spans="2:2">
      <c r="B4029" s="24"/>
    </row>
    <row r="4030" spans="2:2">
      <c r="B4030" s="24"/>
    </row>
    <row r="4031" spans="2:2">
      <c r="B4031" s="24"/>
    </row>
    <row r="4032" spans="2:2">
      <c r="B4032" s="24"/>
    </row>
    <row r="4033" spans="2:2">
      <c r="B4033" s="24"/>
    </row>
    <row r="4034" spans="2:2">
      <c r="B4034" s="24"/>
    </row>
    <row r="4035" spans="2:2">
      <c r="B4035" s="24"/>
    </row>
    <row r="4036" spans="2:2">
      <c r="B4036" s="24"/>
    </row>
    <row r="4037" spans="2:2">
      <c r="B4037" s="24"/>
    </row>
    <row r="4038" spans="2:2">
      <c r="B4038" s="24"/>
    </row>
    <row r="4039" spans="2:2">
      <c r="B4039" s="24"/>
    </row>
    <row r="4040" spans="2:2">
      <c r="B4040" s="24"/>
    </row>
    <row r="4041" spans="2:2">
      <c r="B4041" s="24"/>
    </row>
    <row r="4042" spans="2:2">
      <c r="B4042" s="24"/>
    </row>
    <row r="4043" spans="2:2">
      <c r="B4043" s="24"/>
    </row>
    <row r="4044" spans="2:2">
      <c r="B4044" s="24"/>
    </row>
    <row r="4045" spans="2:2">
      <c r="B4045" s="24"/>
    </row>
    <row r="4046" spans="2:2">
      <c r="B4046" s="24"/>
    </row>
    <row r="4047" spans="2:2">
      <c r="B4047" s="24"/>
    </row>
    <row r="4048" spans="2:2">
      <c r="B4048" s="24"/>
    </row>
    <row r="4049" spans="2:2">
      <c r="B4049" s="24"/>
    </row>
    <row r="4050" spans="2:2">
      <c r="B4050" s="24"/>
    </row>
    <row r="4051" spans="2:2">
      <c r="B4051" s="24"/>
    </row>
    <row r="4052" spans="2:2">
      <c r="B4052" s="24"/>
    </row>
    <row r="4053" spans="2:2">
      <c r="B4053" s="24"/>
    </row>
    <row r="4054" spans="2:2">
      <c r="B4054" s="24"/>
    </row>
    <row r="4055" spans="2:2">
      <c r="B4055" s="24"/>
    </row>
    <row r="4056" spans="2:2">
      <c r="B4056" s="24"/>
    </row>
    <row r="4057" spans="2:2">
      <c r="B4057" s="24"/>
    </row>
    <row r="4058" spans="2:2">
      <c r="B4058" s="24"/>
    </row>
    <row r="4059" spans="2:2">
      <c r="B4059" s="24"/>
    </row>
    <row r="4060" spans="2:2">
      <c r="B4060" s="24"/>
    </row>
    <row r="4061" spans="2:2">
      <c r="B4061" s="24"/>
    </row>
    <row r="4062" spans="2:2">
      <c r="B4062" s="24"/>
    </row>
    <row r="4063" spans="2:2">
      <c r="B4063" s="24"/>
    </row>
    <row r="4064" spans="2:2">
      <c r="B4064" s="24"/>
    </row>
    <row r="4065" spans="2:2">
      <c r="B4065" s="24"/>
    </row>
    <row r="4066" spans="2:2">
      <c r="B4066" s="24"/>
    </row>
    <row r="4067" spans="2:2">
      <c r="B4067" s="24"/>
    </row>
    <row r="4068" spans="2:2">
      <c r="B4068" s="24"/>
    </row>
    <row r="4069" spans="2:2">
      <c r="B4069" s="24"/>
    </row>
    <row r="4070" spans="2:2">
      <c r="B4070" s="24"/>
    </row>
    <row r="4071" spans="2:2">
      <c r="B4071" s="24"/>
    </row>
    <row r="4072" spans="2:2">
      <c r="B4072" s="24"/>
    </row>
    <row r="4073" spans="2:2">
      <c r="B4073" s="24"/>
    </row>
    <row r="4074" spans="2:2">
      <c r="B4074" s="24"/>
    </row>
    <row r="4075" spans="2:2">
      <c r="B4075" s="24"/>
    </row>
    <row r="4076" spans="2:2">
      <c r="B4076" s="24"/>
    </row>
    <row r="4077" spans="2:2">
      <c r="B4077" s="24"/>
    </row>
    <row r="4078" spans="2:2">
      <c r="B4078" s="24"/>
    </row>
    <row r="4079" spans="2:2">
      <c r="B4079" s="24"/>
    </row>
    <row r="4080" spans="2:2">
      <c r="B4080" s="24"/>
    </row>
    <row r="4081" spans="2:2">
      <c r="B4081" s="24"/>
    </row>
    <row r="4082" spans="2:2">
      <c r="B4082" s="24"/>
    </row>
    <row r="4083" spans="2:2">
      <c r="B4083" s="24"/>
    </row>
    <row r="4084" spans="2:2">
      <c r="B4084" s="24"/>
    </row>
    <row r="4085" spans="2:2">
      <c r="B4085" s="24"/>
    </row>
    <row r="4086" spans="2:2">
      <c r="B4086" s="24"/>
    </row>
    <row r="4087" spans="2:2">
      <c r="B4087" s="24"/>
    </row>
    <row r="4088" spans="2:2">
      <c r="B4088" s="24"/>
    </row>
    <row r="4089" spans="2:2">
      <c r="B4089" s="24"/>
    </row>
    <row r="4090" spans="2:2">
      <c r="B4090" s="24"/>
    </row>
    <row r="4091" spans="2:2">
      <c r="B4091" s="24"/>
    </row>
    <row r="4092" spans="2:2">
      <c r="B4092" s="24"/>
    </row>
    <row r="4093" spans="2:2">
      <c r="B4093" s="24"/>
    </row>
    <row r="4094" spans="2:2">
      <c r="B4094" s="24"/>
    </row>
    <row r="4095" spans="2:2">
      <c r="B4095" s="24"/>
    </row>
    <row r="4096" spans="2:2">
      <c r="B4096" s="24"/>
    </row>
    <row r="4097" spans="2:2">
      <c r="B4097" s="24"/>
    </row>
    <row r="4098" spans="2:2">
      <c r="B4098" s="24"/>
    </row>
    <row r="4099" spans="2:2">
      <c r="B4099" s="24"/>
    </row>
    <row r="4100" spans="2:2">
      <c r="B4100" s="24"/>
    </row>
    <row r="4101" spans="2:2">
      <c r="B4101" s="24"/>
    </row>
    <row r="4102" spans="2:2">
      <c r="B4102" s="24"/>
    </row>
    <row r="4103" spans="2:2">
      <c r="B4103" s="24"/>
    </row>
    <row r="4104" spans="2:2">
      <c r="B4104" s="24"/>
    </row>
    <row r="4105" spans="2:2">
      <c r="B4105" s="24"/>
    </row>
    <row r="4106" spans="2:2">
      <c r="B4106" s="24"/>
    </row>
    <row r="4107" spans="2:2">
      <c r="B4107" s="24"/>
    </row>
    <row r="4108" spans="2:2">
      <c r="B4108" s="24"/>
    </row>
    <row r="4109" spans="2:2">
      <c r="B4109" s="24"/>
    </row>
    <row r="4110" spans="2:2">
      <c r="B4110" s="24"/>
    </row>
    <row r="4111" spans="2:2">
      <c r="B4111" s="24"/>
    </row>
    <row r="4112" spans="2:2">
      <c r="B4112" s="24"/>
    </row>
    <row r="4113" spans="2:2">
      <c r="B4113" s="24"/>
    </row>
    <row r="4114" spans="2:2">
      <c r="B4114" s="24"/>
    </row>
    <row r="4115" spans="2:2">
      <c r="B4115" s="24"/>
    </row>
    <row r="4116" spans="2:2">
      <c r="B4116" s="24"/>
    </row>
    <row r="4117" spans="2:2">
      <c r="B4117" s="24"/>
    </row>
    <row r="4118" spans="2:2">
      <c r="B4118" s="24"/>
    </row>
    <row r="4119" spans="2:2">
      <c r="B4119" s="24"/>
    </row>
    <row r="4120" spans="2:2">
      <c r="B4120" s="24"/>
    </row>
    <row r="4121" spans="2:2">
      <c r="B4121" s="24"/>
    </row>
    <row r="4122" spans="2:2">
      <c r="B4122" s="24"/>
    </row>
    <row r="4123" spans="2:2">
      <c r="B4123" s="24"/>
    </row>
    <row r="4124" spans="2:2">
      <c r="B4124" s="24"/>
    </row>
    <row r="4125" spans="2:2">
      <c r="B4125" s="24"/>
    </row>
    <row r="4126" spans="2:2">
      <c r="B4126" s="24"/>
    </row>
    <row r="4127" spans="2:2">
      <c r="B4127" s="24"/>
    </row>
    <row r="4128" spans="2:2">
      <c r="B4128" s="24"/>
    </row>
    <row r="4129" spans="2:2">
      <c r="B4129" s="24"/>
    </row>
    <row r="4130" spans="2:2">
      <c r="B4130" s="24"/>
    </row>
    <row r="4131" spans="2:2">
      <c r="B4131" s="24"/>
    </row>
    <row r="4132" spans="2:2">
      <c r="B4132" s="24"/>
    </row>
    <row r="4133" spans="2:2">
      <c r="B4133" s="24"/>
    </row>
    <row r="4134" spans="2:2">
      <c r="B4134" s="24"/>
    </row>
    <row r="4135" spans="2:2">
      <c r="B4135" s="24"/>
    </row>
    <row r="4136" spans="2:2">
      <c r="B4136" s="24"/>
    </row>
    <row r="4137" spans="2:2">
      <c r="B4137" s="24"/>
    </row>
    <row r="4138" spans="2:2">
      <c r="B4138" s="24"/>
    </row>
    <row r="4139" spans="2:2">
      <c r="B4139" s="24"/>
    </row>
    <row r="4140" spans="2:2">
      <c r="B4140" s="24"/>
    </row>
    <row r="4141" spans="2:2">
      <c r="B4141" s="24"/>
    </row>
    <row r="4142" spans="2:2">
      <c r="B4142" s="24"/>
    </row>
    <row r="4143" spans="2:2">
      <c r="B4143" s="24"/>
    </row>
    <row r="4144" spans="2:2">
      <c r="B4144" s="24"/>
    </row>
    <row r="4145" spans="2:2">
      <c r="B4145" s="24"/>
    </row>
    <row r="4146" spans="2:2">
      <c r="B4146" s="24"/>
    </row>
    <row r="4147" spans="2:2">
      <c r="B4147" s="24"/>
    </row>
    <row r="4148" spans="2:2">
      <c r="B4148" s="24"/>
    </row>
    <row r="4149" spans="2:2">
      <c r="B4149" s="24"/>
    </row>
    <row r="4150" spans="2:2">
      <c r="B4150" s="24"/>
    </row>
    <row r="4151" spans="2:2">
      <c r="B4151" s="24"/>
    </row>
    <row r="4152" spans="2:2">
      <c r="B4152" s="24"/>
    </row>
    <row r="4153" spans="2:2">
      <c r="B4153" s="24"/>
    </row>
    <row r="4154" spans="2:2">
      <c r="B4154" s="24"/>
    </row>
    <row r="4155" spans="2:2">
      <c r="B4155" s="24"/>
    </row>
    <row r="4156" spans="2:2">
      <c r="B4156" s="24"/>
    </row>
    <row r="4157" spans="2:2">
      <c r="B4157" s="24"/>
    </row>
    <row r="4158" spans="2:2">
      <c r="B4158" s="24"/>
    </row>
    <row r="4159" spans="2:2">
      <c r="B4159" s="24"/>
    </row>
    <row r="4160" spans="2:2">
      <c r="B4160" s="24"/>
    </row>
    <row r="4161" spans="2:2">
      <c r="B4161" s="24"/>
    </row>
    <row r="4162" spans="2:2">
      <c r="B4162" s="24"/>
    </row>
    <row r="4163" spans="2:2">
      <c r="B4163" s="24"/>
    </row>
    <row r="4164" spans="2:2">
      <c r="B4164" s="24"/>
    </row>
    <row r="4165" spans="2:2">
      <c r="B4165" s="24"/>
    </row>
    <row r="4166" spans="2:2">
      <c r="B4166" s="24"/>
    </row>
    <row r="4167" spans="2:2">
      <c r="B4167" s="24"/>
    </row>
    <row r="4168" spans="2:2">
      <c r="B4168" s="24"/>
    </row>
    <row r="4169" spans="2:2">
      <c r="B4169" s="24"/>
    </row>
    <row r="4170" spans="2:2">
      <c r="B4170" s="24"/>
    </row>
    <row r="4171" spans="2:2">
      <c r="B4171" s="24"/>
    </row>
    <row r="4172" spans="2:2">
      <c r="B4172" s="24"/>
    </row>
    <row r="4173" spans="2:2">
      <c r="B4173" s="24"/>
    </row>
    <row r="4174" spans="2:2">
      <c r="B4174" s="24"/>
    </row>
    <row r="4175" spans="2:2">
      <c r="B4175" s="24"/>
    </row>
    <row r="4176" spans="2:2">
      <c r="B4176" s="24"/>
    </row>
    <row r="4177" spans="2:2">
      <c r="B4177" s="24"/>
    </row>
    <row r="4178" spans="2:2">
      <c r="B4178" s="24"/>
    </row>
    <row r="4179" spans="2:2">
      <c r="B4179" s="24"/>
    </row>
    <row r="4180" spans="2:2">
      <c r="B4180" s="24"/>
    </row>
    <row r="4181" spans="2:2">
      <c r="B4181" s="24"/>
    </row>
    <row r="4182" spans="2:2">
      <c r="B4182" s="24"/>
    </row>
    <row r="4183" spans="2:2">
      <c r="B4183" s="24"/>
    </row>
    <row r="4184" spans="2:2">
      <c r="B4184" s="24"/>
    </row>
    <row r="4185" spans="2:2">
      <c r="B4185" s="24"/>
    </row>
    <row r="4186" spans="2:2">
      <c r="B4186" s="24"/>
    </row>
    <row r="4187" spans="2:2">
      <c r="B4187" s="24"/>
    </row>
    <row r="4188" spans="2:2">
      <c r="B4188" s="24"/>
    </row>
    <row r="4189" spans="2:2">
      <c r="B4189" s="24"/>
    </row>
    <row r="4190" spans="2:2">
      <c r="B4190" s="24"/>
    </row>
    <row r="4191" spans="2:2">
      <c r="B4191" s="24"/>
    </row>
    <row r="4192" spans="2:2">
      <c r="B4192" s="24"/>
    </row>
    <row r="4193" spans="2:2">
      <c r="B4193" s="24"/>
    </row>
    <row r="4194" spans="2:2">
      <c r="B4194" s="24"/>
    </row>
    <row r="4195" spans="2:2">
      <c r="B4195" s="24"/>
    </row>
    <row r="4196" spans="2:2">
      <c r="B4196" s="24"/>
    </row>
    <row r="4197" spans="2:2">
      <c r="B4197" s="24"/>
    </row>
    <row r="4198" spans="2:2">
      <c r="B4198" s="24"/>
    </row>
    <row r="4199" spans="2:2">
      <c r="B4199" s="24"/>
    </row>
    <row r="4200" spans="2:2">
      <c r="B4200" s="24"/>
    </row>
    <row r="4201" spans="2:2">
      <c r="B4201" s="24"/>
    </row>
    <row r="4202" spans="2:2">
      <c r="B4202" s="24"/>
    </row>
    <row r="4203" spans="2:2">
      <c r="B4203" s="24"/>
    </row>
    <row r="4204" spans="2:2">
      <c r="B4204" s="24"/>
    </row>
    <row r="4205" spans="2:2">
      <c r="B4205" s="24"/>
    </row>
    <row r="4206" spans="2:2">
      <c r="B4206" s="24"/>
    </row>
    <row r="4207" spans="2:2">
      <c r="B4207" s="24"/>
    </row>
    <row r="4208" spans="2:2">
      <c r="B4208" s="24"/>
    </row>
    <row r="4209" spans="2:2">
      <c r="B4209" s="24"/>
    </row>
    <row r="4210" spans="2:2">
      <c r="B4210" s="24"/>
    </row>
    <row r="4211" spans="2:2">
      <c r="B4211" s="24"/>
    </row>
    <row r="4212" spans="2:2">
      <c r="B4212" s="24"/>
    </row>
    <row r="4213" spans="2:2">
      <c r="B4213" s="24"/>
    </row>
    <row r="4214" spans="2:2">
      <c r="B4214" s="24"/>
    </row>
    <row r="4215" spans="2:2">
      <c r="B4215" s="24"/>
    </row>
    <row r="4216" spans="2:2">
      <c r="B4216" s="24"/>
    </row>
    <row r="4217" spans="2:2">
      <c r="B4217" s="24"/>
    </row>
    <row r="4218" spans="2:2">
      <c r="B4218" s="24"/>
    </row>
    <row r="4219" spans="2:2">
      <c r="B4219" s="24"/>
    </row>
    <row r="4220" spans="2:2">
      <c r="B4220" s="24"/>
    </row>
    <row r="4221" spans="2:2">
      <c r="B4221" s="24"/>
    </row>
    <row r="4222" spans="2:2">
      <c r="B4222" s="24"/>
    </row>
    <row r="4223" spans="2:2">
      <c r="B4223" s="24"/>
    </row>
    <row r="4224" spans="2:2">
      <c r="B4224" s="24"/>
    </row>
    <row r="4225" spans="2:2">
      <c r="B4225" s="24"/>
    </row>
    <row r="4226" spans="2:2">
      <c r="B4226" s="24"/>
    </row>
    <row r="4227" spans="2:2">
      <c r="B4227" s="24"/>
    </row>
    <row r="4228" spans="2:2">
      <c r="B4228" s="24"/>
    </row>
    <row r="4229" spans="2:2">
      <c r="B4229" s="24"/>
    </row>
    <row r="4230" spans="2:2">
      <c r="B4230" s="24"/>
    </row>
    <row r="4231" spans="2:2">
      <c r="B4231" s="24"/>
    </row>
    <row r="4232" spans="2:2">
      <c r="B4232" s="24"/>
    </row>
    <row r="4233" spans="2:2">
      <c r="B4233" s="24"/>
    </row>
    <row r="4234" spans="2:2">
      <c r="B4234" s="24"/>
    </row>
    <row r="4235" spans="2:2">
      <c r="B4235" s="24"/>
    </row>
    <row r="4236" spans="2:2">
      <c r="B4236" s="24"/>
    </row>
    <row r="4237" spans="2:2">
      <c r="B4237" s="24"/>
    </row>
    <row r="4238" spans="2:2">
      <c r="B4238" s="24"/>
    </row>
    <row r="4239" spans="2:2">
      <c r="B4239" s="24"/>
    </row>
    <row r="4240" spans="2:2">
      <c r="B4240" s="24"/>
    </row>
    <row r="4241" spans="2:2">
      <c r="B4241" s="24"/>
    </row>
    <row r="4242" spans="2:2">
      <c r="B4242" s="24"/>
    </row>
    <row r="4243" spans="2:2">
      <c r="B4243" s="24"/>
    </row>
    <row r="4244" spans="2:2">
      <c r="B4244" s="24"/>
    </row>
    <row r="4245" spans="2:2">
      <c r="B4245" s="24"/>
    </row>
    <row r="4246" spans="2:2">
      <c r="B4246" s="24"/>
    </row>
    <row r="4247" spans="2:2">
      <c r="B4247" s="24"/>
    </row>
    <row r="4248" spans="2:2">
      <c r="B4248" s="24"/>
    </row>
    <row r="4249" spans="2:2">
      <c r="B4249" s="24"/>
    </row>
    <row r="4250" spans="2:2">
      <c r="B4250" s="24"/>
    </row>
    <row r="4251" spans="2:2">
      <c r="B4251" s="24"/>
    </row>
    <row r="4252" spans="2:2">
      <c r="B4252" s="24"/>
    </row>
    <row r="4253" spans="2:2">
      <c r="B4253" s="24"/>
    </row>
    <row r="4254" spans="2:2">
      <c r="B4254" s="24"/>
    </row>
    <row r="4255" spans="2:2">
      <c r="B4255" s="24"/>
    </row>
    <row r="4256" spans="2:2">
      <c r="B4256" s="24"/>
    </row>
    <row r="4257" spans="2:2">
      <c r="B4257" s="24"/>
    </row>
    <row r="4258" spans="2:2">
      <c r="B4258" s="24"/>
    </row>
    <row r="4259" spans="2:2">
      <c r="B4259" s="24"/>
    </row>
    <row r="4260" spans="2:2">
      <c r="B4260" s="24"/>
    </row>
    <row r="4261" spans="2:2">
      <c r="B4261" s="24"/>
    </row>
    <row r="4262" spans="2:2">
      <c r="B4262" s="24"/>
    </row>
    <row r="4263" spans="2:2">
      <c r="B4263" s="24"/>
    </row>
    <row r="4264" spans="2:2">
      <c r="B4264" s="24"/>
    </row>
    <row r="4265" spans="2:2">
      <c r="B4265" s="24"/>
    </row>
    <row r="4266" spans="2:2">
      <c r="B4266" s="24"/>
    </row>
    <row r="4267" spans="2:2">
      <c r="B4267" s="24"/>
    </row>
    <row r="4268" spans="2:2">
      <c r="B4268" s="24"/>
    </row>
    <row r="4269" spans="2:2">
      <c r="B4269" s="24"/>
    </row>
    <row r="4270" spans="2:2">
      <c r="B4270" s="24"/>
    </row>
    <row r="4271" spans="2:2">
      <c r="B4271" s="24"/>
    </row>
    <row r="4272" spans="2:2">
      <c r="B4272" s="24"/>
    </row>
    <row r="4273" spans="2:2">
      <c r="B4273" s="24"/>
    </row>
    <row r="4274" spans="2:2">
      <c r="B4274" s="24"/>
    </row>
    <row r="4275" spans="2:2">
      <c r="B4275" s="24"/>
    </row>
    <row r="4276" spans="2:2">
      <c r="B4276" s="24"/>
    </row>
    <row r="4277" spans="2:2">
      <c r="B4277" s="24"/>
    </row>
    <row r="4278" spans="2:2">
      <c r="B4278" s="24"/>
    </row>
    <row r="4279" spans="2:2">
      <c r="B4279" s="24"/>
    </row>
    <row r="4280" spans="2:2">
      <c r="B4280" s="24"/>
    </row>
    <row r="4281" spans="2:2">
      <c r="B4281" s="24"/>
    </row>
    <row r="4282" spans="2:2">
      <c r="B4282" s="24"/>
    </row>
    <row r="4283" spans="2:2">
      <c r="B4283" s="24"/>
    </row>
    <row r="4284" spans="2:2">
      <c r="B4284" s="24"/>
    </row>
    <row r="4285" spans="2:2">
      <c r="B4285" s="24"/>
    </row>
    <row r="4286" spans="2:2">
      <c r="B4286" s="24"/>
    </row>
    <row r="4287" spans="2:2">
      <c r="B4287" s="24"/>
    </row>
    <row r="4288" spans="2:2">
      <c r="B4288" s="24"/>
    </row>
    <row r="4289" spans="2:2">
      <c r="B4289" s="24"/>
    </row>
    <row r="4290" spans="2:2">
      <c r="B4290" s="24"/>
    </row>
    <row r="4291" spans="2:2">
      <c r="B4291" s="24"/>
    </row>
    <row r="4292" spans="2:2">
      <c r="B4292" s="24"/>
    </row>
    <row r="4293" spans="2:2">
      <c r="B4293" s="24"/>
    </row>
    <row r="4294" spans="2:2">
      <c r="B4294" s="24"/>
    </row>
    <row r="4295" spans="2:2">
      <c r="B4295" s="24"/>
    </row>
    <row r="4296" spans="2:2">
      <c r="B4296" s="24"/>
    </row>
    <row r="4297" spans="2:2">
      <c r="B4297" s="24"/>
    </row>
    <row r="4298" spans="2:2">
      <c r="B4298" s="24"/>
    </row>
    <row r="4299" spans="2:2">
      <c r="B4299" s="24"/>
    </row>
    <row r="4300" spans="2:2">
      <c r="B4300" s="24"/>
    </row>
    <row r="4301" spans="2:2">
      <c r="B4301" s="24"/>
    </row>
    <row r="4302" spans="2:2">
      <c r="B4302" s="24"/>
    </row>
    <row r="4303" spans="2:2">
      <c r="B4303" s="24"/>
    </row>
    <row r="4304" spans="2:2">
      <c r="B4304" s="24"/>
    </row>
    <row r="4305" spans="2:2">
      <c r="B4305" s="24"/>
    </row>
    <row r="4306" spans="2:2">
      <c r="B4306" s="24"/>
    </row>
    <row r="4307" spans="2:2">
      <c r="B4307" s="24"/>
    </row>
    <row r="4308" spans="2:2">
      <c r="B4308" s="24"/>
    </row>
    <row r="4309" spans="2:2">
      <c r="B4309" s="24"/>
    </row>
    <row r="4310" spans="2:2">
      <c r="B4310" s="24"/>
    </row>
    <row r="4311" spans="2:2">
      <c r="B4311" s="24"/>
    </row>
    <row r="4312" spans="2:2">
      <c r="B4312" s="24"/>
    </row>
    <row r="4313" spans="2:2">
      <c r="B4313" s="24"/>
    </row>
    <row r="4314" spans="2:2">
      <c r="B4314" s="24"/>
    </row>
    <row r="4315" spans="2:2">
      <c r="B4315" s="24"/>
    </row>
    <row r="4316" spans="2:2">
      <c r="B4316" s="24"/>
    </row>
    <row r="4317" spans="2:2">
      <c r="B4317" s="24"/>
    </row>
    <row r="4318" spans="2:2">
      <c r="B4318" s="24"/>
    </row>
    <row r="4319" spans="2:2">
      <c r="B4319" s="24"/>
    </row>
    <row r="4320" spans="2:2">
      <c r="B4320" s="24"/>
    </row>
    <row r="4321" spans="2:2">
      <c r="B4321" s="24"/>
    </row>
    <row r="4322" spans="2:2">
      <c r="B4322" s="24"/>
    </row>
    <row r="4323" spans="2:2">
      <c r="B4323" s="24"/>
    </row>
    <row r="4324" spans="2:2">
      <c r="B4324" s="24"/>
    </row>
    <row r="4325" spans="2:2">
      <c r="B4325" s="24"/>
    </row>
    <row r="4326" spans="2:2">
      <c r="B4326" s="24"/>
    </row>
    <row r="4327" spans="2:2">
      <c r="B4327" s="24"/>
    </row>
    <row r="4328" spans="2:2">
      <c r="B4328" s="24"/>
    </row>
    <row r="4329" spans="2:2">
      <c r="B4329" s="24"/>
    </row>
    <row r="4330" spans="2:2">
      <c r="B4330" s="24"/>
    </row>
    <row r="4331" spans="2:2">
      <c r="B4331" s="24"/>
    </row>
    <row r="4332" spans="2:2">
      <c r="B4332" s="24"/>
    </row>
    <row r="4333" spans="2:2">
      <c r="B4333" s="24"/>
    </row>
    <row r="4334" spans="2:2">
      <c r="B4334" s="24"/>
    </row>
    <row r="4335" spans="2:2">
      <c r="B4335" s="24"/>
    </row>
    <row r="4336" spans="2:2">
      <c r="B4336" s="24"/>
    </row>
    <row r="4337" spans="2:2">
      <c r="B4337" s="24"/>
    </row>
    <row r="4338" spans="2:2">
      <c r="B4338" s="24"/>
    </row>
    <row r="4339" spans="2:2">
      <c r="B4339" s="24"/>
    </row>
    <row r="4340" spans="2:2">
      <c r="B4340" s="24"/>
    </row>
    <row r="4341" spans="2:2">
      <c r="B4341" s="24"/>
    </row>
    <row r="4342" spans="2:2">
      <c r="B4342" s="24"/>
    </row>
    <row r="4343" spans="2:2">
      <c r="B4343" s="24"/>
    </row>
    <row r="4344" spans="2:2">
      <c r="B4344" s="24"/>
    </row>
    <row r="4345" spans="2:2">
      <c r="B4345" s="24"/>
    </row>
    <row r="4346" spans="2:2">
      <c r="B4346" s="24"/>
    </row>
    <row r="4347" spans="2:2">
      <c r="B4347" s="24"/>
    </row>
    <row r="4348" spans="2:2">
      <c r="B4348" s="24"/>
    </row>
    <row r="4349" spans="2:2">
      <c r="B4349" s="24"/>
    </row>
    <row r="4350" spans="2:2">
      <c r="B4350" s="24"/>
    </row>
    <row r="4351" spans="2:2">
      <c r="B4351" s="24"/>
    </row>
    <row r="4352" spans="2:2">
      <c r="B4352" s="24"/>
    </row>
    <row r="4353" spans="2:2">
      <c r="B4353" s="24"/>
    </row>
    <row r="4354" spans="2:2">
      <c r="B4354" s="24"/>
    </row>
    <row r="4355" spans="2:2">
      <c r="B4355" s="24"/>
    </row>
    <row r="4356" spans="2:2">
      <c r="B4356" s="24"/>
    </row>
    <row r="4357" spans="2:2">
      <c r="B4357" s="24"/>
    </row>
    <row r="4358" spans="2:2">
      <c r="B4358" s="24"/>
    </row>
    <row r="4359" spans="2:2">
      <c r="B4359" s="24"/>
    </row>
    <row r="4360" spans="2:2">
      <c r="B4360" s="24"/>
    </row>
    <row r="4361" spans="2:2">
      <c r="B4361" s="24"/>
    </row>
    <row r="4362" spans="2:2">
      <c r="B4362" s="24"/>
    </row>
    <row r="4363" spans="2:2">
      <c r="B4363" s="24"/>
    </row>
    <row r="4364" spans="2:2">
      <c r="B4364" s="24"/>
    </row>
    <row r="4365" spans="2:2">
      <c r="B4365" s="24"/>
    </row>
    <row r="4366" spans="2:2">
      <c r="B4366" s="24"/>
    </row>
    <row r="4367" spans="2:2">
      <c r="B4367" s="24"/>
    </row>
    <row r="4368" spans="2:2">
      <c r="B4368" s="24"/>
    </row>
    <row r="4369" spans="2:2">
      <c r="B4369" s="24"/>
    </row>
    <row r="4370" spans="2:2">
      <c r="B4370" s="24"/>
    </row>
    <row r="4371" spans="2:2">
      <c r="B4371" s="24"/>
    </row>
    <row r="4372" spans="2:2">
      <c r="B4372" s="24"/>
    </row>
    <row r="4373" spans="2:2">
      <c r="B4373" s="24"/>
    </row>
    <row r="4374" spans="2:2">
      <c r="B4374" s="24"/>
    </row>
    <row r="4375" spans="2:2">
      <c r="B4375" s="24"/>
    </row>
    <row r="4376" spans="2:2">
      <c r="B4376" s="24"/>
    </row>
    <row r="4377" spans="2:2">
      <c r="B4377" s="24"/>
    </row>
    <row r="4378" spans="2:2">
      <c r="B4378" s="24"/>
    </row>
    <row r="4379" spans="2:2">
      <c r="B4379" s="24"/>
    </row>
    <row r="4380" spans="2:2">
      <c r="B4380" s="24"/>
    </row>
    <row r="4381" spans="2:2">
      <c r="B4381" s="24"/>
    </row>
    <row r="4382" spans="2:2">
      <c r="B4382" s="24"/>
    </row>
    <row r="4383" spans="2:2">
      <c r="B4383" s="24"/>
    </row>
    <row r="4384" spans="2:2">
      <c r="B4384" s="24"/>
    </row>
    <row r="4385" spans="2:2">
      <c r="B4385" s="24"/>
    </row>
    <row r="4386" spans="2:2">
      <c r="B4386" s="24"/>
    </row>
    <row r="4387" spans="2:2">
      <c r="B4387" s="24"/>
    </row>
    <row r="4388" spans="2:2">
      <c r="B4388" s="24"/>
    </row>
    <row r="4389" spans="2:2">
      <c r="B4389" s="24"/>
    </row>
    <row r="4390" spans="2:2">
      <c r="B4390" s="24"/>
    </row>
    <row r="4391" spans="2:2">
      <c r="B4391" s="24"/>
    </row>
    <row r="4392" spans="2:2">
      <c r="B4392" s="24"/>
    </row>
    <row r="4393" spans="2:2">
      <c r="B4393" s="24"/>
    </row>
    <row r="4394" spans="2:2">
      <c r="B4394" s="24"/>
    </row>
    <row r="4395" spans="2:2">
      <c r="B4395" s="24"/>
    </row>
    <row r="4396" spans="2:2">
      <c r="B4396" s="24"/>
    </row>
    <row r="4397" spans="2:2">
      <c r="B4397" s="24"/>
    </row>
    <row r="4398" spans="2:2">
      <c r="B4398" s="24"/>
    </row>
    <row r="4399" spans="2:2">
      <c r="B4399" s="24"/>
    </row>
    <row r="4400" spans="2:2">
      <c r="B4400" s="24"/>
    </row>
    <row r="4401" spans="2:2">
      <c r="B4401" s="24"/>
    </row>
    <row r="4402" spans="2:2">
      <c r="B4402" s="24"/>
    </row>
    <row r="4403" spans="2:2">
      <c r="B4403" s="24"/>
    </row>
    <row r="4404" spans="2:2">
      <c r="B4404" s="24"/>
    </row>
    <row r="4405" spans="2:2">
      <c r="B4405" s="24"/>
    </row>
    <row r="4406" spans="2:2">
      <c r="B4406" s="24"/>
    </row>
    <row r="4407" spans="2:2">
      <c r="B4407" s="24"/>
    </row>
    <row r="4408" spans="2:2">
      <c r="B4408" s="24"/>
    </row>
    <row r="4409" spans="2:2">
      <c r="B4409" s="24"/>
    </row>
    <row r="4410" spans="2:2">
      <c r="B4410" s="24"/>
    </row>
    <row r="4411" spans="2:2">
      <c r="B4411" s="24"/>
    </row>
    <row r="4412" spans="2:2">
      <c r="B4412" s="24"/>
    </row>
    <row r="4413" spans="2:2">
      <c r="B4413" s="24"/>
    </row>
    <row r="4414" spans="2:2">
      <c r="B4414" s="24"/>
    </row>
    <row r="4415" spans="2:2">
      <c r="B4415" s="24"/>
    </row>
    <row r="4416" spans="2:2">
      <c r="B4416" s="24"/>
    </row>
    <row r="4417" spans="2:2">
      <c r="B4417" s="24"/>
    </row>
    <row r="4418" spans="2:2">
      <c r="B4418" s="24"/>
    </row>
    <row r="4419" spans="2:2">
      <c r="B4419" s="24"/>
    </row>
    <row r="4420" spans="2:2">
      <c r="B4420" s="24"/>
    </row>
    <row r="4421" spans="2:2">
      <c r="B4421" s="24"/>
    </row>
    <row r="4422" spans="2:2">
      <c r="B4422" s="24"/>
    </row>
    <row r="4423" spans="2:2">
      <c r="B4423" s="24"/>
    </row>
    <row r="4424" spans="2:2">
      <c r="B4424" s="24"/>
    </row>
    <row r="4425" spans="2:2">
      <c r="B4425" s="24"/>
    </row>
    <row r="4426" spans="2:2">
      <c r="B4426" s="24"/>
    </row>
    <row r="4427" spans="2:2">
      <c r="B4427" s="24"/>
    </row>
    <row r="4428" spans="2:2">
      <c r="B4428" s="24"/>
    </row>
    <row r="4429" spans="2:2">
      <c r="B4429" s="24"/>
    </row>
    <row r="4430" spans="2:2">
      <c r="B4430" s="24"/>
    </row>
    <row r="4431" spans="2:2">
      <c r="B4431" s="24"/>
    </row>
    <row r="4432" spans="2:2">
      <c r="B4432" s="24"/>
    </row>
    <row r="4433" spans="2:2">
      <c r="B4433" s="24"/>
    </row>
    <row r="4434" spans="2:2">
      <c r="B4434" s="24"/>
    </row>
    <row r="4435" spans="2:2">
      <c r="B4435" s="24"/>
    </row>
    <row r="4436" spans="2:2">
      <c r="B4436" s="24"/>
    </row>
    <row r="4437" spans="2:2">
      <c r="B4437" s="24"/>
    </row>
    <row r="4438" spans="2:2">
      <c r="B4438" s="24"/>
    </row>
    <row r="4439" spans="2:2">
      <c r="B4439" s="24"/>
    </row>
    <row r="4440" spans="2:2">
      <c r="B4440" s="24"/>
    </row>
    <row r="4441" spans="2:2">
      <c r="B4441" s="24"/>
    </row>
    <row r="4442" spans="2:2">
      <c r="B4442" s="24"/>
    </row>
    <row r="4443" spans="2:2">
      <c r="B4443" s="24"/>
    </row>
    <row r="4444" spans="2:2">
      <c r="B4444" s="24"/>
    </row>
    <row r="4445" spans="2:2">
      <c r="B4445" s="24"/>
    </row>
    <row r="4446" spans="2:2">
      <c r="B4446" s="24"/>
    </row>
    <row r="4447" spans="2:2">
      <c r="B4447" s="24"/>
    </row>
    <row r="4448" spans="2:2">
      <c r="B4448" s="24"/>
    </row>
    <row r="4449" spans="2:2">
      <c r="B4449" s="24"/>
    </row>
    <row r="4450" spans="2:2">
      <c r="B4450" s="24"/>
    </row>
    <row r="4451" spans="2:2">
      <c r="B4451" s="24"/>
    </row>
    <row r="4452" spans="2:2">
      <c r="B4452" s="24"/>
    </row>
    <row r="4453" spans="2:2">
      <c r="B4453" s="24"/>
    </row>
    <row r="4454" spans="2:2">
      <c r="B4454" s="24"/>
    </row>
    <row r="4455" spans="2:2">
      <c r="B4455" s="24"/>
    </row>
    <row r="4456" spans="2:2">
      <c r="B4456" s="24"/>
    </row>
    <row r="4457" spans="2:2">
      <c r="B4457" s="24"/>
    </row>
    <row r="4458" spans="2:2">
      <c r="B4458" s="24"/>
    </row>
    <row r="4459" spans="2:2">
      <c r="B4459" s="24"/>
    </row>
    <row r="4460" spans="2:2">
      <c r="B4460" s="24"/>
    </row>
    <row r="4461" spans="2:2">
      <c r="B4461" s="24"/>
    </row>
    <row r="4462" spans="2:2">
      <c r="B4462" s="24"/>
    </row>
    <row r="4463" spans="2:2">
      <c r="B4463" s="24"/>
    </row>
    <row r="4464" spans="2:2">
      <c r="B4464" s="24"/>
    </row>
    <row r="4465" spans="2:2">
      <c r="B4465" s="24"/>
    </row>
    <row r="4466" spans="2:2">
      <c r="B4466" s="24"/>
    </row>
    <row r="4467" spans="2:2">
      <c r="B4467" s="24"/>
    </row>
    <row r="4468" spans="2:2">
      <c r="B4468" s="24"/>
    </row>
    <row r="4469" spans="2:2">
      <c r="B4469" s="24"/>
    </row>
    <row r="4470" spans="2:2">
      <c r="B4470" s="24"/>
    </row>
    <row r="4471" spans="2:2">
      <c r="B4471" s="24"/>
    </row>
    <row r="4472" spans="2:2">
      <c r="B4472" s="24"/>
    </row>
    <row r="4473" spans="2:2">
      <c r="B4473" s="24"/>
    </row>
    <row r="4474" spans="2:2">
      <c r="B4474" s="24"/>
    </row>
    <row r="4475" spans="2:2">
      <c r="B4475" s="24"/>
    </row>
    <row r="4476" spans="2:2">
      <c r="B4476" s="24"/>
    </row>
    <row r="4477" spans="2:2">
      <c r="B4477" s="24"/>
    </row>
    <row r="4478" spans="2:2">
      <c r="B4478" s="24"/>
    </row>
    <row r="4479" spans="2:2">
      <c r="B4479" s="24"/>
    </row>
    <row r="4480" spans="2:2">
      <c r="B4480" s="24"/>
    </row>
    <row r="4481" spans="2:2">
      <c r="B4481" s="24"/>
    </row>
    <row r="4482" spans="2:2">
      <c r="B4482" s="24"/>
    </row>
    <row r="4483" spans="2:2">
      <c r="B4483" s="24"/>
    </row>
    <row r="4484" spans="2:2">
      <c r="B4484" s="24"/>
    </row>
    <row r="4485" spans="2:2">
      <c r="B4485" s="24"/>
    </row>
    <row r="4486" spans="2:2">
      <c r="B4486" s="24"/>
    </row>
    <row r="4487" spans="2:2">
      <c r="B4487" s="24"/>
    </row>
    <row r="4488" spans="2:2">
      <c r="B4488" s="24"/>
    </row>
    <row r="4489" spans="2:2">
      <c r="B4489" s="24"/>
    </row>
    <row r="4490" spans="2:2">
      <c r="B4490" s="24"/>
    </row>
    <row r="4491" spans="2:2">
      <c r="B4491" s="24"/>
    </row>
    <row r="4492" spans="2:2">
      <c r="B4492" s="24"/>
    </row>
    <row r="4493" spans="2:2">
      <c r="B4493" s="24"/>
    </row>
    <row r="4494" spans="2:2">
      <c r="B4494" s="24"/>
    </row>
    <row r="4495" spans="2:2">
      <c r="B4495" s="24"/>
    </row>
    <row r="4496" spans="2:2">
      <c r="B4496" s="24"/>
    </row>
    <row r="4497" spans="2:2">
      <c r="B4497" s="24"/>
    </row>
    <row r="4498" spans="2:2">
      <c r="B4498" s="24"/>
    </row>
    <row r="4499" spans="2:2">
      <c r="B4499" s="24"/>
    </row>
    <row r="4500" spans="2:2">
      <c r="B4500" s="24"/>
    </row>
    <row r="4501" spans="2:2">
      <c r="B4501" s="24"/>
    </row>
    <row r="4502" spans="2:2">
      <c r="B4502" s="24"/>
    </row>
    <row r="4503" spans="2:2">
      <c r="B4503" s="24"/>
    </row>
    <row r="4504" spans="2:2">
      <c r="B4504" s="24"/>
    </row>
    <row r="4505" spans="2:2">
      <c r="B4505" s="24"/>
    </row>
    <row r="4506" spans="2:2">
      <c r="B4506" s="24"/>
    </row>
    <row r="4507" spans="2:2">
      <c r="B4507" s="24"/>
    </row>
    <row r="4508" spans="2:2">
      <c r="B4508" s="24"/>
    </row>
    <row r="4509" spans="2:2">
      <c r="B4509" s="24"/>
    </row>
    <row r="4510" spans="2:2">
      <c r="B4510" s="24"/>
    </row>
    <row r="4511" spans="2:2">
      <c r="B4511" s="24"/>
    </row>
    <row r="4512" spans="2:2">
      <c r="B4512" s="24"/>
    </row>
    <row r="4513" spans="2:2">
      <c r="B4513" s="24"/>
    </row>
    <row r="4514" spans="2:2">
      <c r="B4514" s="24"/>
    </row>
    <row r="4515" spans="2:2">
      <c r="B4515" s="24"/>
    </row>
    <row r="4516" spans="2:2">
      <c r="B4516" s="24"/>
    </row>
    <row r="4517" spans="2:2">
      <c r="B4517" s="24"/>
    </row>
    <row r="4518" spans="2:2">
      <c r="B4518" s="24"/>
    </row>
    <row r="4519" spans="2:2">
      <c r="B4519" s="24"/>
    </row>
    <row r="4520" spans="2:2">
      <c r="B4520" s="24"/>
    </row>
    <row r="4521" spans="2:2">
      <c r="B4521" s="24"/>
    </row>
    <row r="4522" spans="2:2">
      <c r="B4522" s="24"/>
    </row>
    <row r="4523" spans="2:2">
      <c r="B4523" s="24"/>
    </row>
    <row r="4524" spans="2:2">
      <c r="B4524" s="24"/>
    </row>
    <row r="4525" spans="2:2">
      <c r="B4525" s="24"/>
    </row>
    <row r="4526" spans="2:2">
      <c r="B4526" s="24"/>
    </row>
    <row r="4527" spans="2:2">
      <c r="B4527" s="24"/>
    </row>
    <row r="4528" spans="2:2">
      <c r="B4528" s="24"/>
    </row>
    <row r="4529" spans="2:2">
      <c r="B4529" s="24"/>
    </row>
    <row r="4530" spans="2:2">
      <c r="B4530" s="24"/>
    </row>
    <row r="4531" spans="2:2">
      <c r="B4531" s="24"/>
    </row>
    <row r="4532" spans="2:2">
      <c r="B4532" s="24"/>
    </row>
    <row r="4533" spans="2:2">
      <c r="B4533" s="24"/>
    </row>
    <row r="4534" spans="2:2">
      <c r="B4534" s="24"/>
    </row>
    <row r="4535" spans="2:2">
      <c r="B4535" s="24"/>
    </row>
    <row r="4536" spans="2:2">
      <c r="B4536" s="24"/>
    </row>
    <row r="4537" spans="2:2">
      <c r="B4537" s="24"/>
    </row>
    <row r="4538" spans="2:2">
      <c r="B4538" s="24"/>
    </row>
    <row r="4539" spans="2:2">
      <c r="B4539" s="24"/>
    </row>
    <row r="4540" spans="2:2">
      <c r="B4540" s="24"/>
    </row>
    <row r="4541" spans="2:2">
      <c r="B4541" s="24"/>
    </row>
    <row r="4542" spans="2:2">
      <c r="B4542" s="24"/>
    </row>
    <row r="4543" spans="2:2">
      <c r="B4543" s="24"/>
    </row>
    <row r="4544" spans="2:2">
      <c r="B4544" s="24"/>
    </row>
    <row r="4545" spans="2:2">
      <c r="B4545" s="24"/>
    </row>
    <row r="4546" spans="2:2">
      <c r="B4546" s="24"/>
    </row>
    <row r="4547" spans="2:2">
      <c r="B4547" s="24"/>
    </row>
    <row r="4548" spans="2:2">
      <c r="B4548" s="24"/>
    </row>
    <row r="4549" spans="2:2">
      <c r="B4549" s="24"/>
    </row>
    <row r="4550" spans="2:2">
      <c r="B4550" s="24"/>
    </row>
    <row r="4551" spans="2:2">
      <c r="B4551" s="24"/>
    </row>
    <row r="4552" spans="2:2">
      <c r="B4552" s="24"/>
    </row>
    <row r="4553" spans="2:2">
      <c r="B4553" s="24"/>
    </row>
    <row r="4554" spans="2:2">
      <c r="B4554" s="24"/>
    </row>
    <row r="4555" spans="2:2">
      <c r="B4555" s="24"/>
    </row>
    <row r="4556" spans="2:2">
      <c r="B4556" s="24"/>
    </row>
    <row r="4557" spans="2:2">
      <c r="B4557" s="24"/>
    </row>
    <row r="4558" spans="2:2">
      <c r="B4558" s="24"/>
    </row>
    <row r="4559" spans="2:2">
      <c r="B4559" s="24"/>
    </row>
    <row r="4560" spans="2:2">
      <c r="B4560" s="24"/>
    </row>
    <row r="4561" spans="2:2">
      <c r="B4561" s="24"/>
    </row>
    <row r="4562" spans="2:2">
      <c r="B4562" s="24"/>
    </row>
    <row r="4563" spans="2:2">
      <c r="B4563" s="24"/>
    </row>
    <row r="4564" spans="2:2">
      <c r="B4564" s="24"/>
    </row>
    <row r="4565" spans="2:2">
      <c r="B4565" s="24"/>
    </row>
    <row r="4566" spans="2:2">
      <c r="B4566" s="24"/>
    </row>
    <row r="4567" spans="2:2">
      <c r="B4567" s="24"/>
    </row>
    <row r="4568" spans="2:2">
      <c r="B4568" s="24"/>
    </row>
    <row r="4569" spans="2:2">
      <c r="B4569" s="24"/>
    </row>
    <row r="4570" spans="2:2">
      <c r="B4570" s="24"/>
    </row>
    <row r="4571" spans="2:2">
      <c r="B4571" s="24"/>
    </row>
    <row r="4572" spans="2:2">
      <c r="B4572" s="24"/>
    </row>
    <row r="4573" spans="2:2">
      <c r="B4573" s="24"/>
    </row>
    <row r="4574" spans="2:2">
      <c r="B4574" s="24"/>
    </row>
    <row r="4575" spans="2:2">
      <c r="B4575" s="24"/>
    </row>
    <row r="4576" spans="2:2">
      <c r="B4576" s="24"/>
    </row>
    <row r="4577" spans="2:2">
      <c r="B4577" s="24"/>
    </row>
    <row r="4578" spans="2:2">
      <c r="B4578" s="24"/>
    </row>
    <row r="4579" spans="2:2">
      <c r="B4579" s="24"/>
    </row>
    <row r="4580" spans="2:2">
      <c r="B4580" s="24"/>
    </row>
    <row r="4581" spans="2:2">
      <c r="B4581" s="24"/>
    </row>
    <row r="4582" spans="2:2">
      <c r="B4582" s="24"/>
    </row>
    <row r="4583" spans="2:2">
      <c r="B4583" s="24"/>
    </row>
    <row r="4584" spans="2:2">
      <c r="B4584" s="24"/>
    </row>
    <row r="4585" spans="2:2">
      <c r="B4585" s="24"/>
    </row>
    <row r="4586" spans="2:2">
      <c r="B4586" s="24"/>
    </row>
    <row r="4587" spans="2:2">
      <c r="B4587" s="24"/>
    </row>
    <row r="4588" spans="2:2">
      <c r="B4588" s="24"/>
    </row>
    <row r="4589" spans="2:2">
      <c r="B4589" s="24"/>
    </row>
    <row r="4590" spans="2:2">
      <c r="B4590" s="24"/>
    </row>
    <row r="4591" spans="2:2">
      <c r="B4591" s="24"/>
    </row>
    <row r="4592" spans="2:2">
      <c r="B4592" s="24"/>
    </row>
    <row r="4593" spans="2:2">
      <c r="B4593" s="24"/>
    </row>
    <row r="4594" spans="2:2">
      <c r="B4594" s="24"/>
    </row>
    <row r="4595" spans="2:2">
      <c r="B4595" s="24"/>
    </row>
    <row r="4596" spans="2:2">
      <c r="B4596" s="24"/>
    </row>
    <row r="4597" spans="2:2">
      <c r="B4597" s="24"/>
    </row>
    <row r="4598" spans="2:2">
      <c r="B4598" s="24"/>
    </row>
    <row r="4599" spans="2:2">
      <c r="B4599" s="24"/>
    </row>
    <row r="4600" spans="2:2">
      <c r="B4600" s="24"/>
    </row>
    <row r="4601" spans="2:2">
      <c r="B4601" s="24"/>
    </row>
    <row r="4602" spans="2:2">
      <c r="B4602" s="24"/>
    </row>
    <row r="4603" spans="2:2">
      <c r="B4603" s="24"/>
    </row>
    <row r="4604" spans="2:2">
      <c r="B4604" s="24"/>
    </row>
    <row r="4605" spans="2:2">
      <c r="B4605" s="24"/>
    </row>
    <row r="4606" spans="2:2">
      <c r="B4606" s="24"/>
    </row>
    <row r="4607" spans="2:2">
      <c r="B4607" s="24"/>
    </row>
    <row r="4608" spans="2:2">
      <c r="B4608" s="24"/>
    </row>
    <row r="4609" spans="2:2">
      <c r="B4609" s="24"/>
    </row>
    <row r="4610" spans="2:2">
      <c r="B4610" s="24"/>
    </row>
    <row r="4611" spans="2:2">
      <c r="B4611" s="24"/>
    </row>
    <row r="4612" spans="2:2">
      <c r="B4612" s="24"/>
    </row>
    <row r="4613" spans="2:2">
      <c r="B4613" s="24"/>
    </row>
    <row r="4614" spans="2:2">
      <c r="B4614" s="24"/>
    </row>
    <row r="4615" spans="2:2">
      <c r="B4615" s="24"/>
    </row>
    <row r="4616" spans="2:2">
      <c r="B4616" s="24"/>
    </row>
    <row r="4617" spans="2:2">
      <c r="B4617" s="24"/>
    </row>
    <row r="4618" spans="2:2">
      <c r="B4618" s="24"/>
    </row>
    <row r="4619" spans="2:2">
      <c r="B4619" s="24"/>
    </row>
    <row r="4620" spans="2:2">
      <c r="B4620" s="24"/>
    </row>
    <row r="4621" spans="2:2">
      <c r="B4621" s="24"/>
    </row>
    <row r="4622" spans="2:2">
      <c r="B4622" s="24"/>
    </row>
    <row r="4623" spans="2:2">
      <c r="B4623" s="24"/>
    </row>
    <row r="4624" spans="2:2">
      <c r="B4624" s="24"/>
    </row>
    <row r="4625" spans="2:2">
      <c r="B4625" s="24"/>
    </row>
    <row r="4626" spans="2:2">
      <c r="B4626" s="24"/>
    </row>
    <row r="4627" spans="2:2">
      <c r="B4627" s="24"/>
    </row>
    <row r="4628" spans="2:2">
      <c r="B4628" s="24"/>
    </row>
    <row r="4629" spans="2:2">
      <c r="B4629" s="24"/>
    </row>
    <row r="4630" spans="2:2">
      <c r="B4630" s="24"/>
    </row>
    <row r="4631" spans="2:2">
      <c r="B4631" s="24"/>
    </row>
    <row r="4632" spans="2:2">
      <c r="B4632" s="24"/>
    </row>
    <row r="4633" spans="2:2">
      <c r="B4633" s="24"/>
    </row>
    <row r="4634" spans="2:2">
      <c r="B4634" s="24"/>
    </row>
    <row r="4635" spans="2:2">
      <c r="B4635" s="24"/>
    </row>
    <row r="4636" spans="2:2">
      <c r="B4636" s="24"/>
    </row>
    <row r="4637" spans="2:2">
      <c r="B4637" s="24"/>
    </row>
    <row r="4638" spans="2:2">
      <c r="B4638" s="24"/>
    </row>
    <row r="4639" spans="2:2">
      <c r="B4639" s="24"/>
    </row>
    <row r="4640" spans="2:2">
      <c r="B4640" s="24"/>
    </row>
    <row r="4641" spans="2:2">
      <c r="B4641" s="24"/>
    </row>
    <row r="4642" spans="2:2">
      <c r="B4642" s="24"/>
    </row>
    <row r="4643" spans="2:2">
      <c r="B4643" s="24"/>
    </row>
    <row r="4644" spans="2:2">
      <c r="B4644" s="24"/>
    </row>
    <row r="4645" spans="2:2">
      <c r="B4645" s="24"/>
    </row>
    <row r="4646" spans="2:2">
      <c r="B4646" s="24"/>
    </row>
    <row r="4647" spans="2:2">
      <c r="B4647" s="24"/>
    </row>
    <row r="4648" spans="2:2">
      <c r="B4648" s="24"/>
    </row>
    <row r="4649" spans="2:2">
      <c r="B4649" s="24"/>
    </row>
    <row r="4650" spans="2:2">
      <c r="B4650" s="24"/>
    </row>
    <row r="4651" spans="2:2">
      <c r="B4651" s="24"/>
    </row>
    <row r="4652" spans="2:2">
      <c r="B4652" s="24"/>
    </row>
    <row r="4653" spans="2:2">
      <c r="B4653" s="24"/>
    </row>
    <row r="4654" spans="2:2">
      <c r="B4654" s="24"/>
    </row>
    <row r="4655" spans="2:2">
      <c r="B4655" s="24"/>
    </row>
    <row r="4656" spans="2:2">
      <c r="B4656" s="24"/>
    </row>
    <row r="4657" spans="2:2">
      <c r="B4657" s="24"/>
    </row>
    <row r="4658" spans="2:2">
      <c r="B4658" s="24"/>
    </row>
    <row r="4659" spans="2:2">
      <c r="B4659" s="24"/>
    </row>
    <row r="4660" spans="2:2">
      <c r="B4660" s="24"/>
    </row>
    <row r="4661" spans="2:2">
      <c r="B4661" s="24"/>
    </row>
    <row r="4662" spans="2:2">
      <c r="B4662" s="24"/>
    </row>
    <row r="4663" spans="2:2">
      <c r="B4663" s="24"/>
    </row>
    <row r="4664" spans="2:2">
      <c r="B4664" s="24"/>
    </row>
    <row r="4665" spans="2:2">
      <c r="B4665" s="24"/>
    </row>
    <row r="4666" spans="2:2">
      <c r="B4666" s="24"/>
    </row>
    <row r="4667" spans="2:2">
      <c r="B4667" s="24"/>
    </row>
    <row r="4668" spans="2:2">
      <c r="B4668" s="24"/>
    </row>
    <row r="4669" spans="2:2">
      <c r="B4669" s="24"/>
    </row>
    <row r="4670" spans="2:2">
      <c r="B4670" s="24"/>
    </row>
    <row r="4671" spans="2:2">
      <c r="B4671" s="24"/>
    </row>
    <row r="4672" spans="2:2">
      <c r="B4672" s="24"/>
    </row>
    <row r="4673" spans="2:2">
      <c r="B4673" s="24"/>
    </row>
    <row r="4674" spans="2:2">
      <c r="B4674" s="24"/>
    </row>
    <row r="4675" spans="2:2">
      <c r="B4675" s="24"/>
    </row>
    <row r="4676" spans="2:2">
      <c r="B4676" s="24"/>
    </row>
    <row r="4677" spans="2:2">
      <c r="B4677" s="24"/>
    </row>
    <row r="4678" spans="2:2">
      <c r="B4678" s="24"/>
    </row>
    <row r="4679" spans="2:2">
      <c r="B4679" s="24"/>
    </row>
    <row r="4680" spans="2:2">
      <c r="B4680" s="24"/>
    </row>
    <row r="4681" spans="2:2">
      <c r="B4681" s="24"/>
    </row>
    <row r="4682" spans="2:2">
      <c r="B4682" s="24"/>
    </row>
    <row r="4683" spans="2:2">
      <c r="B4683" s="24"/>
    </row>
    <row r="4684" spans="2:2">
      <c r="B4684" s="24"/>
    </row>
    <row r="4685" spans="2:2">
      <c r="B4685" s="24"/>
    </row>
    <row r="4686" spans="2:2">
      <c r="B4686" s="24"/>
    </row>
    <row r="4687" spans="2:2">
      <c r="B4687" s="24"/>
    </row>
    <row r="4688" spans="2:2">
      <c r="B4688" s="24"/>
    </row>
    <row r="4689" spans="2:2">
      <c r="B4689" s="24"/>
    </row>
    <row r="4690" spans="2:2">
      <c r="B4690" s="24"/>
    </row>
    <row r="4691" spans="2:2">
      <c r="B4691" s="24"/>
    </row>
    <row r="4692" spans="2:2">
      <c r="B4692" s="24"/>
    </row>
    <row r="4693" spans="2:2">
      <c r="B4693" s="24"/>
    </row>
    <row r="4694" spans="2:2">
      <c r="B4694" s="24"/>
    </row>
    <row r="4695" spans="2:2">
      <c r="B4695" s="24"/>
    </row>
    <row r="4696" spans="2:2">
      <c r="B4696" s="24"/>
    </row>
    <row r="4697" spans="2:2">
      <c r="B4697" s="24"/>
    </row>
    <row r="4698" spans="2:2">
      <c r="B4698" s="24"/>
    </row>
    <row r="4699" spans="2:2">
      <c r="B4699" s="24"/>
    </row>
    <row r="4700" spans="2:2">
      <c r="B4700" s="24"/>
    </row>
    <row r="4701" spans="2:2">
      <c r="B4701" s="24"/>
    </row>
    <row r="4702" spans="2:2">
      <c r="B4702" s="24"/>
    </row>
    <row r="4703" spans="2:2">
      <c r="B4703" s="24"/>
    </row>
    <row r="4704" spans="2:2">
      <c r="B4704" s="24"/>
    </row>
    <row r="4705" spans="2:2">
      <c r="B4705" s="24"/>
    </row>
    <row r="4706" spans="2:2">
      <c r="B4706" s="24"/>
    </row>
    <row r="4707" spans="2:2">
      <c r="B4707" s="24"/>
    </row>
    <row r="4708" spans="2:2">
      <c r="B4708" s="24"/>
    </row>
    <row r="4709" spans="2:2">
      <c r="B4709" s="24"/>
    </row>
    <row r="4710" spans="2:2">
      <c r="B4710" s="24"/>
    </row>
    <row r="4711" spans="2:2">
      <c r="B4711" s="24"/>
    </row>
    <row r="4712" spans="2:2">
      <c r="B4712" s="24"/>
    </row>
    <row r="4713" spans="2:2">
      <c r="B4713" s="24"/>
    </row>
    <row r="4714" spans="2:2">
      <c r="B4714" s="24"/>
    </row>
    <row r="4715" spans="2:2">
      <c r="B4715" s="24"/>
    </row>
    <row r="4716" spans="2:2">
      <c r="B4716" s="24"/>
    </row>
    <row r="4717" spans="2:2">
      <c r="B4717" s="24"/>
    </row>
    <row r="4718" spans="2:2">
      <c r="B4718" s="24"/>
    </row>
    <row r="4719" spans="2:2">
      <c r="B4719" s="24"/>
    </row>
    <row r="4720" spans="2:2">
      <c r="B4720" s="24"/>
    </row>
    <row r="4721" spans="2:2">
      <c r="B4721" s="24"/>
    </row>
    <row r="4722" spans="2:2">
      <c r="B4722" s="24"/>
    </row>
    <row r="4723" spans="2:2">
      <c r="B4723" s="24"/>
    </row>
    <row r="4724" spans="2:2">
      <c r="B4724" s="24"/>
    </row>
    <row r="4725" spans="2:2">
      <c r="B4725" s="24"/>
    </row>
    <row r="4726" spans="2:2">
      <c r="B4726" s="24"/>
    </row>
    <row r="4727" spans="2:2">
      <c r="B4727" s="24"/>
    </row>
    <row r="4728" spans="2:2">
      <c r="B4728" s="24"/>
    </row>
    <row r="4729" spans="2:2">
      <c r="B4729" s="24"/>
    </row>
    <row r="4730" spans="2:2">
      <c r="B4730" s="24"/>
    </row>
    <row r="4731" spans="2:2">
      <c r="B4731" s="24"/>
    </row>
    <row r="4732" spans="2:2">
      <c r="B4732" s="24"/>
    </row>
    <row r="4733" spans="2:2">
      <c r="B4733" s="24"/>
    </row>
    <row r="4734" spans="2:2">
      <c r="B4734" s="24"/>
    </row>
    <row r="4735" spans="2:2">
      <c r="B4735" s="24"/>
    </row>
    <row r="4736" spans="2:2">
      <c r="B4736" s="24"/>
    </row>
    <row r="4737" spans="2:2">
      <c r="B4737" s="24"/>
    </row>
    <row r="4738" spans="2:2">
      <c r="B4738" s="24"/>
    </row>
    <row r="4739" spans="2:2">
      <c r="B4739" s="24"/>
    </row>
    <row r="4740" spans="2:2">
      <c r="B4740" s="24"/>
    </row>
    <row r="4741" spans="2:2">
      <c r="B4741" s="24"/>
    </row>
    <row r="4742" spans="2:2">
      <c r="B4742" s="24"/>
    </row>
    <row r="4743" spans="2:2">
      <c r="B4743" s="24"/>
    </row>
    <row r="4744" spans="2:2">
      <c r="B4744" s="24"/>
    </row>
    <row r="4745" spans="2:2">
      <c r="B4745" s="24"/>
    </row>
    <row r="4746" spans="2:2">
      <c r="B4746" s="24"/>
    </row>
    <row r="4747" spans="2:2">
      <c r="B4747" s="24"/>
    </row>
    <row r="4748" spans="2:2">
      <c r="B4748" s="24"/>
    </row>
    <row r="4749" spans="2:2">
      <c r="B4749" s="24"/>
    </row>
    <row r="4750" spans="2:2">
      <c r="B4750" s="24"/>
    </row>
    <row r="4751" spans="2:2">
      <c r="B4751" s="24"/>
    </row>
    <row r="4752" spans="2:2">
      <c r="B4752" s="24"/>
    </row>
    <row r="4753" spans="2:2">
      <c r="B4753" s="24"/>
    </row>
    <row r="4754" spans="2:2">
      <c r="B4754" s="24"/>
    </row>
    <row r="4755" spans="2:2">
      <c r="B4755" s="24"/>
    </row>
    <row r="4756" spans="2:2">
      <c r="B4756" s="24"/>
    </row>
    <row r="4757" spans="2:2">
      <c r="B4757" s="24"/>
    </row>
    <row r="4758" spans="2:2">
      <c r="B4758" s="24"/>
    </row>
    <row r="4759" spans="2:2">
      <c r="B4759" s="24"/>
    </row>
    <row r="4760" spans="2:2">
      <c r="B4760" s="24"/>
    </row>
    <row r="4761" spans="2:2">
      <c r="B4761" s="24"/>
    </row>
    <row r="4762" spans="2:2">
      <c r="B4762" s="24"/>
    </row>
    <row r="4763" spans="2:2">
      <c r="B4763" s="24"/>
    </row>
    <row r="4764" spans="2:2">
      <c r="B4764" s="24"/>
    </row>
    <row r="4765" spans="2:2">
      <c r="B4765" s="24"/>
    </row>
    <row r="4766" spans="2:2">
      <c r="B4766" s="24"/>
    </row>
    <row r="4767" spans="2:2">
      <c r="B4767" s="24"/>
    </row>
    <row r="4768" spans="2:2">
      <c r="B4768" s="24"/>
    </row>
    <row r="4769" spans="2:2">
      <c r="B4769" s="24"/>
    </row>
    <row r="4770" spans="2:2">
      <c r="B4770" s="24"/>
    </row>
    <row r="4771" spans="2:2">
      <c r="B4771" s="24"/>
    </row>
    <row r="4772" spans="2:2">
      <c r="B4772" s="24"/>
    </row>
    <row r="4773" spans="2:2">
      <c r="B4773" s="24"/>
    </row>
    <row r="4774" spans="2:2">
      <c r="B4774" s="24"/>
    </row>
    <row r="4775" spans="2:2">
      <c r="B4775" s="24"/>
    </row>
    <row r="4776" spans="2:2">
      <c r="B4776" s="24"/>
    </row>
    <row r="4777" spans="2:2">
      <c r="B4777" s="24"/>
    </row>
    <row r="4778" spans="2:2">
      <c r="B4778" s="24"/>
    </row>
    <row r="4779" spans="2:2">
      <c r="B4779" s="24"/>
    </row>
    <row r="4780" spans="2:2">
      <c r="B4780" s="24"/>
    </row>
    <row r="4781" spans="2:2">
      <c r="B4781" s="24"/>
    </row>
    <row r="4782" spans="2:2">
      <c r="B4782" s="24"/>
    </row>
    <row r="4783" spans="2:2">
      <c r="B4783" s="24"/>
    </row>
    <row r="4784" spans="2:2">
      <c r="B4784" s="24"/>
    </row>
    <row r="4785" spans="2:2">
      <c r="B4785" s="24"/>
    </row>
    <row r="4786" spans="2:2">
      <c r="B4786" s="24"/>
    </row>
    <row r="4787" spans="2:2">
      <c r="B4787" s="24"/>
    </row>
    <row r="4788" spans="2:2">
      <c r="B4788" s="24"/>
    </row>
    <row r="4789" spans="2:2">
      <c r="B4789" s="24"/>
    </row>
    <row r="4790" spans="2:2">
      <c r="B4790" s="24"/>
    </row>
    <row r="4791" spans="2:2">
      <c r="B4791" s="24"/>
    </row>
    <row r="4792" spans="2:2">
      <c r="B4792" s="24"/>
    </row>
    <row r="4793" spans="2:2">
      <c r="B4793" s="24"/>
    </row>
    <row r="4794" spans="2:2">
      <c r="B4794" s="24"/>
    </row>
    <row r="4795" spans="2:2">
      <c r="B4795" s="24"/>
    </row>
    <row r="4796" spans="2:2">
      <c r="B4796" s="24"/>
    </row>
    <row r="4797" spans="2:2">
      <c r="B4797" s="24"/>
    </row>
    <row r="4798" spans="2:2">
      <c r="B4798" s="24"/>
    </row>
    <row r="4799" spans="2:2">
      <c r="B4799" s="24"/>
    </row>
    <row r="4800" spans="2:2">
      <c r="B4800" s="24"/>
    </row>
    <row r="4801" spans="2:2">
      <c r="B4801" s="24"/>
    </row>
    <row r="4802" spans="2:2">
      <c r="B4802" s="24"/>
    </row>
    <row r="4803" spans="2:2">
      <c r="B4803" s="24"/>
    </row>
    <row r="4804" spans="2:2">
      <c r="B4804" s="24"/>
    </row>
    <row r="4805" spans="2:2">
      <c r="B4805" s="24"/>
    </row>
    <row r="4806" spans="2:2">
      <c r="B4806" s="24"/>
    </row>
    <row r="4807" spans="2:2">
      <c r="B4807" s="24"/>
    </row>
    <row r="4808" spans="2:2">
      <c r="B4808" s="24"/>
    </row>
    <row r="4809" spans="2:2">
      <c r="B4809" s="24"/>
    </row>
    <row r="4810" spans="2:2">
      <c r="B4810" s="24"/>
    </row>
    <row r="4811" spans="2:2">
      <c r="B4811" s="24"/>
    </row>
    <row r="4812" spans="2:2">
      <c r="B4812" s="24"/>
    </row>
    <row r="4813" spans="2:2">
      <c r="B4813" s="24"/>
    </row>
    <row r="4814" spans="2:2">
      <c r="B4814" s="24"/>
    </row>
    <row r="4815" spans="2:2">
      <c r="B4815" s="24"/>
    </row>
    <row r="4816" spans="2:2">
      <c r="B4816" s="24"/>
    </row>
    <row r="4817" spans="2:2">
      <c r="B4817" s="24"/>
    </row>
    <row r="4818" spans="2:2">
      <c r="B4818" s="24"/>
    </row>
    <row r="4819" spans="2:2">
      <c r="B4819" s="24"/>
    </row>
    <row r="4820" spans="2:2">
      <c r="B4820" s="24"/>
    </row>
    <row r="4821" spans="2:2">
      <c r="B4821" s="24"/>
    </row>
    <row r="4822" spans="2:2">
      <c r="B4822" s="24"/>
    </row>
    <row r="4823" spans="2:2">
      <c r="B4823" s="24"/>
    </row>
    <row r="4824" spans="2:2">
      <c r="B4824" s="24"/>
    </row>
    <row r="4825" spans="2:2">
      <c r="B4825" s="24"/>
    </row>
    <row r="4826" spans="2:2">
      <c r="B4826" s="24"/>
    </row>
    <row r="4827" spans="2:2">
      <c r="B4827" s="24"/>
    </row>
    <row r="4828" spans="2:2">
      <c r="B4828" s="24"/>
    </row>
    <row r="4829" spans="2:2">
      <c r="B4829" s="24"/>
    </row>
    <row r="4830" spans="2:2">
      <c r="B4830" s="24"/>
    </row>
    <row r="4831" spans="2:2">
      <c r="B4831" s="24"/>
    </row>
    <row r="4832" spans="2:2">
      <c r="B4832" s="24"/>
    </row>
    <row r="4833" spans="2:2">
      <c r="B4833" s="24"/>
    </row>
    <row r="4834" spans="2:2">
      <c r="B4834" s="24"/>
    </row>
    <row r="4835" spans="2:2">
      <c r="B4835" s="24"/>
    </row>
    <row r="4836" spans="2:2">
      <c r="B4836" s="24"/>
    </row>
    <row r="4837" spans="2:2">
      <c r="B4837" s="24"/>
    </row>
    <row r="4838" spans="2:2">
      <c r="B4838" s="24"/>
    </row>
    <row r="4839" spans="2:2">
      <c r="B4839" s="24"/>
    </row>
    <row r="4840" spans="2:2">
      <c r="B4840" s="24"/>
    </row>
    <row r="4841" spans="2:2">
      <c r="B4841" s="24"/>
    </row>
    <row r="4842" spans="2:2">
      <c r="B4842" s="24"/>
    </row>
    <row r="4843" spans="2:2">
      <c r="B4843" s="24"/>
    </row>
    <row r="4844" spans="2:2">
      <c r="B4844" s="24"/>
    </row>
    <row r="4845" spans="2:2">
      <c r="B4845" s="24"/>
    </row>
    <row r="4846" spans="2:2">
      <c r="B4846" s="24"/>
    </row>
    <row r="4847" spans="2:2">
      <c r="B4847" s="24"/>
    </row>
    <row r="4848" spans="2:2">
      <c r="B4848" s="24"/>
    </row>
    <row r="4849" spans="2:2">
      <c r="B4849" s="24"/>
    </row>
    <row r="4850" spans="2:2">
      <c r="B4850" s="24"/>
    </row>
    <row r="4851" spans="2:2">
      <c r="B4851" s="24"/>
    </row>
    <row r="4852" spans="2:2">
      <c r="B4852" s="24"/>
    </row>
    <row r="4853" spans="2:2">
      <c r="B4853" s="24"/>
    </row>
    <row r="4854" spans="2:2">
      <c r="B4854" s="24"/>
    </row>
    <row r="4855" spans="2:2">
      <c r="B4855" s="24"/>
    </row>
    <row r="4856" spans="2:2">
      <c r="B4856" s="24"/>
    </row>
    <row r="4857" spans="2:2">
      <c r="B4857" s="24"/>
    </row>
    <row r="4858" spans="2:2">
      <c r="B4858" s="24"/>
    </row>
    <row r="4859" spans="2:2">
      <c r="B4859" s="24"/>
    </row>
    <row r="4860" spans="2:2">
      <c r="B4860" s="24"/>
    </row>
    <row r="4861" spans="2:2">
      <c r="B4861" s="24"/>
    </row>
    <row r="4862" spans="2:2">
      <c r="B4862" s="24"/>
    </row>
    <row r="4863" spans="2:2">
      <c r="B4863" s="24"/>
    </row>
    <row r="4864" spans="2:2">
      <c r="B4864" s="24"/>
    </row>
    <row r="4865" spans="2:2">
      <c r="B4865" s="24"/>
    </row>
    <row r="4866" spans="2:2">
      <c r="B4866" s="24"/>
    </row>
    <row r="4867" spans="2:2">
      <c r="B4867" s="24"/>
    </row>
    <row r="4868" spans="2:2">
      <c r="B4868" s="24"/>
    </row>
    <row r="4869" spans="2:2">
      <c r="B4869" s="24"/>
    </row>
    <row r="4870" spans="2:2">
      <c r="B4870" s="24"/>
    </row>
    <row r="4871" spans="2:2">
      <c r="B4871" s="24"/>
    </row>
    <row r="4872" spans="2:2">
      <c r="B4872" s="24"/>
    </row>
    <row r="4873" spans="2:2">
      <c r="B4873" s="24"/>
    </row>
    <row r="4874" spans="2:2">
      <c r="B4874" s="24"/>
    </row>
    <row r="4875" spans="2:2">
      <c r="B4875" s="24"/>
    </row>
    <row r="4876" spans="2:2">
      <c r="B4876" s="24"/>
    </row>
    <row r="4877" spans="2:2">
      <c r="B4877" s="24"/>
    </row>
    <row r="4878" spans="2:2">
      <c r="B4878" s="24"/>
    </row>
    <row r="4879" spans="2:2">
      <c r="B4879" s="24"/>
    </row>
    <row r="4880" spans="2:2">
      <c r="B4880" s="24"/>
    </row>
    <row r="4881" spans="2:2">
      <c r="B4881" s="24"/>
    </row>
    <row r="4882" spans="2:2">
      <c r="B4882" s="24"/>
    </row>
    <row r="4883" spans="2:2">
      <c r="B4883" s="24"/>
    </row>
    <row r="4884" spans="2:2">
      <c r="B4884" s="24"/>
    </row>
    <row r="4885" spans="2:2">
      <c r="B4885" s="24"/>
    </row>
    <row r="4886" spans="2:2">
      <c r="B4886" s="24"/>
    </row>
    <row r="4887" spans="2:2">
      <c r="B4887" s="24"/>
    </row>
    <row r="4888" spans="2:2">
      <c r="B4888" s="24"/>
    </row>
    <row r="4889" spans="2:2">
      <c r="B4889" s="24"/>
    </row>
    <row r="4890" spans="2:2">
      <c r="B4890" s="24"/>
    </row>
    <row r="4891" spans="2:2">
      <c r="B4891" s="24"/>
    </row>
    <row r="4892" spans="2:2">
      <c r="B4892" s="24"/>
    </row>
    <row r="4893" spans="2:2">
      <c r="B4893" s="24"/>
    </row>
    <row r="4894" spans="2:2">
      <c r="B4894" s="24"/>
    </row>
    <row r="4895" spans="2:2">
      <c r="B4895" s="24"/>
    </row>
    <row r="4896" spans="2:2">
      <c r="B4896" s="24"/>
    </row>
    <row r="4897" spans="2:2">
      <c r="B4897" s="24"/>
    </row>
    <row r="4898" spans="2:2">
      <c r="B4898" s="24"/>
    </row>
    <row r="4899" spans="2:2">
      <c r="B4899" s="24"/>
    </row>
    <row r="4900" spans="2:2">
      <c r="B4900" s="24"/>
    </row>
    <row r="4901" spans="2:2">
      <c r="B4901" s="24"/>
    </row>
    <row r="4902" spans="2:2">
      <c r="B4902" s="24"/>
    </row>
    <row r="4903" spans="2:2">
      <c r="B4903" s="24"/>
    </row>
    <row r="4904" spans="2:2">
      <c r="B4904" s="24"/>
    </row>
    <row r="4905" spans="2:2">
      <c r="B4905" s="24"/>
    </row>
    <row r="4906" spans="2:2">
      <c r="B4906" s="24"/>
    </row>
    <row r="4907" spans="2:2">
      <c r="B4907" s="24"/>
    </row>
    <row r="4908" spans="2:2">
      <c r="B4908" s="24"/>
    </row>
    <row r="4909" spans="2:2">
      <c r="B4909" s="24"/>
    </row>
    <row r="4910" spans="2:2">
      <c r="B4910" s="24"/>
    </row>
    <row r="4911" spans="2:2">
      <c r="B4911" s="24"/>
    </row>
    <row r="4912" spans="2:2">
      <c r="B4912" s="24"/>
    </row>
    <row r="4913" spans="2:2">
      <c r="B4913" s="24"/>
    </row>
    <row r="4914" spans="2:2">
      <c r="B4914" s="24"/>
    </row>
    <row r="4915" spans="2:2">
      <c r="B4915" s="24"/>
    </row>
    <row r="4916" spans="2:2">
      <c r="B4916" s="24"/>
    </row>
    <row r="4917" spans="2:2">
      <c r="B4917" s="24"/>
    </row>
    <row r="4918" spans="2:2">
      <c r="B4918" s="24"/>
    </row>
    <row r="4919" spans="2:2">
      <c r="B4919" s="24"/>
    </row>
    <row r="4920" spans="2:2">
      <c r="B4920" s="24"/>
    </row>
    <row r="4921" spans="2:2">
      <c r="B4921" s="24"/>
    </row>
    <row r="4922" spans="2:2">
      <c r="B4922" s="24"/>
    </row>
    <row r="4923" spans="2:2">
      <c r="B4923" s="24"/>
    </row>
    <row r="4924" spans="2:2">
      <c r="B4924" s="24"/>
    </row>
    <row r="4925" spans="2:2">
      <c r="B4925" s="24"/>
    </row>
    <row r="4926" spans="2:2">
      <c r="B4926" s="24"/>
    </row>
    <row r="4927" spans="2:2">
      <c r="B4927" s="24"/>
    </row>
    <row r="4928" spans="2:2">
      <c r="B4928" s="24"/>
    </row>
    <row r="4929" spans="2:2">
      <c r="B4929" s="24"/>
    </row>
    <row r="4930" spans="2:2">
      <c r="B4930" s="24"/>
    </row>
    <row r="4931" spans="2:2">
      <c r="B4931" s="24"/>
    </row>
    <row r="4932" spans="2:2">
      <c r="B4932" s="24"/>
    </row>
    <row r="4933" spans="2:2">
      <c r="B4933" s="24"/>
    </row>
    <row r="4934" spans="2:2">
      <c r="B4934" s="24"/>
    </row>
    <row r="4935" spans="2:2">
      <c r="B4935" s="24"/>
    </row>
    <row r="4936" spans="2:2">
      <c r="B4936" s="24"/>
    </row>
    <row r="4937" spans="2:2">
      <c r="B4937" s="24"/>
    </row>
    <row r="4938" spans="2:2">
      <c r="B4938" s="24"/>
    </row>
    <row r="4939" spans="2:2">
      <c r="B4939" s="24"/>
    </row>
    <row r="4940" spans="2:2">
      <c r="B4940" s="24"/>
    </row>
    <row r="4941" spans="2:2">
      <c r="B4941" s="24"/>
    </row>
    <row r="4942" spans="2:2">
      <c r="B4942" s="24"/>
    </row>
    <row r="4943" spans="2:2">
      <c r="B4943" s="24"/>
    </row>
    <row r="4944" spans="2:2">
      <c r="B4944" s="24"/>
    </row>
    <row r="4945" spans="2:2">
      <c r="B4945" s="24"/>
    </row>
    <row r="4946" spans="2:2">
      <c r="B4946" s="24"/>
    </row>
    <row r="4947" spans="2:2">
      <c r="B4947" s="24"/>
    </row>
    <row r="4948" spans="2:2">
      <c r="B4948" s="24"/>
    </row>
    <row r="4949" spans="2:2">
      <c r="B4949" s="24"/>
    </row>
    <row r="4950" spans="2:2">
      <c r="B4950" s="24"/>
    </row>
    <row r="4951" spans="2:2">
      <c r="B4951" s="24"/>
    </row>
    <row r="4952" spans="2:2">
      <c r="B4952" s="24"/>
    </row>
    <row r="4953" spans="2:2">
      <c r="B4953" s="24"/>
    </row>
    <row r="4954" spans="2:2">
      <c r="B4954" s="24"/>
    </row>
    <row r="4955" spans="2:2">
      <c r="B4955" s="24"/>
    </row>
    <row r="4956" spans="2:2">
      <c r="B4956" s="24"/>
    </row>
    <row r="4957" spans="2:2">
      <c r="B4957" s="24"/>
    </row>
    <row r="4958" spans="2:2">
      <c r="B4958" s="24"/>
    </row>
    <row r="4959" spans="2:2">
      <c r="B4959" s="24"/>
    </row>
    <row r="4960" spans="2:2">
      <c r="B4960" s="24"/>
    </row>
    <row r="4961" spans="2:2">
      <c r="B4961" s="24"/>
    </row>
    <row r="4962" spans="2:2">
      <c r="B4962" s="24"/>
    </row>
    <row r="4963" spans="2:2">
      <c r="B4963" s="24"/>
    </row>
    <row r="4964" spans="2:2">
      <c r="B4964" s="24"/>
    </row>
    <row r="4965" spans="2:2">
      <c r="B4965" s="24"/>
    </row>
    <row r="4966" spans="2:2">
      <c r="B4966" s="24"/>
    </row>
    <row r="4967" spans="2:2">
      <c r="B4967" s="24"/>
    </row>
    <row r="4968" spans="2:2">
      <c r="B4968" s="24"/>
    </row>
    <row r="4969" spans="2:2">
      <c r="B4969" s="24"/>
    </row>
    <row r="4970" spans="2:2">
      <c r="B4970" s="24"/>
    </row>
    <row r="4971" spans="2:2">
      <c r="B4971" s="24"/>
    </row>
    <row r="4972" spans="2:2">
      <c r="B4972" s="24"/>
    </row>
    <row r="4973" spans="2:2">
      <c r="B4973" s="24"/>
    </row>
    <row r="4974" spans="2:2">
      <c r="B4974" s="24"/>
    </row>
    <row r="4975" spans="2:2">
      <c r="B4975" s="24"/>
    </row>
    <row r="4976" spans="2:2">
      <c r="B4976" s="24"/>
    </row>
    <row r="4977" spans="2:2">
      <c r="B4977" s="24"/>
    </row>
    <row r="4978" spans="2:2">
      <c r="B4978" s="24"/>
    </row>
    <row r="4979" spans="2:2">
      <c r="B4979" s="24"/>
    </row>
    <row r="4980" spans="2:2">
      <c r="B4980" s="24"/>
    </row>
    <row r="4981" spans="2:2">
      <c r="B4981" s="24"/>
    </row>
    <row r="4982" spans="2:2">
      <c r="B4982" s="24"/>
    </row>
    <row r="4983" spans="2:2">
      <c r="B4983" s="24"/>
    </row>
    <row r="4984" spans="2:2">
      <c r="B4984" s="24"/>
    </row>
    <row r="4985" spans="2:2">
      <c r="B4985" s="24"/>
    </row>
    <row r="4986" spans="2:2">
      <c r="B4986" s="24"/>
    </row>
    <row r="4987" spans="2:2">
      <c r="B4987" s="24"/>
    </row>
    <row r="4988" spans="2:2">
      <c r="B4988" s="24"/>
    </row>
    <row r="4989" spans="2:2">
      <c r="B4989" s="24"/>
    </row>
    <row r="4990" spans="2:2">
      <c r="B4990" s="24"/>
    </row>
    <row r="4991" spans="2:2">
      <c r="B4991" s="24"/>
    </row>
    <row r="4992" spans="2:2">
      <c r="B4992" s="24"/>
    </row>
    <row r="4993" spans="2:2">
      <c r="B4993" s="24"/>
    </row>
    <row r="4994" spans="2:2">
      <c r="B4994" s="24"/>
    </row>
    <row r="4995" spans="2:2">
      <c r="B4995" s="24"/>
    </row>
    <row r="4996" spans="2:2">
      <c r="B4996" s="24"/>
    </row>
    <row r="4997" spans="2:2">
      <c r="B4997" s="24"/>
    </row>
    <row r="4998" spans="2:2">
      <c r="B4998" s="24"/>
    </row>
    <row r="4999" spans="2:2">
      <c r="B4999" s="24"/>
    </row>
    <row r="5000" spans="2:2">
      <c r="B5000" s="24"/>
    </row>
    <row r="5001" spans="2:2">
      <c r="B5001" s="24"/>
    </row>
    <row r="5002" spans="2:2">
      <c r="B5002" s="24"/>
    </row>
    <row r="5003" spans="2:2">
      <c r="B5003" s="24"/>
    </row>
    <row r="5004" spans="2:2">
      <c r="B5004" s="24"/>
    </row>
    <row r="5005" spans="2:2">
      <c r="B5005" s="24"/>
    </row>
    <row r="5006" spans="2:2">
      <c r="B5006" s="24"/>
    </row>
    <row r="5007" spans="2:2">
      <c r="B5007" s="24"/>
    </row>
    <row r="5008" spans="2:2">
      <c r="B5008" s="24"/>
    </row>
    <row r="5009" spans="2:2">
      <c r="B5009" s="24"/>
    </row>
    <row r="5010" spans="2:2">
      <c r="B5010" s="24"/>
    </row>
    <row r="5011" spans="2:2">
      <c r="B5011" s="24"/>
    </row>
    <row r="5012" spans="2:2">
      <c r="B5012" s="24"/>
    </row>
    <row r="5013" spans="2:2">
      <c r="B5013" s="24"/>
    </row>
    <row r="5014" spans="2:2">
      <c r="B5014" s="24"/>
    </row>
    <row r="5015" spans="2:2">
      <c r="B5015" s="24"/>
    </row>
    <row r="5016" spans="2:2">
      <c r="B5016" s="24"/>
    </row>
    <row r="5017" spans="2:2">
      <c r="B5017" s="24"/>
    </row>
    <row r="5018" spans="2:2">
      <c r="B5018" s="24"/>
    </row>
    <row r="5019" spans="2:2">
      <c r="B5019" s="24"/>
    </row>
    <row r="5020" spans="2:2">
      <c r="B5020" s="24"/>
    </row>
    <row r="5021" spans="2:2">
      <c r="B5021" s="24"/>
    </row>
    <row r="5022" spans="2:2">
      <c r="B5022" s="24"/>
    </row>
    <row r="5023" spans="2:2">
      <c r="B5023" s="24"/>
    </row>
    <row r="5024" spans="2:2">
      <c r="B5024" s="24"/>
    </row>
    <row r="5025" spans="2:2">
      <c r="B5025" s="24"/>
    </row>
    <row r="5026" spans="2:2">
      <c r="B5026" s="24"/>
    </row>
    <row r="5027" spans="2:2">
      <c r="B5027" s="24"/>
    </row>
    <row r="5028" spans="2:2">
      <c r="B5028" s="24"/>
    </row>
    <row r="5029" spans="2:2">
      <c r="B5029" s="24"/>
    </row>
    <row r="5030" spans="2:2">
      <c r="B5030" s="24"/>
    </row>
    <row r="5031" spans="2:2">
      <c r="B5031" s="24"/>
    </row>
    <row r="5032" spans="2:2">
      <c r="B5032" s="24"/>
    </row>
    <row r="5033" spans="2:2">
      <c r="B5033" s="24"/>
    </row>
    <row r="5034" spans="2:2">
      <c r="B5034" s="24"/>
    </row>
    <row r="5035" spans="2:2">
      <c r="B5035" s="24"/>
    </row>
    <row r="5036" spans="2:2">
      <c r="B5036" s="24"/>
    </row>
    <row r="5037" spans="2:2">
      <c r="B5037" s="24"/>
    </row>
    <row r="5038" spans="2:2">
      <c r="B5038" s="24"/>
    </row>
    <row r="5039" spans="2:2">
      <c r="B5039" s="24"/>
    </row>
    <row r="5040" spans="2:2">
      <c r="B5040" s="24"/>
    </row>
    <row r="5041" spans="2:2">
      <c r="B5041" s="24"/>
    </row>
    <row r="5042" spans="2:2">
      <c r="B5042" s="24"/>
    </row>
    <row r="5043" spans="2:2">
      <c r="B5043" s="24"/>
    </row>
    <row r="5044" spans="2:2">
      <c r="B5044" s="24"/>
    </row>
    <row r="5045" spans="2:2">
      <c r="B5045" s="24"/>
    </row>
    <row r="5046" spans="2:2">
      <c r="B5046" s="24"/>
    </row>
    <row r="5047" spans="2:2">
      <c r="B5047" s="24"/>
    </row>
    <row r="5048" spans="2:2">
      <c r="B5048" s="24"/>
    </row>
    <row r="5049" spans="2:2">
      <c r="B5049" s="24"/>
    </row>
    <row r="5050" spans="2:2">
      <c r="B5050" s="24"/>
    </row>
    <row r="5051" spans="2:2">
      <c r="B5051" s="24"/>
    </row>
    <row r="5052" spans="2:2">
      <c r="B5052" s="24"/>
    </row>
    <row r="5053" spans="2:2">
      <c r="B5053" s="24"/>
    </row>
    <row r="5054" spans="2:2">
      <c r="B5054" s="24"/>
    </row>
    <row r="5055" spans="2:2">
      <c r="B5055" s="24"/>
    </row>
    <row r="5056" spans="2:2">
      <c r="B5056" s="24"/>
    </row>
    <row r="5057" spans="2:2">
      <c r="B5057" s="24"/>
    </row>
    <row r="5058" spans="2:2">
      <c r="B5058" s="24"/>
    </row>
    <row r="5059" spans="2:2">
      <c r="B5059" s="24"/>
    </row>
    <row r="5060" spans="2:2">
      <c r="B5060" s="24"/>
    </row>
    <row r="5061" spans="2:2">
      <c r="B5061" s="24"/>
    </row>
    <row r="5062" spans="2:2">
      <c r="B5062" s="24"/>
    </row>
    <row r="5063" spans="2:2">
      <c r="B5063" s="24"/>
    </row>
    <row r="5064" spans="2:2">
      <c r="B5064" s="24"/>
    </row>
    <row r="5065" spans="2:2">
      <c r="B5065" s="24"/>
    </row>
    <row r="5066" spans="2:2">
      <c r="B5066" s="24"/>
    </row>
    <row r="5067" spans="2:2">
      <c r="B5067" s="24"/>
    </row>
    <row r="5068" spans="2:2">
      <c r="B5068" s="24"/>
    </row>
    <row r="5069" spans="2:2">
      <c r="B5069" s="24"/>
    </row>
    <row r="5070" spans="2:2">
      <c r="B5070" s="24"/>
    </row>
    <row r="5071" spans="2:2">
      <c r="B5071" s="24"/>
    </row>
    <row r="5072" spans="2:2">
      <c r="B5072" s="24"/>
    </row>
    <row r="5073" spans="2:2">
      <c r="B5073" s="24"/>
    </row>
    <row r="5074" spans="2:2">
      <c r="B5074" s="24"/>
    </row>
    <row r="5075" spans="2:2">
      <c r="B5075" s="24"/>
    </row>
    <row r="5076" spans="2:2">
      <c r="B5076" s="24"/>
    </row>
    <row r="5077" spans="2:2">
      <c r="B5077" s="24"/>
    </row>
    <row r="5078" spans="2:2">
      <c r="B5078" s="24"/>
    </row>
    <row r="5079" spans="2:2">
      <c r="B5079" s="24"/>
    </row>
    <row r="5080" spans="2:2">
      <c r="B5080" s="24"/>
    </row>
    <row r="5081" spans="2:2">
      <c r="B5081" s="24"/>
    </row>
    <row r="5082" spans="2:2">
      <c r="B5082" s="24"/>
    </row>
    <row r="5083" spans="2:2">
      <c r="B5083" s="24"/>
    </row>
    <row r="5084" spans="2:2">
      <c r="B5084" s="24"/>
    </row>
    <row r="5085" spans="2:2">
      <c r="B5085" s="24"/>
    </row>
    <row r="5086" spans="2:2">
      <c r="B5086" s="24"/>
    </row>
    <row r="5087" spans="2:2">
      <c r="B5087" s="24"/>
    </row>
    <row r="5088" spans="2:2">
      <c r="B5088" s="24"/>
    </row>
    <row r="5089" spans="2:2">
      <c r="B5089" s="24"/>
    </row>
    <row r="5090" spans="2:2">
      <c r="B5090" s="24"/>
    </row>
    <row r="5091" spans="2:2">
      <c r="B5091" s="24"/>
    </row>
    <row r="5092" spans="2:2">
      <c r="B5092" s="24"/>
    </row>
    <row r="5093" spans="2:2">
      <c r="B5093" s="24"/>
    </row>
    <row r="5094" spans="2:2">
      <c r="B5094" s="24"/>
    </row>
    <row r="5095" spans="2:2">
      <c r="B5095" s="24"/>
    </row>
    <row r="5096" spans="2:2">
      <c r="B5096" s="24"/>
    </row>
    <row r="5097" spans="2:2">
      <c r="B5097" s="24"/>
    </row>
    <row r="5098" spans="2:2">
      <c r="B5098" s="24"/>
    </row>
    <row r="5099" spans="2:2">
      <c r="B5099" s="24"/>
    </row>
    <row r="5100" spans="2:2">
      <c r="B5100" s="24"/>
    </row>
    <row r="5101" spans="2:2">
      <c r="B5101" s="24"/>
    </row>
    <row r="5102" spans="2:2">
      <c r="B5102" s="24"/>
    </row>
    <row r="5103" spans="2:2">
      <c r="B5103" s="24"/>
    </row>
    <row r="5104" spans="2:2">
      <c r="B5104" s="24"/>
    </row>
    <row r="5105" spans="2:2">
      <c r="B5105" s="24"/>
    </row>
    <row r="5106" spans="2:2">
      <c r="B5106" s="24"/>
    </row>
    <row r="5107" spans="2:2">
      <c r="B5107" s="24"/>
    </row>
    <row r="5108" spans="2:2">
      <c r="B5108" s="24"/>
    </row>
    <row r="5109" spans="2:2">
      <c r="B5109" s="24"/>
    </row>
    <row r="5110" spans="2:2">
      <c r="B5110" s="24"/>
    </row>
    <row r="5111" spans="2:2">
      <c r="B5111" s="24"/>
    </row>
    <row r="5112" spans="2:2">
      <c r="B5112" s="24"/>
    </row>
    <row r="5113" spans="2:2">
      <c r="B5113" s="24"/>
    </row>
    <row r="5114" spans="2:2">
      <c r="B5114" s="24"/>
    </row>
    <row r="5115" spans="2:2">
      <c r="B5115" s="24"/>
    </row>
    <row r="5116" spans="2:2">
      <c r="B5116" s="24"/>
    </row>
    <row r="5117" spans="2:2">
      <c r="B5117" s="24"/>
    </row>
    <row r="5118" spans="2:2">
      <c r="B5118" s="24"/>
    </row>
    <row r="5119" spans="2:2">
      <c r="B5119" s="24"/>
    </row>
    <row r="5120" spans="2:2">
      <c r="B5120" s="24"/>
    </row>
    <row r="5121" spans="2:2">
      <c r="B5121" s="24"/>
    </row>
    <row r="5122" spans="2:2">
      <c r="B5122" s="24"/>
    </row>
    <row r="5123" spans="2:2">
      <c r="B5123" s="24"/>
    </row>
    <row r="5124" spans="2:2">
      <c r="B5124" s="24"/>
    </row>
    <row r="5125" spans="2:2">
      <c r="B5125" s="24"/>
    </row>
    <row r="5126" spans="2:2">
      <c r="B5126" s="24"/>
    </row>
    <row r="5127" spans="2:2">
      <c r="B5127" s="24"/>
    </row>
    <row r="5128" spans="2:2">
      <c r="B5128" s="24"/>
    </row>
    <row r="5129" spans="2:2">
      <c r="B5129" s="24"/>
    </row>
    <row r="5130" spans="2:2">
      <c r="B5130" s="24"/>
    </row>
    <row r="5131" spans="2:2">
      <c r="B5131" s="24"/>
    </row>
    <row r="5132" spans="2:2">
      <c r="B5132" s="24"/>
    </row>
    <row r="5133" spans="2:2">
      <c r="B5133" s="24"/>
    </row>
    <row r="5134" spans="2:2">
      <c r="B5134" s="24"/>
    </row>
    <row r="5135" spans="2:2">
      <c r="B5135" s="24"/>
    </row>
    <row r="5136" spans="2:2">
      <c r="B5136" s="24"/>
    </row>
    <row r="5137" spans="2:2">
      <c r="B5137" s="24"/>
    </row>
    <row r="5138" spans="2:2">
      <c r="B5138" s="24"/>
    </row>
    <row r="5139" spans="2:2">
      <c r="B5139" s="24"/>
    </row>
    <row r="5140" spans="2:2">
      <c r="B5140" s="24"/>
    </row>
    <row r="5141" spans="2:2">
      <c r="B5141" s="24"/>
    </row>
    <row r="5142" spans="2:2">
      <c r="B5142" s="24"/>
    </row>
    <row r="5143" spans="2:2">
      <c r="B5143" s="24"/>
    </row>
    <row r="5144" spans="2:2">
      <c r="B5144" s="24"/>
    </row>
    <row r="5145" spans="2:2">
      <c r="B5145" s="24"/>
    </row>
    <row r="5146" spans="2:2">
      <c r="B5146" s="24"/>
    </row>
    <row r="5147" spans="2:2">
      <c r="B5147" s="24"/>
    </row>
    <row r="5148" spans="2:2">
      <c r="B5148" s="24"/>
    </row>
    <row r="5149" spans="2:2">
      <c r="B5149" s="24"/>
    </row>
    <row r="5150" spans="2:2">
      <c r="B5150" s="24"/>
    </row>
    <row r="5151" spans="2:2">
      <c r="B5151" s="24"/>
    </row>
    <row r="5152" spans="2:2">
      <c r="B5152" s="24"/>
    </row>
    <row r="5153" spans="2:2">
      <c r="B5153" s="24"/>
    </row>
    <row r="5154" spans="2:2">
      <c r="B5154" s="24"/>
    </row>
    <row r="5155" spans="2:2">
      <c r="B5155" s="24"/>
    </row>
    <row r="5156" spans="2:2">
      <c r="B5156" s="24"/>
    </row>
    <row r="5157" spans="2:2">
      <c r="B5157" s="24"/>
    </row>
    <row r="5158" spans="2:2">
      <c r="B5158" s="24"/>
    </row>
    <row r="5159" spans="2:2">
      <c r="B5159" s="24"/>
    </row>
    <row r="5160" spans="2:2">
      <c r="B5160" s="24"/>
    </row>
    <row r="5161" spans="2:2">
      <c r="B5161" s="24"/>
    </row>
    <row r="5162" spans="2:2">
      <c r="B5162" s="24"/>
    </row>
    <row r="5163" spans="2:2">
      <c r="B5163" s="24"/>
    </row>
    <row r="5164" spans="2:2">
      <c r="B5164" s="24"/>
    </row>
    <row r="5165" spans="2:2">
      <c r="B5165" s="24"/>
    </row>
    <row r="5166" spans="2:2">
      <c r="B5166" s="24"/>
    </row>
    <row r="5167" spans="2:2">
      <c r="B5167" s="24"/>
    </row>
    <row r="5168" spans="2:2">
      <c r="B5168" s="24"/>
    </row>
    <row r="5169" spans="2:2">
      <c r="B5169" s="24"/>
    </row>
    <row r="5170" spans="2:2">
      <c r="B5170" s="24"/>
    </row>
    <row r="5171" spans="2:2">
      <c r="B5171" s="24"/>
    </row>
    <row r="5172" spans="2:2">
      <c r="B5172" s="24"/>
    </row>
    <row r="5173" spans="2:2">
      <c r="B5173" s="24"/>
    </row>
    <row r="5174" spans="2:2">
      <c r="B5174" s="24"/>
    </row>
    <row r="5175" spans="2:2">
      <c r="B5175" s="24"/>
    </row>
    <row r="5176" spans="2:2">
      <c r="B5176" s="24"/>
    </row>
    <row r="5177" spans="2:2">
      <c r="B5177" s="24"/>
    </row>
    <row r="5178" spans="2:2">
      <c r="B5178" s="24"/>
    </row>
    <row r="5179" spans="2:2">
      <c r="B5179" s="24"/>
    </row>
    <row r="5180" spans="2:2">
      <c r="B5180" s="24"/>
    </row>
    <row r="5181" spans="2:2">
      <c r="B5181" s="24"/>
    </row>
    <row r="5182" spans="2:2">
      <c r="B5182" s="24"/>
    </row>
    <row r="5183" spans="2:2">
      <c r="B5183" s="24"/>
    </row>
    <row r="5184" spans="2:2">
      <c r="B5184" s="24"/>
    </row>
    <row r="5185" spans="2:2">
      <c r="B5185" s="24"/>
    </row>
    <row r="5186" spans="2:2">
      <c r="B5186" s="24"/>
    </row>
    <row r="5187" spans="2:2">
      <c r="B5187" s="24"/>
    </row>
    <row r="5188" spans="2:2">
      <c r="B5188" s="24"/>
    </row>
    <row r="5189" spans="2:2">
      <c r="B5189" s="24"/>
    </row>
    <row r="5190" spans="2:2">
      <c r="B5190" s="24"/>
    </row>
    <row r="5191" spans="2:2">
      <c r="B5191" s="24"/>
    </row>
    <row r="5192" spans="2:2">
      <c r="B5192" s="24"/>
    </row>
    <row r="5193" spans="2:2">
      <c r="B5193" s="24"/>
    </row>
    <row r="5194" spans="2:2">
      <c r="B5194" s="24"/>
    </row>
    <row r="5195" spans="2:2">
      <c r="B5195" s="24"/>
    </row>
    <row r="5196" spans="2:2">
      <c r="B5196" s="24"/>
    </row>
    <row r="5197" spans="2:2">
      <c r="B5197" s="24"/>
    </row>
    <row r="5198" spans="2:2">
      <c r="B5198" s="24"/>
    </row>
    <row r="5199" spans="2:2">
      <c r="B5199" s="24"/>
    </row>
    <row r="5200" spans="2:2">
      <c r="B5200" s="24"/>
    </row>
    <row r="5201" spans="2:2">
      <c r="B5201" s="24"/>
    </row>
    <row r="5202" spans="2:2">
      <c r="B5202" s="24"/>
    </row>
    <row r="5203" spans="2:2">
      <c r="B5203" s="24"/>
    </row>
    <row r="5204" spans="2:2">
      <c r="B5204" s="24"/>
    </row>
    <row r="5205" spans="2:2">
      <c r="B5205" s="24"/>
    </row>
    <row r="5206" spans="2:2">
      <c r="B5206" s="24"/>
    </row>
    <row r="5207" spans="2:2">
      <c r="B5207" s="24"/>
    </row>
    <row r="5208" spans="2:2">
      <c r="B5208" s="24"/>
    </row>
    <row r="5209" spans="2:2">
      <c r="B5209" s="24"/>
    </row>
    <row r="5210" spans="2:2">
      <c r="B5210" s="24"/>
    </row>
    <row r="5211" spans="2:2">
      <c r="B5211" s="24"/>
    </row>
    <row r="5212" spans="2:2">
      <c r="B5212" s="24"/>
    </row>
    <row r="5213" spans="2:2">
      <c r="B5213" s="24"/>
    </row>
    <row r="5214" spans="2:2">
      <c r="B5214" s="24"/>
    </row>
    <row r="5215" spans="2:2">
      <c r="B5215" s="24"/>
    </row>
    <row r="5216" spans="2:2">
      <c r="B5216" s="24"/>
    </row>
    <row r="5217" spans="2:2">
      <c r="B5217" s="24"/>
    </row>
    <row r="5218" spans="2:2">
      <c r="B5218" s="24"/>
    </row>
    <row r="5219" spans="2:2">
      <c r="B5219" s="24"/>
    </row>
    <row r="5220" spans="2:2">
      <c r="B5220" s="24"/>
    </row>
    <row r="5221" spans="2:2">
      <c r="B5221" s="24"/>
    </row>
    <row r="5222" spans="2:2">
      <c r="B5222" s="24"/>
    </row>
    <row r="5223" spans="2:2">
      <c r="B5223" s="24"/>
    </row>
    <row r="5224" spans="2:2">
      <c r="B5224" s="24"/>
    </row>
    <row r="5225" spans="2:2">
      <c r="B5225" s="24"/>
    </row>
    <row r="5226" spans="2:2">
      <c r="B5226" s="24"/>
    </row>
    <row r="5227" spans="2:2">
      <c r="B5227" s="24"/>
    </row>
    <row r="5228" spans="2:2">
      <c r="B5228" s="24"/>
    </row>
    <row r="5229" spans="2:2">
      <c r="B5229" s="24"/>
    </row>
    <row r="5230" spans="2:2">
      <c r="B5230" s="24"/>
    </row>
    <row r="5231" spans="2:2">
      <c r="B5231" s="24"/>
    </row>
    <row r="5232" spans="2:2">
      <c r="B5232" s="24"/>
    </row>
    <row r="5233" spans="2:2">
      <c r="B5233" s="24"/>
    </row>
    <row r="5234" spans="2:2">
      <c r="B5234" s="24"/>
    </row>
    <row r="5235" spans="2:2">
      <c r="B5235" s="24"/>
    </row>
    <row r="5236" spans="2:2">
      <c r="B5236" s="24"/>
    </row>
    <row r="5237" spans="2:2">
      <c r="B5237" s="24"/>
    </row>
    <row r="5238" spans="2:2">
      <c r="B5238" s="24"/>
    </row>
    <row r="5239" spans="2:2">
      <c r="B5239" s="24"/>
    </row>
    <row r="5240" spans="2:2">
      <c r="B5240" s="24"/>
    </row>
    <row r="5241" spans="2:2">
      <c r="B5241" s="24"/>
    </row>
    <row r="5242" spans="2:2">
      <c r="B5242" s="24"/>
    </row>
    <row r="5243" spans="2:2">
      <c r="B5243" s="24"/>
    </row>
    <row r="5244" spans="2:2">
      <c r="B5244" s="24"/>
    </row>
    <row r="5245" spans="2:2">
      <c r="B5245" s="24"/>
    </row>
    <row r="5246" spans="2:2">
      <c r="B5246" s="24"/>
    </row>
    <row r="5247" spans="2:2">
      <c r="B5247" s="24"/>
    </row>
    <row r="5248" spans="2:2">
      <c r="B5248" s="24"/>
    </row>
    <row r="5249" spans="2:2">
      <c r="B5249" s="24"/>
    </row>
    <row r="5250" spans="2:2">
      <c r="B5250" s="24"/>
    </row>
    <row r="5251" spans="2:2">
      <c r="B5251" s="24"/>
    </row>
    <row r="5252" spans="2:2">
      <c r="B5252" s="24"/>
    </row>
    <row r="5253" spans="2:2">
      <c r="B5253" s="24"/>
    </row>
    <row r="5254" spans="2:2">
      <c r="B5254" s="24"/>
    </row>
    <row r="5255" spans="2:2">
      <c r="B5255" s="24"/>
    </row>
    <row r="5256" spans="2:2">
      <c r="B5256" s="24"/>
    </row>
    <row r="5257" spans="2:2">
      <c r="B5257" s="24"/>
    </row>
    <row r="5258" spans="2:2">
      <c r="B5258" s="24"/>
    </row>
    <row r="5259" spans="2:2">
      <c r="B5259" s="24"/>
    </row>
    <row r="5260" spans="2:2">
      <c r="B5260" s="24"/>
    </row>
    <row r="5261" spans="2:2">
      <c r="B5261" s="24"/>
    </row>
    <row r="5262" spans="2:2">
      <c r="B5262" s="24"/>
    </row>
    <row r="5263" spans="2:2">
      <c r="B5263" s="24"/>
    </row>
    <row r="5264" spans="2:2">
      <c r="B5264" s="24"/>
    </row>
    <row r="5265" spans="2:2">
      <c r="B5265" s="24"/>
    </row>
    <row r="5266" spans="2:2">
      <c r="B5266" s="24"/>
    </row>
    <row r="5267" spans="2:2">
      <c r="B5267" s="24"/>
    </row>
    <row r="5268" spans="2:2">
      <c r="B5268" s="24"/>
    </row>
    <row r="5269" spans="2:2">
      <c r="B5269" s="24"/>
    </row>
    <row r="5270" spans="2:2">
      <c r="B5270" s="24"/>
    </row>
    <row r="5271" spans="2:2">
      <c r="B5271" s="24"/>
    </row>
    <row r="5272" spans="2:2">
      <c r="B5272" s="24"/>
    </row>
    <row r="5273" spans="2:2">
      <c r="B5273" s="24"/>
    </row>
    <row r="5274" spans="2:2">
      <c r="B5274" s="24"/>
    </row>
    <row r="5275" spans="2:2">
      <c r="B5275" s="24"/>
    </row>
    <row r="5276" spans="2:2">
      <c r="B5276" s="24"/>
    </row>
    <row r="5277" spans="2:2">
      <c r="B5277" s="24"/>
    </row>
    <row r="5278" spans="2:2">
      <c r="B5278" s="24"/>
    </row>
    <row r="5279" spans="2:2">
      <c r="B5279" s="24"/>
    </row>
    <row r="5280" spans="2:2">
      <c r="B5280" s="24"/>
    </row>
    <row r="5281" spans="2:2">
      <c r="B5281" s="24"/>
    </row>
    <row r="5282" spans="2:2">
      <c r="B5282" s="24"/>
    </row>
    <row r="5283" spans="2:2">
      <c r="B5283" s="24"/>
    </row>
    <row r="5284" spans="2:2">
      <c r="B5284" s="24"/>
    </row>
    <row r="5285" spans="2:2">
      <c r="B5285" s="24"/>
    </row>
    <row r="5286" spans="2:2">
      <c r="B5286" s="24"/>
    </row>
    <row r="5287" spans="2:2">
      <c r="B5287" s="24"/>
    </row>
    <row r="5288" spans="2:2">
      <c r="B5288" s="24"/>
    </row>
    <row r="5289" spans="2:2">
      <c r="B5289" s="24"/>
    </row>
    <row r="5290" spans="2:2">
      <c r="B5290" s="24"/>
    </row>
    <row r="5291" spans="2:2">
      <c r="B5291" s="24"/>
    </row>
    <row r="5292" spans="2:2">
      <c r="B5292" s="24"/>
    </row>
    <row r="5293" spans="2:2">
      <c r="B5293" s="24"/>
    </row>
    <row r="5294" spans="2:2">
      <c r="B5294" s="24"/>
    </row>
    <row r="5295" spans="2:2">
      <c r="B5295" s="24"/>
    </row>
    <row r="5296" spans="2:2">
      <c r="B5296" s="24"/>
    </row>
    <row r="5297" spans="2:2">
      <c r="B5297" s="24"/>
    </row>
    <row r="5298" spans="2:2">
      <c r="B5298" s="24"/>
    </row>
    <row r="5299" spans="2:2">
      <c r="B5299" s="24"/>
    </row>
    <row r="5300" spans="2:2">
      <c r="B5300" s="24"/>
    </row>
    <row r="5301" spans="2:2">
      <c r="B5301" s="24"/>
    </row>
    <row r="5302" spans="2:2">
      <c r="B5302" s="24"/>
    </row>
    <row r="5303" spans="2:2">
      <c r="B5303" s="24"/>
    </row>
    <row r="5304" spans="2:2">
      <c r="B5304" s="24"/>
    </row>
    <row r="5305" spans="2:2">
      <c r="B5305" s="24"/>
    </row>
    <row r="5306" spans="2:2">
      <c r="B5306" s="24"/>
    </row>
    <row r="5307" spans="2:2">
      <c r="B5307" s="24"/>
    </row>
    <row r="5308" spans="2:2">
      <c r="B5308" s="24"/>
    </row>
    <row r="5309" spans="2:2">
      <c r="B5309" s="24"/>
    </row>
    <row r="5310" spans="2:2">
      <c r="B5310" s="24"/>
    </row>
    <row r="5311" spans="2:2">
      <c r="B5311" s="24"/>
    </row>
    <row r="5312" spans="2:2">
      <c r="B5312" s="24"/>
    </row>
    <row r="5313" spans="2:2">
      <c r="B5313" s="24"/>
    </row>
    <row r="5314" spans="2:2">
      <c r="B5314" s="24"/>
    </row>
    <row r="5315" spans="2:2">
      <c r="B5315" s="24"/>
    </row>
    <row r="5316" spans="2:2">
      <c r="B5316" s="24"/>
    </row>
    <row r="5317" spans="2:2">
      <c r="B5317" s="24"/>
    </row>
    <row r="5318" spans="2:2">
      <c r="B5318" s="24"/>
    </row>
    <row r="5319" spans="2:2">
      <c r="B5319" s="24"/>
    </row>
    <row r="5320" spans="2:2">
      <c r="B5320" s="24"/>
    </row>
    <row r="5321" spans="2:2">
      <c r="B5321" s="24"/>
    </row>
    <row r="5322" spans="2:2">
      <c r="B5322" s="24"/>
    </row>
    <row r="5323" spans="2:2">
      <c r="B5323" s="24"/>
    </row>
    <row r="5324" spans="2:2">
      <c r="B5324" s="24"/>
    </row>
    <row r="5325" spans="2:2">
      <c r="B5325" s="24"/>
    </row>
    <row r="5326" spans="2:2">
      <c r="B5326" s="24"/>
    </row>
    <row r="5327" spans="2:2">
      <c r="B5327" s="24"/>
    </row>
    <row r="5328" spans="2:2">
      <c r="B5328" s="24"/>
    </row>
    <row r="5329" spans="2:2">
      <c r="B5329" s="24"/>
    </row>
    <row r="5330" spans="2:2">
      <c r="B5330" s="24"/>
    </row>
    <row r="5331" spans="2:2">
      <c r="B5331" s="24"/>
    </row>
    <row r="5332" spans="2:2">
      <c r="B5332" s="24"/>
    </row>
    <row r="5333" spans="2:2">
      <c r="B5333" s="24"/>
    </row>
    <row r="5334" spans="2:2">
      <c r="B5334" s="24"/>
    </row>
    <row r="5335" spans="2:2">
      <c r="B5335" s="24"/>
    </row>
    <row r="5336" spans="2:2">
      <c r="B5336" s="24"/>
    </row>
    <row r="5337" spans="2:2">
      <c r="B5337" s="24"/>
    </row>
    <row r="5338" spans="2:2">
      <c r="B5338" s="24"/>
    </row>
    <row r="5339" spans="2:2">
      <c r="B5339" s="24"/>
    </row>
    <row r="5340" spans="2:2">
      <c r="B5340" s="24"/>
    </row>
    <row r="5341" spans="2:2">
      <c r="B5341" s="24"/>
    </row>
    <row r="5342" spans="2:2">
      <c r="B5342" s="24"/>
    </row>
    <row r="5343" spans="2:2">
      <c r="B5343" s="24"/>
    </row>
    <row r="5344" spans="2:2">
      <c r="B5344" s="24"/>
    </row>
    <row r="5345" spans="2:2">
      <c r="B5345" s="24"/>
    </row>
    <row r="5346" spans="2:2">
      <c r="B5346" s="24"/>
    </row>
    <row r="5347" spans="2:2">
      <c r="B5347" s="24"/>
    </row>
    <row r="5348" spans="2:2">
      <c r="B5348" s="24"/>
    </row>
    <row r="5349" spans="2:2">
      <c r="B5349" s="24"/>
    </row>
    <row r="5350" spans="2:2">
      <c r="B5350" s="24"/>
    </row>
    <row r="5351" spans="2:2">
      <c r="B5351" s="24"/>
    </row>
    <row r="5352" spans="2:2">
      <c r="B5352" s="24"/>
    </row>
    <row r="5353" spans="2:2">
      <c r="B5353" s="24"/>
    </row>
    <row r="5354" spans="2:2">
      <c r="B5354" s="24"/>
    </row>
    <row r="5355" spans="2:2">
      <c r="B5355" s="24"/>
    </row>
    <row r="5356" spans="2:2">
      <c r="B5356" s="24"/>
    </row>
    <row r="5357" spans="2:2">
      <c r="B5357" s="24"/>
    </row>
    <row r="5358" spans="2:2">
      <c r="B5358" s="24"/>
    </row>
    <row r="5359" spans="2:2">
      <c r="B5359" s="24"/>
    </row>
    <row r="5360" spans="2:2">
      <c r="B5360" s="24"/>
    </row>
    <row r="5361" spans="2:2">
      <c r="B5361" s="24"/>
    </row>
    <row r="5362" spans="2:2">
      <c r="B5362" s="24"/>
    </row>
    <row r="5363" spans="2:2">
      <c r="B5363" s="24"/>
    </row>
    <row r="5364" spans="2:2">
      <c r="B5364" s="24"/>
    </row>
    <row r="5365" spans="2:2">
      <c r="B5365" s="24"/>
    </row>
    <row r="5366" spans="2:2">
      <c r="B5366" s="24"/>
    </row>
    <row r="5367" spans="2:2">
      <c r="B5367" s="24"/>
    </row>
    <row r="5368" spans="2:2">
      <c r="B5368" s="24"/>
    </row>
    <row r="5369" spans="2:2">
      <c r="B5369" s="24"/>
    </row>
    <row r="5370" spans="2:2">
      <c r="B5370" s="24"/>
    </row>
    <row r="5371" spans="2:2">
      <c r="B5371" s="24"/>
    </row>
    <row r="5372" spans="2:2">
      <c r="B5372" s="24"/>
    </row>
    <row r="5373" spans="2:2">
      <c r="B5373" s="24"/>
    </row>
    <row r="5374" spans="2:2">
      <c r="B5374" s="24"/>
    </row>
    <row r="5375" spans="2:2">
      <c r="B5375" s="24"/>
    </row>
    <row r="5376" spans="2:2">
      <c r="B5376" s="24"/>
    </row>
    <row r="5377" spans="2:2">
      <c r="B5377" s="24"/>
    </row>
    <row r="5378" spans="2:2">
      <c r="B5378" s="24"/>
    </row>
    <row r="5379" spans="2:2">
      <c r="B5379" s="24"/>
    </row>
    <row r="5380" spans="2:2">
      <c r="B5380" s="24"/>
    </row>
    <row r="5381" spans="2:2">
      <c r="B5381" s="24"/>
    </row>
    <row r="5382" spans="2:2">
      <c r="B5382" s="24"/>
    </row>
    <row r="5383" spans="2:2">
      <c r="B5383" s="24"/>
    </row>
    <row r="5384" spans="2:2">
      <c r="B5384" s="24"/>
    </row>
    <row r="5385" spans="2:2">
      <c r="B5385" s="24"/>
    </row>
    <row r="5386" spans="2:2">
      <c r="B5386" s="24"/>
    </row>
    <row r="5387" spans="2:2">
      <c r="B5387" s="24"/>
    </row>
    <row r="5388" spans="2:2">
      <c r="B5388" s="24"/>
    </row>
    <row r="5389" spans="2:2">
      <c r="B5389" s="24"/>
    </row>
    <row r="5390" spans="2:2">
      <c r="B5390" s="24"/>
    </row>
    <row r="5391" spans="2:2">
      <c r="B5391" s="24"/>
    </row>
    <row r="5392" spans="2:2">
      <c r="B5392" s="24"/>
    </row>
    <row r="5393" spans="2:2">
      <c r="B5393" s="24"/>
    </row>
    <row r="5394" spans="2:2">
      <c r="B5394" s="24"/>
    </row>
    <row r="5395" spans="2:2">
      <c r="B5395" s="24"/>
    </row>
    <row r="5396" spans="2:2">
      <c r="B5396" s="24"/>
    </row>
    <row r="5397" spans="2:2">
      <c r="B5397" s="24"/>
    </row>
    <row r="5398" spans="2:2">
      <c r="B5398" s="24"/>
    </row>
    <row r="5399" spans="2:2">
      <c r="B5399" s="24"/>
    </row>
    <row r="5400" spans="2:2">
      <c r="B5400" s="24"/>
    </row>
    <row r="5401" spans="2:2">
      <c r="B5401" s="24"/>
    </row>
    <row r="5402" spans="2:2">
      <c r="B5402" s="24"/>
    </row>
    <row r="5403" spans="2:2">
      <c r="B5403" s="24"/>
    </row>
    <row r="5404" spans="2:2">
      <c r="B5404" s="24"/>
    </row>
    <row r="5405" spans="2:2">
      <c r="B5405" s="24"/>
    </row>
    <row r="5406" spans="2:2">
      <c r="B5406" s="24"/>
    </row>
    <row r="5407" spans="2:2">
      <c r="B5407" s="24"/>
    </row>
    <row r="5408" spans="2:2">
      <c r="B5408" s="24"/>
    </row>
    <row r="5409" spans="2:2">
      <c r="B5409" s="24"/>
    </row>
    <row r="5410" spans="2:2">
      <c r="B5410" s="24"/>
    </row>
    <row r="5411" spans="2:2">
      <c r="B5411" s="24"/>
    </row>
    <row r="5412" spans="2:2">
      <c r="B5412" s="24"/>
    </row>
    <row r="5413" spans="2:2">
      <c r="B5413" s="24"/>
    </row>
    <row r="5414" spans="2:2">
      <c r="B5414" s="24"/>
    </row>
    <row r="5415" spans="2:2">
      <c r="B5415" s="24"/>
    </row>
    <row r="5416" spans="2:2">
      <c r="B5416" s="24"/>
    </row>
    <row r="5417" spans="2:2">
      <c r="B5417" s="24"/>
    </row>
    <row r="5418" spans="2:2">
      <c r="B5418" s="24"/>
    </row>
    <row r="5419" spans="2:2">
      <c r="B5419" s="24"/>
    </row>
    <row r="5420" spans="2:2">
      <c r="B5420" s="24"/>
    </row>
    <row r="5421" spans="2:2">
      <c r="B5421" s="24"/>
    </row>
    <row r="5422" spans="2:2">
      <c r="B5422" s="24"/>
    </row>
    <row r="5423" spans="2:2">
      <c r="B5423" s="24"/>
    </row>
    <row r="5424" spans="2:2">
      <c r="B5424" s="24"/>
    </row>
    <row r="5425" spans="2:2">
      <c r="B5425" s="24"/>
    </row>
    <row r="5426" spans="2:2">
      <c r="B5426" s="24"/>
    </row>
    <row r="5427" spans="2:2">
      <c r="B5427" s="24"/>
    </row>
    <row r="5428" spans="2:2">
      <c r="B5428" s="24"/>
    </row>
    <row r="5429" spans="2:2">
      <c r="B5429" s="24"/>
    </row>
    <row r="5430" spans="2:2">
      <c r="B5430" s="24"/>
    </row>
    <row r="5431" spans="2:2">
      <c r="B5431" s="24"/>
    </row>
    <row r="5432" spans="2:2">
      <c r="B5432" s="24"/>
    </row>
    <row r="5433" spans="2:2">
      <c r="B5433" s="24"/>
    </row>
    <row r="5434" spans="2:2">
      <c r="B5434" s="24"/>
    </row>
    <row r="5435" spans="2:2">
      <c r="B5435" s="24"/>
    </row>
    <row r="5436" spans="2:2">
      <c r="B5436" s="24"/>
    </row>
    <row r="5437" spans="2:2">
      <c r="B5437" s="24"/>
    </row>
    <row r="5438" spans="2:2">
      <c r="B5438" s="24"/>
    </row>
    <row r="5439" spans="2:2">
      <c r="B5439" s="24"/>
    </row>
    <row r="5440" spans="2:2">
      <c r="B5440" s="24"/>
    </row>
    <row r="5441" spans="2:2">
      <c r="B5441" s="24"/>
    </row>
    <row r="5442" spans="2:2">
      <c r="B5442" s="24"/>
    </row>
    <row r="5443" spans="2:2">
      <c r="B5443" s="24"/>
    </row>
    <row r="5444" spans="2:2">
      <c r="B5444" s="24"/>
    </row>
    <row r="5445" spans="2:2">
      <c r="B5445" s="24"/>
    </row>
    <row r="5446" spans="2:2">
      <c r="B5446" s="24"/>
    </row>
    <row r="5447" spans="2:2">
      <c r="B5447" s="24"/>
    </row>
    <row r="5448" spans="2:2">
      <c r="B5448" s="24"/>
    </row>
    <row r="5449" spans="2:2">
      <c r="B5449" s="24"/>
    </row>
    <row r="5450" spans="2:2">
      <c r="B5450" s="24"/>
    </row>
    <row r="5451" spans="2:2">
      <c r="B5451" s="24"/>
    </row>
    <row r="5452" spans="2:2">
      <c r="B5452" s="24"/>
    </row>
    <row r="5453" spans="2:2">
      <c r="B5453" s="24"/>
    </row>
    <row r="5454" spans="2:2">
      <c r="B5454" s="24"/>
    </row>
    <row r="5455" spans="2:2">
      <c r="B5455" s="24"/>
    </row>
    <row r="5456" spans="2:2">
      <c r="B5456" s="24"/>
    </row>
    <row r="5457" spans="2:2">
      <c r="B5457" s="24"/>
    </row>
    <row r="5458" spans="2:2">
      <c r="B5458" s="24"/>
    </row>
    <row r="5459" spans="2:2">
      <c r="B5459" s="24"/>
    </row>
    <row r="5460" spans="2:2">
      <c r="B5460" s="24"/>
    </row>
    <row r="5461" spans="2:2">
      <c r="B5461" s="24"/>
    </row>
    <row r="5462" spans="2:2">
      <c r="B5462" s="24"/>
    </row>
    <row r="5463" spans="2:2">
      <c r="B5463" s="24"/>
    </row>
    <row r="5464" spans="2:2">
      <c r="B5464" s="24"/>
    </row>
    <row r="5465" spans="2:2">
      <c r="B5465" s="24"/>
    </row>
    <row r="5466" spans="2:2">
      <c r="B5466" s="24"/>
    </row>
    <row r="5467" spans="2:2">
      <c r="B5467" s="24"/>
    </row>
    <row r="5468" spans="2:2">
      <c r="B5468" s="24"/>
    </row>
    <row r="5469" spans="2:2">
      <c r="B5469" s="24"/>
    </row>
    <row r="5470" spans="2:2">
      <c r="B5470" s="24"/>
    </row>
    <row r="5471" spans="2:2">
      <c r="B5471" s="24"/>
    </row>
    <row r="5472" spans="2:2">
      <c r="B5472" s="24"/>
    </row>
    <row r="5473" spans="2:2">
      <c r="B5473" s="24"/>
    </row>
    <row r="5474" spans="2:2">
      <c r="B5474" s="24"/>
    </row>
    <row r="5475" spans="2:2">
      <c r="B5475" s="24"/>
    </row>
    <row r="5476" spans="2:2">
      <c r="B5476" s="24"/>
    </row>
    <row r="5477" spans="2:2">
      <c r="B5477" s="24"/>
    </row>
    <row r="5478" spans="2:2">
      <c r="B5478" s="24"/>
    </row>
    <row r="5479" spans="2:2">
      <c r="B5479" s="24"/>
    </row>
    <row r="5480" spans="2:2">
      <c r="B5480" s="24"/>
    </row>
    <row r="5481" spans="2:2">
      <c r="B5481" s="24"/>
    </row>
    <row r="5482" spans="2:2">
      <c r="B5482" s="24"/>
    </row>
    <row r="5483" spans="2:2">
      <c r="B5483" s="24"/>
    </row>
    <row r="5484" spans="2:2">
      <c r="B5484" s="24"/>
    </row>
    <row r="5485" spans="2:2">
      <c r="B5485" s="24"/>
    </row>
    <row r="5486" spans="2:2">
      <c r="B5486" s="24"/>
    </row>
    <row r="5487" spans="2:2">
      <c r="B5487" s="24"/>
    </row>
    <row r="5488" spans="2:2">
      <c r="B5488" s="24"/>
    </row>
    <row r="5489" spans="2:2">
      <c r="B5489" s="24"/>
    </row>
    <row r="5490" spans="2:2">
      <c r="B5490" s="24"/>
    </row>
    <row r="5491" spans="2:2">
      <c r="B5491" s="24"/>
    </row>
    <row r="5492" spans="2:2">
      <c r="B5492" s="24"/>
    </row>
    <row r="5493" spans="2:2">
      <c r="B5493" s="24"/>
    </row>
    <row r="5494" spans="2:2">
      <c r="B5494" s="24"/>
    </row>
    <row r="5495" spans="2:2">
      <c r="B5495" s="24"/>
    </row>
    <row r="5496" spans="2:2">
      <c r="B5496" s="24"/>
    </row>
    <row r="5497" spans="2:2">
      <c r="B5497" s="24"/>
    </row>
    <row r="5498" spans="2:2">
      <c r="B5498" s="24"/>
    </row>
    <row r="5499" spans="2:2">
      <c r="B5499" s="24"/>
    </row>
    <row r="5500" spans="2:2">
      <c r="B5500" s="24"/>
    </row>
    <row r="5501" spans="2:2">
      <c r="B5501" s="24"/>
    </row>
    <row r="5502" spans="2:2">
      <c r="B5502" s="24"/>
    </row>
    <row r="5503" spans="2:2">
      <c r="B5503" s="24"/>
    </row>
    <row r="5504" spans="2:2">
      <c r="B5504" s="24"/>
    </row>
    <row r="5505" spans="2:2">
      <c r="B5505" s="24"/>
    </row>
    <row r="5506" spans="2:2">
      <c r="B5506" s="24"/>
    </row>
    <row r="5507" spans="2:2">
      <c r="B5507" s="24"/>
    </row>
    <row r="5508" spans="2:2">
      <c r="B5508" s="24"/>
    </row>
    <row r="5509" spans="2:2">
      <c r="B5509" s="24"/>
    </row>
    <row r="5510" spans="2:2">
      <c r="B5510" s="24"/>
    </row>
    <row r="5511" spans="2:2">
      <c r="B5511" s="24"/>
    </row>
    <row r="5512" spans="2:2">
      <c r="B5512" s="24"/>
    </row>
    <row r="5513" spans="2:2">
      <c r="B5513" s="24"/>
    </row>
    <row r="5514" spans="2:2">
      <c r="B5514" s="24"/>
    </row>
    <row r="5515" spans="2:2">
      <c r="B5515" s="24"/>
    </row>
    <row r="5516" spans="2:2">
      <c r="B5516" s="24"/>
    </row>
    <row r="5517" spans="2:2">
      <c r="B5517" s="24"/>
    </row>
    <row r="5518" spans="2:2">
      <c r="B5518" s="24"/>
    </row>
    <row r="5519" spans="2:2">
      <c r="B5519" s="24"/>
    </row>
    <row r="5520" spans="2:2">
      <c r="B5520" s="24"/>
    </row>
    <row r="5521" spans="2:2">
      <c r="B5521" s="24"/>
    </row>
    <row r="5522" spans="2:2">
      <c r="B5522" s="24"/>
    </row>
    <row r="5523" spans="2:2">
      <c r="B5523" s="24"/>
    </row>
    <row r="5524" spans="2:2">
      <c r="B5524" s="24"/>
    </row>
    <row r="5525" spans="2:2">
      <c r="B5525" s="24"/>
    </row>
    <row r="5526" spans="2:2">
      <c r="B5526" s="24"/>
    </row>
    <row r="5527" spans="2:2">
      <c r="B5527" s="24"/>
    </row>
    <row r="5528" spans="2:2">
      <c r="B5528" s="24"/>
    </row>
    <row r="5529" spans="2:2">
      <c r="B5529" s="24"/>
    </row>
    <row r="5530" spans="2:2">
      <c r="B5530" s="24"/>
    </row>
    <row r="5531" spans="2:2">
      <c r="B5531" s="24"/>
    </row>
    <row r="5532" spans="2:2">
      <c r="B5532" s="24"/>
    </row>
    <row r="5533" spans="2:2">
      <c r="B5533" s="24"/>
    </row>
    <row r="5534" spans="2:2">
      <c r="B5534" s="24"/>
    </row>
    <row r="5535" spans="2:2">
      <c r="B5535" s="24"/>
    </row>
    <row r="5536" spans="2:2">
      <c r="B5536" s="24"/>
    </row>
    <row r="5537" spans="2:2">
      <c r="B5537" s="24"/>
    </row>
    <row r="5538" spans="2:2">
      <c r="B5538" s="24"/>
    </row>
    <row r="5539" spans="2:2">
      <c r="B5539" s="24"/>
    </row>
    <row r="5540" spans="2:2">
      <c r="B5540" s="24"/>
    </row>
    <row r="5541" spans="2:2">
      <c r="B5541" s="24"/>
    </row>
    <row r="5542" spans="2:2">
      <c r="B5542" s="24"/>
    </row>
    <row r="5543" spans="2:2">
      <c r="B5543" s="24"/>
    </row>
    <row r="5544" spans="2:2">
      <c r="B5544" s="24"/>
    </row>
    <row r="5545" spans="2:2">
      <c r="B5545" s="24"/>
    </row>
    <row r="5546" spans="2:2">
      <c r="B5546" s="24"/>
    </row>
    <row r="5547" spans="2:2">
      <c r="B5547" s="24"/>
    </row>
    <row r="5548" spans="2:2">
      <c r="B5548" s="24"/>
    </row>
    <row r="5549" spans="2:2">
      <c r="B5549" s="24"/>
    </row>
    <row r="5550" spans="2:2">
      <c r="B5550" s="24"/>
    </row>
    <row r="5551" spans="2:2">
      <c r="B5551" s="24"/>
    </row>
    <row r="5552" spans="2:2">
      <c r="B5552" s="24"/>
    </row>
    <row r="5553" spans="2:2">
      <c r="B5553" s="24"/>
    </row>
    <row r="5554" spans="2:2">
      <c r="B5554" s="24"/>
    </row>
    <row r="5555" spans="2:2">
      <c r="B5555" s="24"/>
    </row>
    <row r="5556" spans="2:2">
      <c r="B5556" s="24"/>
    </row>
    <row r="5557" spans="2:2">
      <c r="B5557" s="24"/>
    </row>
    <row r="5558" spans="2:2">
      <c r="B5558" s="24"/>
    </row>
    <row r="5559" spans="2:2">
      <c r="B5559" s="24"/>
    </row>
    <row r="5560" spans="2:2">
      <c r="B5560" s="24"/>
    </row>
    <row r="5561" spans="2:2">
      <c r="B5561" s="24"/>
    </row>
    <row r="5562" spans="2:2">
      <c r="B5562" s="24"/>
    </row>
    <row r="5563" spans="2:2">
      <c r="B5563" s="24"/>
    </row>
    <row r="5564" spans="2:2">
      <c r="B5564" s="24"/>
    </row>
    <row r="5565" spans="2:2">
      <c r="B5565" s="24"/>
    </row>
    <row r="5566" spans="2:2">
      <c r="B5566" s="24"/>
    </row>
    <row r="5567" spans="2:2">
      <c r="B5567" s="24"/>
    </row>
    <row r="5568" spans="2:2">
      <c r="B5568" s="24"/>
    </row>
    <row r="5569" spans="2:2">
      <c r="B5569" s="24"/>
    </row>
    <row r="5570" spans="2:2">
      <c r="B5570" s="24"/>
    </row>
    <row r="5571" spans="2:2">
      <c r="B5571" s="24"/>
    </row>
    <row r="5572" spans="2:2">
      <c r="B5572" s="24"/>
    </row>
    <row r="5573" spans="2:2">
      <c r="B5573" s="24"/>
    </row>
    <row r="5574" spans="2:2">
      <c r="B5574" s="24"/>
    </row>
    <row r="5575" spans="2:2">
      <c r="B5575" s="24"/>
    </row>
    <row r="5576" spans="2:2">
      <c r="B5576" s="24"/>
    </row>
    <row r="5577" spans="2:2">
      <c r="B5577" s="24"/>
    </row>
    <row r="5578" spans="2:2">
      <c r="B5578" s="24"/>
    </row>
    <row r="5579" spans="2:2">
      <c r="B5579" s="24"/>
    </row>
    <row r="5580" spans="2:2">
      <c r="B5580" s="24"/>
    </row>
    <row r="5581" spans="2:2">
      <c r="B5581" s="24"/>
    </row>
    <row r="5582" spans="2:2">
      <c r="B5582" s="24"/>
    </row>
    <row r="5583" spans="2:2">
      <c r="B5583" s="24"/>
    </row>
    <row r="5584" spans="2:2">
      <c r="B5584" s="24"/>
    </row>
    <row r="5585" spans="2:2">
      <c r="B5585" s="24"/>
    </row>
    <row r="5586" spans="2:2">
      <c r="B5586" s="24"/>
    </row>
    <row r="5587" spans="2:2">
      <c r="B5587" s="24"/>
    </row>
    <row r="5588" spans="2:2">
      <c r="B5588" s="24"/>
    </row>
    <row r="5589" spans="2:2">
      <c r="B5589" s="24"/>
    </row>
    <row r="5590" spans="2:2">
      <c r="B5590" s="24"/>
    </row>
    <row r="5591" spans="2:2">
      <c r="B5591" s="24"/>
    </row>
    <row r="5592" spans="2:2">
      <c r="B5592" s="24"/>
    </row>
    <row r="5593" spans="2:2">
      <c r="B5593" s="24"/>
    </row>
    <row r="5594" spans="2:2">
      <c r="B5594" s="24"/>
    </row>
    <row r="5595" spans="2:2">
      <c r="B5595" s="24"/>
    </row>
    <row r="5596" spans="2:2">
      <c r="B5596" s="24"/>
    </row>
    <row r="5597" spans="2:2">
      <c r="B5597" s="24"/>
    </row>
    <row r="5598" spans="2:2">
      <c r="B5598" s="24"/>
    </row>
    <row r="5599" spans="2:2">
      <c r="B5599" s="24"/>
    </row>
    <row r="5600" spans="2:2">
      <c r="B5600" s="24"/>
    </row>
    <row r="5601" spans="2:2">
      <c r="B5601" s="24"/>
    </row>
    <row r="5602" spans="2:2">
      <c r="B5602" s="24"/>
    </row>
    <row r="5603" spans="2:2">
      <c r="B5603" s="24"/>
    </row>
    <row r="5604" spans="2:2">
      <c r="B5604" s="24"/>
    </row>
    <row r="5605" spans="2:2">
      <c r="B5605" s="24"/>
    </row>
    <row r="5606" spans="2:2">
      <c r="B5606" s="24"/>
    </row>
    <row r="5607" spans="2:2">
      <c r="B5607" s="24"/>
    </row>
    <row r="5608" spans="2:2">
      <c r="B5608" s="24"/>
    </row>
    <row r="5609" spans="2:2">
      <c r="B5609" s="24"/>
    </row>
    <row r="5610" spans="2:2">
      <c r="B5610" s="24"/>
    </row>
    <row r="5611" spans="2:2">
      <c r="B5611" s="24"/>
    </row>
    <row r="5612" spans="2:2">
      <c r="B5612" s="24"/>
    </row>
    <row r="5613" spans="2:2">
      <c r="B5613" s="24"/>
    </row>
    <row r="5614" spans="2:2">
      <c r="B5614" s="24"/>
    </row>
    <row r="5615" spans="2:2">
      <c r="B5615" s="24"/>
    </row>
    <row r="5616" spans="2:2">
      <c r="B5616" s="24"/>
    </row>
    <row r="5617" spans="2:2">
      <c r="B5617" s="24"/>
    </row>
    <row r="5618" spans="2:2">
      <c r="B5618" s="24"/>
    </row>
    <row r="5619" spans="2:2">
      <c r="B5619" s="24"/>
    </row>
    <row r="5620" spans="2:2">
      <c r="B5620" s="24"/>
    </row>
    <row r="5621" spans="2:2">
      <c r="B5621" s="24"/>
    </row>
    <row r="5622" spans="2:2">
      <c r="B5622" s="24"/>
    </row>
    <row r="5623" spans="2:2">
      <c r="B5623" s="24"/>
    </row>
    <row r="5624" spans="2:2">
      <c r="B5624" s="24"/>
    </row>
    <row r="5625" spans="2:2">
      <c r="B5625" s="24"/>
    </row>
    <row r="5626" spans="2:2">
      <c r="B5626" s="24"/>
    </row>
    <row r="5627" spans="2:2">
      <c r="B5627" s="24"/>
    </row>
    <row r="5628" spans="2:2">
      <c r="B5628" s="24"/>
    </row>
    <row r="5629" spans="2:2">
      <c r="B5629" s="24"/>
    </row>
    <row r="5630" spans="2:2">
      <c r="B5630" s="24"/>
    </row>
    <row r="5631" spans="2:2">
      <c r="B5631" s="24"/>
    </row>
    <row r="5632" spans="2:2">
      <c r="B5632" s="24"/>
    </row>
    <row r="5633" spans="2:2">
      <c r="B5633" s="24"/>
    </row>
    <row r="5634" spans="2:2">
      <c r="B5634" s="24"/>
    </row>
    <row r="5635" spans="2:2">
      <c r="B5635" s="24"/>
    </row>
    <row r="5636" spans="2:2">
      <c r="B5636" s="24"/>
    </row>
    <row r="5637" spans="2:2">
      <c r="B5637" s="24"/>
    </row>
    <row r="5638" spans="2:2">
      <c r="B5638" s="24"/>
    </row>
    <row r="5639" spans="2:2">
      <c r="B5639" s="24"/>
    </row>
    <row r="5640" spans="2:2">
      <c r="B5640" s="24"/>
    </row>
    <row r="5641" spans="2:2">
      <c r="B5641" s="24"/>
    </row>
    <row r="5642" spans="2:2">
      <c r="B5642" s="24"/>
    </row>
    <row r="5643" spans="2:2">
      <c r="B5643" s="24"/>
    </row>
    <row r="5644" spans="2:2">
      <c r="B5644" s="24"/>
    </row>
    <row r="5645" spans="2:2">
      <c r="B5645" s="24"/>
    </row>
    <row r="5646" spans="2:2">
      <c r="B5646" s="24"/>
    </row>
    <row r="5647" spans="2:2">
      <c r="B5647" s="24"/>
    </row>
    <row r="5648" spans="2:2">
      <c r="B5648" s="24"/>
    </row>
    <row r="5649" spans="2:2">
      <c r="B5649" s="24"/>
    </row>
    <row r="5650" spans="2:2">
      <c r="B5650" s="24"/>
    </row>
    <row r="5651" spans="2:2">
      <c r="B5651" s="24"/>
    </row>
    <row r="5652" spans="2:2">
      <c r="B5652" s="24"/>
    </row>
    <row r="5653" spans="2:2">
      <c r="B5653" s="24"/>
    </row>
    <row r="5654" spans="2:2">
      <c r="B5654" s="24"/>
    </row>
    <row r="5655" spans="2:2">
      <c r="B5655" s="24"/>
    </row>
    <row r="5656" spans="2:2">
      <c r="B5656" s="24"/>
    </row>
    <row r="5657" spans="2:2">
      <c r="B5657" s="24"/>
    </row>
    <row r="5658" spans="2:2">
      <c r="B5658" s="24"/>
    </row>
    <row r="5659" spans="2:2">
      <c r="B5659" s="24"/>
    </row>
    <row r="5660" spans="2:2">
      <c r="B5660" s="24"/>
    </row>
    <row r="5661" spans="2:2">
      <c r="B5661" s="24"/>
    </row>
    <row r="5662" spans="2:2">
      <c r="B5662" s="24"/>
    </row>
    <row r="5663" spans="2:2">
      <c r="B5663" s="24"/>
    </row>
    <row r="5664" spans="2:2">
      <c r="B5664" s="24"/>
    </row>
    <row r="5665" spans="2:2">
      <c r="B5665" s="24"/>
    </row>
    <row r="5666" spans="2:2">
      <c r="B5666" s="24"/>
    </row>
    <row r="5667" spans="2:2">
      <c r="B5667" s="24"/>
    </row>
    <row r="5668" spans="2:2">
      <c r="B5668" s="24"/>
    </row>
    <row r="5669" spans="2:2">
      <c r="B5669" s="24"/>
    </row>
    <row r="5670" spans="2:2">
      <c r="B5670" s="24"/>
    </row>
    <row r="5671" spans="2:2">
      <c r="B5671" s="24"/>
    </row>
    <row r="5672" spans="2:2">
      <c r="B5672" s="24"/>
    </row>
    <row r="5673" spans="2:2">
      <c r="B5673" s="24"/>
    </row>
    <row r="5674" spans="2:2">
      <c r="B5674" s="24"/>
    </row>
    <row r="5675" spans="2:2">
      <c r="B5675" s="24"/>
    </row>
    <row r="5676" spans="2:2">
      <c r="B5676" s="24"/>
    </row>
    <row r="5677" spans="2:2">
      <c r="B5677" s="24"/>
    </row>
    <row r="5678" spans="2:2">
      <c r="B5678" s="24"/>
    </row>
    <row r="5679" spans="2:2">
      <c r="B5679" s="24"/>
    </row>
    <row r="5680" spans="2:2">
      <c r="B5680" s="24"/>
    </row>
    <row r="5681" spans="2:2">
      <c r="B5681" s="24"/>
    </row>
    <row r="5682" spans="2:2">
      <c r="B5682" s="24"/>
    </row>
    <row r="5683" spans="2:2">
      <c r="B5683" s="24"/>
    </row>
    <row r="5684" spans="2:2">
      <c r="B5684" s="24"/>
    </row>
    <row r="5685" spans="2:2">
      <c r="B5685" s="24"/>
    </row>
    <row r="5686" spans="2:2">
      <c r="B5686" s="24"/>
    </row>
    <row r="5687" spans="2:2">
      <c r="B5687" s="24"/>
    </row>
    <row r="5688" spans="2:2">
      <c r="B5688" s="24"/>
    </row>
    <row r="5689" spans="2:2">
      <c r="B5689" s="24"/>
    </row>
    <row r="5690" spans="2:2">
      <c r="B5690" s="24"/>
    </row>
    <row r="5691" spans="2:2">
      <c r="B5691" s="24"/>
    </row>
    <row r="5692" spans="2:2">
      <c r="B5692" s="24"/>
    </row>
    <row r="5693" spans="2:2">
      <c r="B5693" s="24"/>
    </row>
    <row r="5694" spans="2:2">
      <c r="B5694" s="24"/>
    </row>
    <row r="5695" spans="2:2">
      <c r="B5695" s="24"/>
    </row>
    <row r="5696" spans="2:2">
      <c r="B5696" s="24"/>
    </row>
    <row r="5697" spans="2:2">
      <c r="B5697" s="24"/>
    </row>
    <row r="5698" spans="2:2">
      <c r="B5698" s="24"/>
    </row>
    <row r="5699" spans="2:2">
      <c r="B5699" s="24"/>
    </row>
    <row r="5700" spans="2:2">
      <c r="B5700" s="24"/>
    </row>
    <row r="5701" spans="2:2">
      <c r="B5701" s="24"/>
    </row>
    <row r="5702" spans="2:2">
      <c r="B5702" s="24"/>
    </row>
    <row r="5703" spans="2:2">
      <c r="B5703" s="24"/>
    </row>
    <row r="5704" spans="2:2">
      <c r="B5704" s="24"/>
    </row>
    <row r="5705" spans="2:2">
      <c r="B5705" s="24"/>
    </row>
    <row r="5706" spans="2:2">
      <c r="B5706" s="24"/>
    </row>
    <row r="5707" spans="2:2">
      <c r="B5707" s="24"/>
    </row>
    <row r="5708" spans="2:2">
      <c r="B5708" s="24"/>
    </row>
    <row r="5709" spans="2:2">
      <c r="B5709" s="24"/>
    </row>
    <row r="5710" spans="2:2">
      <c r="B5710" s="24"/>
    </row>
    <row r="5711" spans="2:2">
      <c r="B5711" s="24"/>
    </row>
    <row r="5712" spans="2:2">
      <c r="B5712" s="24"/>
    </row>
    <row r="5713" spans="2:2">
      <c r="B5713" s="24"/>
    </row>
    <row r="5714" spans="2:2">
      <c r="B5714" s="24"/>
    </row>
    <row r="5715" spans="2:2">
      <c r="B5715" s="24"/>
    </row>
    <row r="5716" spans="2:2">
      <c r="B5716" s="24"/>
    </row>
    <row r="5717" spans="2:2">
      <c r="B5717" s="24"/>
    </row>
    <row r="5718" spans="2:2">
      <c r="B5718" s="24"/>
    </row>
    <row r="5719" spans="2:2">
      <c r="B5719" s="24"/>
    </row>
    <row r="5720" spans="2:2">
      <c r="B5720" s="24"/>
    </row>
    <row r="5721" spans="2:2">
      <c r="B5721" s="24"/>
    </row>
    <row r="5722" spans="2:2">
      <c r="B5722" s="24"/>
    </row>
    <row r="5723" spans="2:2">
      <c r="B5723" s="24"/>
    </row>
    <row r="5724" spans="2:2">
      <c r="B5724" s="24"/>
    </row>
    <row r="5725" spans="2:2">
      <c r="B5725" s="24"/>
    </row>
    <row r="5726" spans="2:2">
      <c r="B5726" s="24"/>
    </row>
    <row r="5727" spans="2:2">
      <c r="B5727" s="24"/>
    </row>
    <row r="5728" spans="2:2">
      <c r="B5728" s="24"/>
    </row>
    <row r="5729" spans="2:2">
      <c r="B5729" s="24"/>
    </row>
    <row r="5730" spans="2:2">
      <c r="B5730" s="24"/>
    </row>
    <row r="5731" spans="2:2">
      <c r="B5731" s="24"/>
    </row>
    <row r="5732" spans="2:2">
      <c r="B5732" s="24"/>
    </row>
    <row r="5733" spans="2:2">
      <c r="B5733" s="24"/>
    </row>
    <row r="5734" spans="2:2">
      <c r="B5734" s="24"/>
    </row>
    <row r="5735" spans="2:2">
      <c r="B5735" s="24"/>
    </row>
    <row r="5736" spans="2:2">
      <c r="B5736" s="24"/>
    </row>
    <row r="5737" spans="2:2">
      <c r="B5737" s="24"/>
    </row>
    <row r="5738" spans="2:2">
      <c r="B5738" s="24"/>
    </row>
    <row r="5739" spans="2:2">
      <c r="B5739" s="24"/>
    </row>
    <row r="5740" spans="2:2">
      <c r="B5740" s="24"/>
    </row>
    <row r="5741" spans="2:2">
      <c r="B5741" s="24"/>
    </row>
    <row r="5742" spans="2:2">
      <c r="B5742" s="24"/>
    </row>
    <row r="5743" spans="2:2">
      <c r="B5743" s="24"/>
    </row>
    <row r="5744" spans="2:2">
      <c r="B5744" s="24"/>
    </row>
    <row r="5745" spans="2:2">
      <c r="B5745" s="24"/>
    </row>
    <row r="5746" spans="2:2">
      <c r="B5746" s="24"/>
    </row>
    <row r="5747" spans="2:2">
      <c r="B5747" s="24"/>
    </row>
    <row r="5748" spans="2:2">
      <c r="B5748" s="24"/>
    </row>
    <row r="5749" spans="2:2">
      <c r="B5749" s="24"/>
    </row>
    <row r="5750" spans="2:2">
      <c r="B5750" s="24"/>
    </row>
    <row r="5751" spans="2:2">
      <c r="B5751" s="24"/>
    </row>
    <row r="5752" spans="2:2">
      <c r="B5752" s="24"/>
    </row>
    <row r="5753" spans="2:2">
      <c r="B5753" s="24"/>
    </row>
    <row r="5754" spans="2:2">
      <c r="B5754" s="24"/>
    </row>
    <row r="5755" spans="2:2">
      <c r="B5755" s="24"/>
    </row>
    <row r="5756" spans="2:2">
      <c r="B5756" s="24"/>
    </row>
    <row r="5757" spans="2:2">
      <c r="B5757" s="24"/>
    </row>
    <row r="5758" spans="2:2">
      <c r="B5758" s="24"/>
    </row>
    <row r="5759" spans="2:2">
      <c r="B5759" s="24"/>
    </row>
    <row r="5760" spans="2:2">
      <c r="B5760" s="24"/>
    </row>
    <row r="5761" spans="2:2">
      <c r="B5761" s="24"/>
    </row>
    <row r="5762" spans="2:2">
      <c r="B5762" s="24"/>
    </row>
    <row r="5763" spans="2:2">
      <c r="B5763" s="24"/>
    </row>
    <row r="5764" spans="2:2">
      <c r="B5764" s="24"/>
    </row>
    <row r="5765" spans="2:2">
      <c r="B5765" s="24"/>
    </row>
    <row r="5766" spans="2:2">
      <c r="B5766" s="24"/>
    </row>
    <row r="5767" spans="2:2">
      <c r="B5767" s="24"/>
    </row>
    <row r="5768" spans="2:2">
      <c r="B5768" s="24"/>
    </row>
    <row r="5769" spans="2:2">
      <c r="B5769" s="24"/>
    </row>
    <row r="5770" spans="2:2">
      <c r="B5770" s="24"/>
    </row>
    <row r="5771" spans="2:2">
      <c r="B5771" s="24"/>
    </row>
    <row r="5772" spans="2:2">
      <c r="B5772" s="24"/>
    </row>
    <row r="5773" spans="2:2">
      <c r="B5773" s="24"/>
    </row>
    <row r="5774" spans="2:2">
      <c r="B5774" s="24"/>
    </row>
    <row r="5775" spans="2:2">
      <c r="B5775" s="24"/>
    </row>
    <row r="5776" spans="2:2">
      <c r="B5776" s="24"/>
    </row>
    <row r="5777" spans="2:2">
      <c r="B5777" s="24"/>
    </row>
    <row r="5778" spans="2:2">
      <c r="B5778" s="24"/>
    </row>
    <row r="5779" spans="2:2">
      <c r="B5779" s="24"/>
    </row>
    <row r="5780" spans="2:2">
      <c r="B5780" s="24"/>
    </row>
    <row r="5781" spans="2:2">
      <c r="B5781" s="24"/>
    </row>
    <row r="5782" spans="2:2">
      <c r="B5782" s="24"/>
    </row>
    <row r="5783" spans="2:2">
      <c r="B5783" s="24"/>
    </row>
    <row r="5784" spans="2:2">
      <c r="B5784" s="24"/>
    </row>
    <row r="5785" spans="2:2">
      <c r="B5785" s="24"/>
    </row>
    <row r="5786" spans="2:2">
      <c r="B5786" s="24"/>
    </row>
    <row r="5787" spans="2:2">
      <c r="B5787" s="24"/>
    </row>
    <row r="5788" spans="2:2">
      <c r="B5788" s="24"/>
    </row>
    <row r="5789" spans="2:2">
      <c r="B5789" s="24"/>
    </row>
    <row r="5790" spans="2:2">
      <c r="B5790" s="24"/>
    </row>
    <row r="5791" spans="2:2">
      <c r="B5791" s="24"/>
    </row>
    <row r="5792" spans="2:2">
      <c r="B5792" s="24"/>
    </row>
    <row r="5793" spans="2:2">
      <c r="B5793" s="24"/>
    </row>
    <row r="5794" spans="2:2">
      <c r="B5794" s="24"/>
    </row>
    <row r="5795" spans="2:2">
      <c r="B5795" s="24"/>
    </row>
    <row r="5796" spans="2:2">
      <c r="B5796" s="24"/>
    </row>
    <row r="5797" spans="2:2">
      <c r="B5797" s="24"/>
    </row>
    <row r="5798" spans="2:2">
      <c r="B5798" s="24"/>
    </row>
    <row r="5799" spans="2:2">
      <c r="B5799" s="24"/>
    </row>
    <row r="5800" spans="2:2">
      <c r="B5800" s="24"/>
    </row>
    <row r="5801" spans="2:2">
      <c r="B5801" s="24"/>
    </row>
    <row r="5802" spans="2:2">
      <c r="B5802" s="24"/>
    </row>
    <row r="5803" spans="2:2">
      <c r="B5803" s="24"/>
    </row>
    <row r="5804" spans="2:2">
      <c r="B5804" s="24"/>
    </row>
    <row r="5805" spans="2:2">
      <c r="B5805" s="24"/>
    </row>
    <row r="5806" spans="2:2">
      <c r="B5806" s="24"/>
    </row>
    <row r="5807" spans="2:2">
      <c r="B5807" s="24"/>
    </row>
    <row r="5808" spans="2:2">
      <c r="B5808" s="24"/>
    </row>
    <row r="5809" spans="2:2">
      <c r="B5809" s="24"/>
    </row>
    <row r="5810" spans="2:2">
      <c r="B5810" s="24"/>
    </row>
    <row r="5811" spans="2:2">
      <c r="B5811" s="24"/>
    </row>
    <row r="5812" spans="2:2">
      <c r="B5812" s="24"/>
    </row>
    <row r="5813" spans="2:2">
      <c r="B5813" s="24"/>
    </row>
    <row r="5814" spans="2:2">
      <c r="B5814" s="24"/>
    </row>
    <row r="5815" spans="2:2">
      <c r="B5815" s="24"/>
    </row>
    <row r="5816" spans="2:2">
      <c r="B5816" s="24"/>
    </row>
    <row r="5817" spans="2:2">
      <c r="B5817" s="24"/>
    </row>
    <row r="5818" spans="2:2">
      <c r="B5818" s="24"/>
    </row>
    <row r="5819" spans="2:2">
      <c r="B5819" s="24"/>
    </row>
    <row r="5820" spans="2:2">
      <c r="B5820" s="24"/>
    </row>
    <row r="5821" spans="2:2">
      <c r="B5821" s="24"/>
    </row>
    <row r="5822" spans="2:2">
      <c r="B5822" s="24"/>
    </row>
    <row r="5823" spans="2:2">
      <c r="B5823" s="24"/>
    </row>
    <row r="5824" spans="2:2">
      <c r="B5824" s="24"/>
    </row>
    <row r="5825" spans="2:2">
      <c r="B5825" s="24"/>
    </row>
    <row r="5826" spans="2:2">
      <c r="B5826" s="24"/>
    </row>
    <row r="5827" spans="2:2">
      <c r="B5827" s="24"/>
    </row>
    <row r="5828" spans="2:2">
      <c r="B5828" s="24"/>
    </row>
    <row r="5829" spans="2:2">
      <c r="B5829" s="24"/>
    </row>
    <row r="5830" spans="2:2">
      <c r="B5830" s="24"/>
    </row>
    <row r="5831" spans="2:2">
      <c r="B5831" s="24"/>
    </row>
    <row r="5832" spans="2:2">
      <c r="B5832" s="24"/>
    </row>
    <row r="5833" spans="2:2">
      <c r="B5833" s="24"/>
    </row>
    <row r="5834" spans="2:2">
      <c r="B5834" s="24"/>
    </row>
    <row r="5835" spans="2:2">
      <c r="B5835" s="24"/>
    </row>
    <row r="5836" spans="2:2">
      <c r="B5836" s="24"/>
    </row>
    <row r="5837" spans="2:2">
      <c r="B5837" s="24"/>
    </row>
    <row r="5838" spans="2:2">
      <c r="B5838" s="24"/>
    </row>
    <row r="5839" spans="2:2">
      <c r="B5839" s="24"/>
    </row>
    <row r="5840" spans="2:2">
      <c r="B5840" s="24"/>
    </row>
    <row r="5841" spans="2:2">
      <c r="B5841" s="24"/>
    </row>
    <row r="5842" spans="2:2">
      <c r="B5842" s="24"/>
    </row>
    <row r="5843" spans="2:2">
      <c r="B5843" s="24"/>
    </row>
    <row r="5844" spans="2:2">
      <c r="B5844" s="24"/>
    </row>
    <row r="5845" spans="2:2">
      <c r="B5845" s="24"/>
    </row>
    <row r="5846" spans="2:2">
      <c r="B5846" s="24"/>
    </row>
    <row r="5847" spans="2:2">
      <c r="B5847" s="24"/>
    </row>
    <row r="5848" spans="2:2">
      <c r="B5848" s="24"/>
    </row>
    <row r="5849" spans="2:2">
      <c r="B5849" s="24"/>
    </row>
    <row r="5850" spans="2:2">
      <c r="B5850" s="24"/>
    </row>
    <row r="5851" spans="2:2">
      <c r="B5851" s="24"/>
    </row>
    <row r="5852" spans="2:2">
      <c r="B5852" s="24"/>
    </row>
    <row r="5853" spans="2:2">
      <c r="B5853" s="24"/>
    </row>
    <row r="5854" spans="2:2">
      <c r="B5854" s="24"/>
    </row>
    <row r="5855" spans="2:2">
      <c r="B5855" s="24"/>
    </row>
    <row r="5856" spans="2:2">
      <c r="B5856" s="24"/>
    </row>
    <row r="5857" spans="2:2">
      <c r="B5857" s="24"/>
    </row>
    <row r="5858" spans="2:2">
      <c r="B5858" s="24"/>
    </row>
    <row r="5859" spans="2:2">
      <c r="B5859" s="24"/>
    </row>
    <row r="5860" spans="2:2">
      <c r="B5860" s="24"/>
    </row>
    <row r="5861" spans="2:2">
      <c r="B5861" s="24"/>
    </row>
    <row r="5862" spans="2:2">
      <c r="B5862" s="24"/>
    </row>
    <row r="5863" spans="2:2">
      <c r="B5863" s="24"/>
    </row>
    <row r="5864" spans="2:2">
      <c r="B5864" s="24"/>
    </row>
    <row r="5865" spans="2:2">
      <c r="B5865" s="24"/>
    </row>
    <row r="5866" spans="2:2">
      <c r="B5866" s="24"/>
    </row>
    <row r="5867" spans="2:2">
      <c r="B5867" s="24"/>
    </row>
    <row r="5868" spans="2:2">
      <c r="B5868" s="24"/>
    </row>
    <row r="5869" spans="2:2">
      <c r="B5869" s="24"/>
    </row>
    <row r="5870" spans="2:2">
      <c r="B5870" s="24"/>
    </row>
    <row r="5871" spans="2:2">
      <c r="B5871" s="24"/>
    </row>
    <row r="5872" spans="2:2">
      <c r="B5872" s="24"/>
    </row>
    <row r="5873" spans="2:2">
      <c r="B5873" s="24"/>
    </row>
    <row r="5874" spans="2:2">
      <c r="B5874" s="24"/>
    </row>
    <row r="5875" spans="2:2">
      <c r="B5875" s="24"/>
    </row>
    <row r="5876" spans="2:2">
      <c r="B5876" s="24"/>
    </row>
    <row r="5877" spans="2:2">
      <c r="B5877" s="24"/>
    </row>
    <row r="5878" spans="2:2">
      <c r="B5878" s="24"/>
    </row>
    <row r="5879" spans="2:2">
      <c r="B5879" s="24"/>
    </row>
    <row r="5880" spans="2:2">
      <c r="B5880" s="24"/>
    </row>
    <row r="5881" spans="2:2">
      <c r="B5881" s="24"/>
    </row>
    <row r="5882" spans="2:2">
      <c r="B5882" s="24"/>
    </row>
    <row r="5883" spans="2:2">
      <c r="B5883" s="24"/>
    </row>
    <row r="5884" spans="2:2">
      <c r="B5884" s="24"/>
    </row>
    <row r="5885" spans="2:2">
      <c r="B5885" s="24"/>
    </row>
    <row r="5886" spans="2:2">
      <c r="B5886" s="24"/>
    </row>
    <row r="5887" spans="2:2">
      <c r="B5887" s="24"/>
    </row>
    <row r="5888" spans="2:2">
      <c r="B5888" s="24"/>
    </row>
    <row r="5889" spans="2:2">
      <c r="B5889" s="24"/>
    </row>
    <row r="5890" spans="2:2">
      <c r="B5890" s="24"/>
    </row>
    <row r="5891" spans="2:2">
      <c r="B5891" s="24"/>
    </row>
    <row r="5892" spans="2:2">
      <c r="B5892" s="24"/>
    </row>
    <row r="5893" spans="2:2">
      <c r="B5893" s="24"/>
    </row>
    <row r="5894" spans="2:2">
      <c r="B5894" s="24"/>
    </row>
    <row r="5895" spans="2:2">
      <c r="B5895" s="24"/>
    </row>
    <row r="5896" spans="2:2">
      <c r="B5896" s="24"/>
    </row>
    <row r="5897" spans="2:2">
      <c r="B5897" s="24"/>
    </row>
    <row r="5898" spans="2:2">
      <c r="B5898" s="24"/>
    </row>
    <row r="5899" spans="2:2">
      <c r="B5899" s="24"/>
    </row>
    <row r="5900" spans="2:2">
      <c r="B5900" s="24"/>
    </row>
    <row r="5901" spans="2:2">
      <c r="B5901" s="24"/>
    </row>
    <row r="5902" spans="2:2">
      <c r="B5902" s="24"/>
    </row>
    <row r="5903" spans="2:2">
      <c r="B5903" s="24"/>
    </row>
    <row r="5904" spans="2:2">
      <c r="B5904" s="24"/>
    </row>
    <row r="5905" spans="2:2">
      <c r="B5905" s="24"/>
    </row>
    <row r="5906" spans="2:2">
      <c r="B5906" s="24"/>
    </row>
    <row r="5907" spans="2:2">
      <c r="B5907" s="24"/>
    </row>
    <row r="5908" spans="2:2">
      <c r="B5908" s="24"/>
    </row>
    <row r="5909" spans="2:2">
      <c r="B5909" s="24"/>
    </row>
    <row r="5910" spans="2:2">
      <c r="B5910" s="24"/>
    </row>
    <row r="5911" spans="2:2">
      <c r="B5911" s="24"/>
    </row>
    <row r="5912" spans="2:2">
      <c r="B5912" s="24"/>
    </row>
    <row r="5913" spans="2:2">
      <c r="B5913" s="24"/>
    </row>
    <row r="5914" spans="2:2">
      <c r="B5914" s="24"/>
    </row>
    <row r="5915" spans="2:2">
      <c r="B5915" s="24"/>
    </row>
    <row r="5916" spans="2:2">
      <c r="B5916" s="24"/>
    </row>
    <row r="5917" spans="2:2">
      <c r="B5917" s="24"/>
    </row>
    <row r="5918" spans="2:2">
      <c r="B5918" s="24"/>
    </row>
    <row r="5919" spans="2:2">
      <c r="B5919" s="24"/>
    </row>
    <row r="5920" spans="2:2">
      <c r="B5920" s="24"/>
    </row>
    <row r="5921" spans="2:2">
      <c r="B5921" s="24"/>
    </row>
    <row r="5922" spans="2:2">
      <c r="B5922" s="24"/>
    </row>
    <row r="5923" spans="2:2">
      <c r="B5923" s="24"/>
    </row>
    <row r="5924" spans="2:2">
      <c r="B5924" s="24"/>
    </row>
    <row r="5925" spans="2:2">
      <c r="B5925" s="24"/>
    </row>
    <row r="5926" spans="2:2">
      <c r="B5926" s="24"/>
    </row>
    <row r="5927" spans="2:2">
      <c r="B5927" s="24"/>
    </row>
    <row r="5928" spans="2:2">
      <c r="B5928" s="24"/>
    </row>
    <row r="5929" spans="2:2">
      <c r="B5929" s="24"/>
    </row>
    <row r="5930" spans="2:2">
      <c r="B5930" s="24"/>
    </row>
    <row r="5931" spans="2:2">
      <c r="B5931" s="24"/>
    </row>
    <row r="5932" spans="2:2">
      <c r="B5932" s="24"/>
    </row>
    <row r="5933" spans="2:2">
      <c r="B5933" s="24"/>
    </row>
    <row r="5934" spans="2:2">
      <c r="B5934" s="24"/>
    </row>
    <row r="5935" spans="2:2">
      <c r="B5935" s="24"/>
    </row>
    <row r="5936" spans="2:2">
      <c r="B5936" s="24"/>
    </row>
    <row r="5937" spans="2:2">
      <c r="B5937" s="24"/>
    </row>
    <row r="5938" spans="2:2">
      <c r="B5938" s="24"/>
    </row>
    <row r="5939" spans="2:2">
      <c r="B5939" s="24"/>
    </row>
    <row r="5940" spans="2:2">
      <c r="B5940" s="24"/>
    </row>
    <row r="5941" spans="2:2">
      <c r="B5941" s="24"/>
    </row>
    <row r="5942" spans="2:2">
      <c r="B5942" s="24"/>
    </row>
    <row r="5943" spans="2:2">
      <c r="B5943" s="24"/>
    </row>
    <row r="5944" spans="2:2">
      <c r="B5944" s="24"/>
    </row>
    <row r="5945" spans="2:2">
      <c r="B5945" s="24"/>
    </row>
    <row r="5946" spans="2:2">
      <c r="B5946" s="24"/>
    </row>
    <row r="5947" spans="2:2">
      <c r="B5947" s="24"/>
    </row>
    <row r="5948" spans="2:2">
      <c r="B5948" s="24"/>
    </row>
    <row r="5949" spans="2:2">
      <c r="B5949" s="24"/>
    </row>
    <row r="5950" spans="2:2">
      <c r="B5950" s="24"/>
    </row>
    <row r="5951" spans="2:2">
      <c r="B5951" s="24"/>
    </row>
    <row r="5952" spans="2:2">
      <c r="B5952" s="24"/>
    </row>
    <row r="5953" spans="2:2">
      <c r="B5953" s="24"/>
    </row>
    <row r="5954" spans="2:2">
      <c r="B5954" s="24"/>
    </row>
    <row r="5955" spans="2:2">
      <c r="B5955" s="24"/>
    </row>
    <row r="5956" spans="2:2">
      <c r="B5956" s="24"/>
    </row>
    <row r="5957" spans="2:2">
      <c r="B5957" s="24"/>
    </row>
    <row r="5958" spans="2:2">
      <c r="B5958" s="24"/>
    </row>
    <row r="5959" spans="2:2">
      <c r="B5959" s="24"/>
    </row>
    <row r="5960" spans="2:2">
      <c r="B5960" s="24"/>
    </row>
    <row r="5961" spans="2:2">
      <c r="B5961" s="24"/>
    </row>
    <row r="5962" spans="2:2">
      <c r="B5962" s="24"/>
    </row>
    <row r="5963" spans="2:2">
      <c r="B5963" s="24"/>
    </row>
    <row r="5964" spans="2:2">
      <c r="B5964" s="24"/>
    </row>
    <row r="5965" spans="2:2">
      <c r="B5965" s="24"/>
    </row>
    <row r="5966" spans="2:2">
      <c r="B5966" s="24"/>
    </row>
    <row r="5967" spans="2:2">
      <c r="B5967" s="24"/>
    </row>
    <row r="5968" spans="2:2">
      <c r="B5968" s="24"/>
    </row>
    <row r="5969" spans="2:2">
      <c r="B5969" s="24"/>
    </row>
    <row r="5970" spans="2:2">
      <c r="B5970" s="24"/>
    </row>
    <row r="5971" spans="2:2">
      <c r="B5971" s="24"/>
    </row>
    <row r="5972" spans="2:2">
      <c r="B5972" s="24"/>
    </row>
    <row r="5973" spans="2:2">
      <c r="B5973" s="24"/>
    </row>
    <row r="5974" spans="2:2">
      <c r="B5974" s="24"/>
    </row>
    <row r="5975" spans="2:2">
      <c r="B5975" s="24"/>
    </row>
    <row r="5976" spans="2:2">
      <c r="B5976" s="24"/>
    </row>
    <row r="5977" spans="2:2">
      <c r="B5977" s="24"/>
    </row>
    <row r="5978" spans="2:2">
      <c r="B5978" s="24"/>
    </row>
    <row r="5979" spans="2:2">
      <c r="B5979" s="24"/>
    </row>
    <row r="5980" spans="2:2">
      <c r="B5980" s="24"/>
    </row>
    <row r="5981" spans="2:2">
      <c r="B5981" s="24"/>
    </row>
    <row r="5982" spans="2:2">
      <c r="B5982" s="24"/>
    </row>
    <row r="5983" spans="2:2">
      <c r="B5983" s="24"/>
    </row>
    <row r="5984" spans="2:2">
      <c r="B5984" s="24"/>
    </row>
    <row r="5985" spans="2:2">
      <c r="B5985" s="24"/>
    </row>
    <row r="5986" spans="2:2">
      <c r="B5986" s="24"/>
    </row>
    <row r="5987" spans="2:2">
      <c r="B5987" s="24"/>
    </row>
    <row r="5988" spans="2:2">
      <c r="B5988" s="24"/>
    </row>
    <row r="5989" spans="2:2">
      <c r="B5989" s="24"/>
    </row>
    <row r="5990" spans="2:2">
      <c r="B5990" s="24"/>
    </row>
    <row r="5991" spans="2:2">
      <c r="B5991" s="24"/>
    </row>
    <row r="5992" spans="2:2">
      <c r="B5992" s="24"/>
    </row>
    <row r="5993" spans="2:2">
      <c r="B5993" s="24"/>
    </row>
    <row r="5994" spans="2:2">
      <c r="B5994" s="24"/>
    </row>
    <row r="5995" spans="2:2">
      <c r="B5995" s="24"/>
    </row>
    <row r="5996" spans="2:2">
      <c r="B5996" s="24"/>
    </row>
    <row r="5997" spans="2:2">
      <c r="B5997" s="24"/>
    </row>
    <row r="5998" spans="2:2">
      <c r="B5998" s="24"/>
    </row>
    <row r="5999" spans="2:2">
      <c r="B5999" s="24"/>
    </row>
    <row r="6000" spans="2:2">
      <c r="B6000" s="24"/>
    </row>
    <row r="6001" spans="2:2">
      <c r="B6001" s="24"/>
    </row>
    <row r="6002" spans="2:2">
      <c r="B6002" s="24"/>
    </row>
    <row r="6003" spans="2:2">
      <c r="B6003" s="24"/>
    </row>
    <row r="6004" spans="2:2">
      <c r="B6004" s="24"/>
    </row>
    <row r="6005" spans="2:2">
      <c r="B6005" s="24"/>
    </row>
    <row r="6006" spans="2:2">
      <c r="B6006" s="24"/>
    </row>
    <row r="6007" spans="2:2">
      <c r="B6007" s="24"/>
    </row>
    <row r="6008" spans="2:2">
      <c r="B6008" s="24"/>
    </row>
    <row r="6009" spans="2:2">
      <c r="B6009" s="24"/>
    </row>
    <row r="6010" spans="2:2">
      <c r="B6010" s="24"/>
    </row>
    <row r="6011" spans="2:2">
      <c r="B6011" s="24"/>
    </row>
    <row r="6012" spans="2:2">
      <c r="B6012" s="24"/>
    </row>
    <row r="6013" spans="2:2">
      <c r="B6013" s="24"/>
    </row>
    <row r="6014" spans="2:2">
      <c r="B6014" s="24"/>
    </row>
    <row r="6015" spans="2:2">
      <c r="B6015" s="24"/>
    </row>
    <row r="6016" spans="2:2">
      <c r="B6016" s="24"/>
    </row>
    <row r="6017" spans="2:2">
      <c r="B6017" s="24"/>
    </row>
    <row r="6018" spans="2:2">
      <c r="B6018" s="24"/>
    </row>
    <row r="6019" spans="2:2">
      <c r="B6019" s="24"/>
    </row>
    <row r="6020" spans="2:2">
      <c r="B6020" s="24"/>
    </row>
    <row r="6021" spans="2:2">
      <c r="B6021" s="24"/>
    </row>
    <row r="6022" spans="2:2">
      <c r="B6022" s="24"/>
    </row>
    <row r="6023" spans="2:2">
      <c r="B6023" s="24"/>
    </row>
    <row r="6024" spans="2:2">
      <c r="B6024" s="24"/>
    </row>
    <row r="6025" spans="2:2">
      <c r="B6025" s="24"/>
    </row>
    <row r="6026" spans="2:2">
      <c r="B6026" s="24"/>
    </row>
    <row r="6027" spans="2:2">
      <c r="B6027" s="24"/>
    </row>
    <row r="6028" spans="2:2">
      <c r="B6028" s="24"/>
    </row>
    <row r="6029" spans="2:2">
      <c r="B6029" s="24"/>
    </row>
    <row r="6030" spans="2:2">
      <c r="B6030" s="24"/>
    </row>
    <row r="6031" spans="2:2">
      <c r="B6031" s="24"/>
    </row>
    <row r="6032" spans="2:2">
      <c r="B6032" s="24"/>
    </row>
    <row r="6033" spans="2:2">
      <c r="B6033" s="24"/>
    </row>
    <row r="6034" spans="2:2">
      <c r="B6034" s="24"/>
    </row>
    <row r="6035" spans="2:2">
      <c r="B6035" s="24"/>
    </row>
    <row r="6036" spans="2:2">
      <c r="B6036" s="24"/>
    </row>
    <row r="6037" spans="2:2">
      <c r="B6037" s="24"/>
    </row>
    <row r="6038" spans="2:2">
      <c r="B6038" s="24"/>
    </row>
    <row r="6039" spans="2:2">
      <c r="B6039" s="24"/>
    </row>
    <row r="6040" spans="2:2">
      <c r="B6040" s="24"/>
    </row>
    <row r="6041" spans="2:2">
      <c r="B6041" s="24"/>
    </row>
    <row r="6042" spans="2:2">
      <c r="B6042" s="24"/>
    </row>
    <row r="6043" spans="2:2">
      <c r="B6043" s="24"/>
    </row>
    <row r="6044" spans="2:2">
      <c r="B6044" s="24"/>
    </row>
    <row r="6045" spans="2:2">
      <c r="B6045" s="24"/>
    </row>
    <row r="6046" spans="2:2">
      <c r="B6046" s="24"/>
    </row>
    <row r="6047" spans="2:2">
      <c r="B6047" s="24"/>
    </row>
    <row r="6048" spans="2:2">
      <c r="B6048" s="24"/>
    </row>
    <row r="6049" spans="2:2">
      <c r="B6049" s="24"/>
    </row>
    <row r="6050" spans="2:2">
      <c r="B6050" s="24"/>
    </row>
    <row r="6051" spans="2:2">
      <c r="B6051" s="24"/>
    </row>
    <row r="6052" spans="2:2">
      <c r="B6052" s="24"/>
    </row>
    <row r="6053" spans="2:2">
      <c r="B6053" s="24"/>
    </row>
    <row r="6054" spans="2:2">
      <c r="B6054" s="24"/>
    </row>
    <row r="6055" spans="2:2">
      <c r="B6055" s="24"/>
    </row>
    <row r="6056" spans="2:2">
      <c r="B6056" s="24"/>
    </row>
    <row r="6057" spans="2:2">
      <c r="B6057" s="24"/>
    </row>
    <row r="6058" spans="2:2">
      <c r="B6058" s="24"/>
    </row>
    <row r="6059" spans="2:2">
      <c r="B6059" s="24"/>
    </row>
    <row r="6060" spans="2:2">
      <c r="B6060" s="24"/>
    </row>
    <row r="6061" spans="2:2">
      <c r="B6061" s="24"/>
    </row>
    <row r="6062" spans="2:2">
      <c r="B6062" s="24"/>
    </row>
    <row r="6063" spans="2:2">
      <c r="B6063" s="24"/>
    </row>
    <row r="6064" spans="2:2">
      <c r="B6064" s="24"/>
    </row>
    <row r="6065" spans="2:2">
      <c r="B6065" s="24"/>
    </row>
    <row r="6066" spans="2:2">
      <c r="B6066" s="24"/>
    </row>
    <row r="6067" spans="2:2">
      <c r="B6067" s="24"/>
    </row>
    <row r="6068" spans="2:2">
      <c r="B6068" s="24"/>
    </row>
    <row r="6069" spans="2:2">
      <c r="B6069" s="24"/>
    </row>
    <row r="6070" spans="2:2">
      <c r="B6070" s="24"/>
    </row>
    <row r="6071" spans="2:2">
      <c r="B6071" s="24"/>
    </row>
    <row r="6072" spans="2:2">
      <c r="B6072" s="24"/>
    </row>
    <row r="6073" spans="2:2">
      <c r="B6073" s="24"/>
    </row>
    <row r="6074" spans="2:2">
      <c r="B6074" s="24"/>
    </row>
    <row r="6075" spans="2:2">
      <c r="B6075" s="24"/>
    </row>
    <row r="6076" spans="2:2">
      <c r="B6076" s="24"/>
    </row>
    <row r="6077" spans="2:2">
      <c r="B6077" s="24"/>
    </row>
    <row r="6078" spans="2:2">
      <c r="B6078" s="24"/>
    </row>
    <row r="6079" spans="2:2">
      <c r="B6079" s="24"/>
    </row>
    <row r="6080" spans="2:2">
      <c r="B6080" s="24"/>
    </row>
    <row r="6081" spans="2:2">
      <c r="B6081" s="24"/>
    </row>
    <row r="6082" spans="2:2">
      <c r="B6082" s="24"/>
    </row>
    <row r="6083" spans="2:2">
      <c r="B6083" s="24"/>
    </row>
    <row r="6084" spans="2:2">
      <c r="B6084" s="24"/>
    </row>
    <row r="6085" spans="2:2">
      <c r="B6085" s="24"/>
    </row>
    <row r="6086" spans="2:2">
      <c r="B6086" s="24"/>
    </row>
    <row r="6087" spans="2:2">
      <c r="B6087" s="24"/>
    </row>
    <row r="6088" spans="2:2">
      <c r="B6088" s="24"/>
    </row>
    <row r="6089" spans="2:2">
      <c r="B6089" s="24"/>
    </row>
    <row r="6090" spans="2:2">
      <c r="B6090" s="24"/>
    </row>
    <row r="6091" spans="2:2">
      <c r="B6091" s="24"/>
    </row>
    <row r="6092" spans="2:2">
      <c r="B6092" s="24"/>
    </row>
    <row r="6093" spans="2:2">
      <c r="B6093" s="24"/>
    </row>
    <row r="6094" spans="2:2">
      <c r="B6094" s="24"/>
    </row>
    <row r="6095" spans="2:2">
      <c r="B6095" s="24"/>
    </row>
    <row r="6096" spans="2:2">
      <c r="B6096" s="24"/>
    </row>
    <row r="6097" spans="2:2">
      <c r="B6097" s="24"/>
    </row>
    <row r="6098" spans="2:2">
      <c r="B6098" s="24"/>
    </row>
    <row r="6099" spans="2:2">
      <c r="B6099" s="24"/>
    </row>
    <row r="6100" spans="2:2">
      <c r="B6100" s="24"/>
    </row>
    <row r="6101" spans="2:2">
      <c r="B6101" s="24"/>
    </row>
    <row r="6102" spans="2:2">
      <c r="B6102" s="24"/>
    </row>
    <row r="6103" spans="2:2">
      <c r="B6103" s="24"/>
    </row>
    <row r="6104" spans="2:2">
      <c r="B6104" s="24"/>
    </row>
    <row r="6105" spans="2:2">
      <c r="B6105" s="24"/>
    </row>
    <row r="6106" spans="2:2">
      <c r="B6106" s="24"/>
    </row>
    <row r="6107" spans="2:2">
      <c r="B6107" s="24"/>
    </row>
    <row r="6108" spans="2:2">
      <c r="B6108" s="24"/>
    </row>
    <row r="6109" spans="2:2">
      <c r="B6109" s="24"/>
    </row>
    <row r="6110" spans="2:2">
      <c r="B6110" s="24"/>
    </row>
    <row r="6111" spans="2:2">
      <c r="B6111" s="24"/>
    </row>
    <row r="6112" spans="2:2">
      <c r="B6112" s="24"/>
    </row>
    <row r="6113" spans="2:2">
      <c r="B6113" s="24"/>
    </row>
    <row r="6114" spans="2:2">
      <c r="B6114" s="24"/>
    </row>
    <row r="6115" spans="2:2">
      <c r="B6115" s="24"/>
    </row>
    <row r="6116" spans="2:2">
      <c r="B6116" s="24"/>
    </row>
    <row r="6117" spans="2:2">
      <c r="B6117" s="24"/>
    </row>
    <row r="6118" spans="2:2">
      <c r="B6118" s="24"/>
    </row>
    <row r="6119" spans="2:2">
      <c r="B6119" s="24"/>
    </row>
    <row r="6120" spans="2:2">
      <c r="B6120" s="24"/>
    </row>
    <row r="6121" spans="2:2">
      <c r="B6121" s="24"/>
    </row>
    <row r="6122" spans="2:2">
      <c r="B6122" s="24"/>
    </row>
    <row r="6123" spans="2:2">
      <c r="B6123" s="24"/>
    </row>
    <row r="6124" spans="2:2">
      <c r="B6124" s="24"/>
    </row>
    <row r="6125" spans="2:2">
      <c r="B6125" s="24"/>
    </row>
    <row r="6126" spans="2:2">
      <c r="B6126" s="24"/>
    </row>
    <row r="6127" spans="2:2">
      <c r="B6127" s="24"/>
    </row>
    <row r="6128" spans="2:2">
      <c r="B6128" s="24"/>
    </row>
    <row r="6129" spans="2:2">
      <c r="B6129" s="24"/>
    </row>
    <row r="6130" spans="2:2">
      <c r="B6130" s="24"/>
    </row>
    <row r="6131" spans="2:2">
      <c r="B6131" s="24"/>
    </row>
    <row r="6132" spans="2:2">
      <c r="B6132" s="24"/>
    </row>
    <row r="6133" spans="2:2">
      <c r="B6133" s="24"/>
    </row>
    <row r="6134" spans="2:2">
      <c r="B6134" s="24"/>
    </row>
    <row r="6135" spans="2:2">
      <c r="B6135" s="24"/>
    </row>
    <row r="6136" spans="2:2">
      <c r="B6136" s="24"/>
    </row>
    <row r="6137" spans="2:2">
      <c r="B6137" s="24"/>
    </row>
    <row r="6138" spans="2:2">
      <c r="B6138" s="24"/>
    </row>
    <row r="6139" spans="2:2">
      <c r="B6139" s="24"/>
    </row>
    <row r="6140" spans="2:2">
      <c r="B6140" s="24"/>
    </row>
    <row r="6141" spans="2:2">
      <c r="B6141" s="24"/>
    </row>
    <row r="6142" spans="2:2">
      <c r="B6142" s="24"/>
    </row>
    <row r="6143" spans="2:2">
      <c r="B6143" s="24"/>
    </row>
    <row r="6144" spans="2:2">
      <c r="B6144" s="24"/>
    </row>
    <row r="6145" spans="2:2">
      <c r="B6145" s="24"/>
    </row>
    <row r="6146" spans="2:2">
      <c r="B6146" s="24"/>
    </row>
    <row r="6147" spans="2:2">
      <c r="B6147" s="24"/>
    </row>
    <row r="6148" spans="2:2">
      <c r="B6148" s="24"/>
    </row>
    <row r="6149" spans="2:2">
      <c r="B6149" s="24"/>
    </row>
    <row r="6150" spans="2:2">
      <c r="B6150" s="24"/>
    </row>
    <row r="6151" spans="2:2">
      <c r="B6151" s="24"/>
    </row>
    <row r="6152" spans="2:2">
      <c r="B6152" s="24"/>
    </row>
    <row r="6153" spans="2:2">
      <c r="B6153" s="24"/>
    </row>
    <row r="6154" spans="2:2">
      <c r="B6154" s="24"/>
    </row>
    <row r="6155" spans="2:2">
      <c r="B6155" s="24"/>
    </row>
    <row r="6156" spans="2:2">
      <c r="B6156" s="24"/>
    </row>
    <row r="6157" spans="2:2">
      <c r="B6157" s="24"/>
    </row>
    <row r="6158" spans="2:2">
      <c r="B6158" s="24"/>
    </row>
    <row r="6159" spans="2:2">
      <c r="B6159" s="24"/>
    </row>
    <row r="6160" spans="2:2">
      <c r="B6160" s="24"/>
    </row>
    <row r="6161" spans="2:2">
      <c r="B6161" s="24"/>
    </row>
    <row r="6162" spans="2:2">
      <c r="B6162" s="24"/>
    </row>
    <row r="6163" spans="2:2">
      <c r="B6163" s="24"/>
    </row>
    <row r="6164" spans="2:2">
      <c r="B6164" s="24"/>
    </row>
    <row r="6165" spans="2:2">
      <c r="B6165" s="24"/>
    </row>
    <row r="6166" spans="2:2">
      <c r="B6166" s="24"/>
    </row>
    <row r="6167" spans="2:2">
      <c r="B6167" s="24"/>
    </row>
    <row r="6168" spans="2:2">
      <c r="B6168" s="24"/>
    </row>
    <row r="6169" spans="2:2">
      <c r="B6169" s="24"/>
    </row>
    <row r="6170" spans="2:2">
      <c r="B6170" s="24"/>
    </row>
    <row r="6171" spans="2:2">
      <c r="B6171" s="24"/>
    </row>
    <row r="6172" spans="2:2">
      <c r="B6172" s="24"/>
    </row>
    <row r="6173" spans="2:2">
      <c r="B6173" s="24"/>
    </row>
    <row r="6174" spans="2:2">
      <c r="B6174" s="24"/>
    </row>
    <row r="6175" spans="2:2">
      <c r="B6175" s="24"/>
    </row>
    <row r="6176" spans="2:2">
      <c r="B6176" s="24"/>
    </row>
    <row r="6177" spans="2:2">
      <c r="B6177" s="24"/>
    </row>
    <row r="6178" spans="2:2">
      <c r="B6178" s="24"/>
    </row>
    <row r="6179" spans="2:2">
      <c r="B6179" s="24"/>
    </row>
    <row r="6180" spans="2:2">
      <c r="B6180" s="24"/>
    </row>
    <row r="6181" spans="2:2">
      <c r="B6181" s="24"/>
    </row>
    <row r="6182" spans="2:2">
      <c r="B6182" s="24"/>
    </row>
    <row r="6183" spans="2:2">
      <c r="B6183" s="24"/>
    </row>
    <row r="6184" spans="2:2">
      <c r="B6184" s="24"/>
    </row>
    <row r="6185" spans="2:2">
      <c r="B6185" s="24"/>
    </row>
    <row r="6186" spans="2:2">
      <c r="B6186" s="24"/>
    </row>
    <row r="6187" spans="2:2">
      <c r="B6187" s="24"/>
    </row>
    <row r="6188" spans="2:2">
      <c r="B6188" s="24"/>
    </row>
    <row r="6189" spans="2:2">
      <c r="B6189" s="24"/>
    </row>
    <row r="6190" spans="2:2">
      <c r="B6190" s="24"/>
    </row>
    <row r="6191" spans="2:2">
      <c r="B6191" s="24"/>
    </row>
    <row r="6192" spans="2:2">
      <c r="B6192" s="24"/>
    </row>
    <row r="6193" spans="2:2">
      <c r="B6193" s="24"/>
    </row>
    <row r="6194" spans="2:2">
      <c r="B6194" s="24"/>
    </row>
    <row r="6195" spans="2:2">
      <c r="B6195" s="24"/>
    </row>
    <row r="6196" spans="2:2">
      <c r="B6196" s="24"/>
    </row>
    <row r="6197" spans="2:2">
      <c r="B6197" s="24"/>
    </row>
    <row r="6198" spans="2:2">
      <c r="B6198" s="24"/>
    </row>
    <row r="6199" spans="2:2">
      <c r="B6199" s="24"/>
    </row>
    <row r="6200" spans="2:2">
      <c r="B6200" s="24"/>
    </row>
    <row r="6201" spans="2:2">
      <c r="B6201" s="24"/>
    </row>
    <row r="6202" spans="2:2">
      <c r="B6202" s="24"/>
    </row>
    <row r="6203" spans="2:2">
      <c r="B6203" s="24"/>
    </row>
    <row r="6204" spans="2:2">
      <c r="B6204" s="24"/>
    </row>
    <row r="6205" spans="2:2">
      <c r="B6205" s="24"/>
    </row>
    <row r="6206" spans="2:2">
      <c r="B6206" s="24"/>
    </row>
    <row r="6207" spans="2:2">
      <c r="B6207" s="24"/>
    </row>
    <row r="6208" spans="2:2">
      <c r="B6208" s="24"/>
    </row>
    <row r="6209" spans="2:2">
      <c r="B6209" s="24"/>
    </row>
    <row r="6210" spans="2:2">
      <c r="B6210" s="24"/>
    </row>
    <row r="6211" spans="2:2">
      <c r="B6211" s="24"/>
    </row>
    <row r="6212" spans="2:2">
      <c r="B6212" s="24"/>
    </row>
    <row r="6213" spans="2:2">
      <c r="B6213" s="24"/>
    </row>
    <row r="6214" spans="2:2">
      <c r="B6214" s="24"/>
    </row>
    <row r="6215" spans="2:2">
      <c r="B6215" s="24"/>
    </row>
    <row r="6216" spans="2:2">
      <c r="B6216" s="24"/>
    </row>
    <row r="6217" spans="2:2">
      <c r="B6217" s="24"/>
    </row>
    <row r="6218" spans="2:2">
      <c r="B6218" s="24"/>
    </row>
    <row r="6219" spans="2:2">
      <c r="B6219" s="24"/>
    </row>
    <row r="6220" spans="2:2">
      <c r="B6220" s="24"/>
    </row>
    <row r="6221" spans="2:2">
      <c r="B6221" s="24"/>
    </row>
    <row r="6222" spans="2:2">
      <c r="B6222" s="24"/>
    </row>
    <row r="6223" spans="2:2">
      <c r="B6223" s="24"/>
    </row>
    <row r="6224" spans="2:2">
      <c r="B6224" s="24"/>
    </row>
    <row r="6225" spans="2:2">
      <c r="B6225" s="24"/>
    </row>
    <row r="6226" spans="2:2">
      <c r="B6226" s="24"/>
    </row>
    <row r="6227" spans="2:2">
      <c r="B6227" s="24"/>
    </row>
    <row r="6228" spans="2:2">
      <c r="B6228" s="24"/>
    </row>
    <row r="6229" spans="2:2">
      <c r="B6229" s="24"/>
    </row>
    <row r="6230" spans="2:2">
      <c r="B6230" s="24"/>
    </row>
    <row r="6231" spans="2:2">
      <c r="B6231" s="24"/>
    </row>
    <row r="6232" spans="2:2">
      <c r="B6232" s="24"/>
    </row>
    <row r="6233" spans="2:2">
      <c r="B6233" s="24"/>
    </row>
    <row r="6234" spans="2:2">
      <c r="B6234" s="24"/>
    </row>
    <row r="6235" spans="2:2">
      <c r="B6235" s="24"/>
    </row>
    <row r="6236" spans="2:2">
      <c r="B6236" s="24"/>
    </row>
    <row r="6237" spans="2:2">
      <c r="B6237" s="24"/>
    </row>
    <row r="6238" spans="2:2">
      <c r="B6238" s="24"/>
    </row>
    <row r="6239" spans="2:2">
      <c r="B6239" s="24"/>
    </row>
    <row r="6240" spans="2:2">
      <c r="B6240" s="24"/>
    </row>
    <row r="6241" spans="2:2">
      <c r="B6241" s="24"/>
    </row>
    <row r="6242" spans="2:2">
      <c r="B6242" s="24"/>
    </row>
    <row r="6243" spans="2:2">
      <c r="B6243" s="24"/>
    </row>
    <row r="6244" spans="2:2">
      <c r="B6244" s="24"/>
    </row>
    <row r="6245" spans="2:2">
      <c r="B6245" s="24"/>
    </row>
    <row r="6246" spans="2:2">
      <c r="B6246" s="24"/>
    </row>
    <row r="6247" spans="2:2">
      <c r="B6247" s="24"/>
    </row>
    <row r="6248" spans="2:2">
      <c r="B6248" s="24"/>
    </row>
    <row r="6249" spans="2:2">
      <c r="B6249" s="24"/>
    </row>
    <row r="6250" spans="2:2">
      <c r="B6250" s="24"/>
    </row>
    <row r="6251" spans="2:2">
      <c r="B6251" s="24"/>
    </row>
    <row r="6252" spans="2:2">
      <c r="B6252" s="24"/>
    </row>
    <row r="6253" spans="2:2">
      <c r="B6253" s="24"/>
    </row>
    <row r="6254" spans="2:2">
      <c r="B6254" s="24"/>
    </row>
    <row r="6255" spans="2:2">
      <c r="B6255" s="24"/>
    </row>
    <row r="6256" spans="2:2">
      <c r="B6256" s="24"/>
    </row>
    <row r="6257" spans="2:2">
      <c r="B6257" s="24"/>
    </row>
    <row r="6258" spans="2:2">
      <c r="B6258" s="24"/>
    </row>
    <row r="6259" spans="2:2">
      <c r="B6259" s="24"/>
    </row>
    <row r="6260" spans="2:2">
      <c r="B6260" s="24"/>
    </row>
    <row r="6261" spans="2:2">
      <c r="B6261" s="24"/>
    </row>
    <row r="6262" spans="2:2">
      <c r="B6262" s="24"/>
    </row>
    <row r="6263" spans="2:2">
      <c r="B6263" s="24"/>
    </row>
    <row r="6264" spans="2:2">
      <c r="B6264" s="24"/>
    </row>
    <row r="6265" spans="2:2">
      <c r="B6265" s="24"/>
    </row>
    <row r="6266" spans="2:2">
      <c r="B6266" s="24"/>
    </row>
    <row r="6267" spans="2:2">
      <c r="B6267" s="24"/>
    </row>
    <row r="6268" spans="2:2">
      <c r="B6268" s="24"/>
    </row>
    <row r="6269" spans="2:2">
      <c r="B6269" s="24"/>
    </row>
    <row r="6270" spans="2:2">
      <c r="B6270" s="24"/>
    </row>
    <row r="6271" spans="2:2">
      <c r="B6271" s="24"/>
    </row>
    <row r="6272" spans="2:2">
      <c r="B6272" s="24"/>
    </row>
    <row r="6273" spans="2:2">
      <c r="B6273" s="24"/>
    </row>
    <row r="6274" spans="2:2">
      <c r="B6274" s="24"/>
    </row>
    <row r="6275" spans="2:2">
      <c r="B6275" s="24"/>
    </row>
    <row r="6276" spans="2:2">
      <c r="B6276" s="24"/>
    </row>
    <row r="6277" spans="2:2">
      <c r="B6277" s="24"/>
    </row>
    <row r="6278" spans="2:2">
      <c r="B6278" s="24"/>
    </row>
    <row r="6279" spans="2:2">
      <c r="B6279" s="24"/>
    </row>
    <row r="6280" spans="2:2">
      <c r="B6280" s="24"/>
    </row>
    <row r="6281" spans="2:2">
      <c r="B6281" s="24"/>
    </row>
    <row r="6282" spans="2:2">
      <c r="B6282" s="24"/>
    </row>
    <row r="6283" spans="2:2">
      <c r="B6283" s="24"/>
    </row>
    <row r="6284" spans="2:2">
      <c r="B6284" s="24"/>
    </row>
    <row r="6285" spans="2:2">
      <c r="B6285" s="24"/>
    </row>
    <row r="6286" spans="2:2">
      <c r="B6286" s="24"/>
    </row>
    <row r="6287" spans="2:2">
      <c r="B6287" s="24"/>
    </row>
    <row r="6288" spans="2:2">
      <c r="B6288" s="24"/>
    </row>
    <row r="6289" spans="2:2">
      <c r="B6289" s="24"/>
    </row>
    <row r="6290" spans="2:2">
      <c r="B6290" s="24"/>
    </row>
    <row r="6291" spans="2:2">
      <c r="B6291" s="24"/>
    </row>
    <row r="6292" spans="2:2">
      <c r="B6292" s="24"/>
    </row>
    <row r="6293" spans="2:2">
      <c r="B6293" s="24"/>
    </row>
    <row r="6294" spans="2:2">
      <c r="B6294" s="24"/>
    </row>
    <row r="6295" spans="2:2">
      <c r="B6295" s="24"/>
    </row>
    <row r="6296" spans="2:2">
      <c r="B6296" s="24"/>
    </row>
    <row r="6297" spans="2:2">
      <c r="B6297" s="24"/>
    </row>
    <row r="6298" spans="2:2">
      <c r="B6298" s="24"/>
    </row>
    <row r="6299" spans="2:2">
      <c r="B6299" s="24"/>
    </row>
    <row r="6300" spans="2:2">
      <c r="B6300" s="24"/>
    </row>
    <row r="6301" spans="2:2">
      <c r="B6301" s="24"/>
    </row>
    <row r="6302" spans="2:2">
      <c r="B6302" s="24"/>
    </row>
    <row r="6303" spans="2:2">
      <c r="B6303" s="24"/>
    </row>
    <row r="6304" spans="2:2">
      <c r="B6304" s="24"/>
    </row>
    <row r="6305" spans="2:2">
      <c r="B6305" s="24"/>
    </row>
    <row r="6306" spans="2:2">
      <c r="B6306" s="24"/>
    </row>
    <row r="6307" spans="2:2">
      <c r="B6307" s="24"/>
    </row>
    <row r="6308" spans="2:2">
      <c r="B6308" s="24"/>
    </row>
    <row r="6309" spans="2:2">
      <c r="B6309" s="24"/>
    </row>
    <row r="6310" spans="2:2">
      <c r="B6310" s="24"/>
    </row>
    <row r="6311" spans="2:2">
      <c r="B6311" s="24"/>
    </row>
    <row r="6312" spans="2:2">
      <c r="B6312" s="24"/>
    </row>
    <row r="6313" spans="2:2">
      <c r="B6313" s="24"/>
    </row>
    <row r="6314" spans="2:2">
      <c r="B6314" s="24"/>
    </row>
    <row r="6315" spans="2:2">
      <c r="B6315" s="24"/>
    </row>
    <row r="6316" spans="2:2">
      <c r="B6316" s="24"/>
    </row>
    <row r="6317" spans="2:2">
      <c r="B6317" s="24"/>
    </row>
    <row r="6318" spans="2:2">
      <c r="B6318" s="24"/>
    </row>
    <row r="6319" spans="2:2">
      <c r="B6319" s="24"/>
    </row>
    <row r="6320" spans="2:2">
      <c r="B6320" s="24"/>
    </row>
    <row r="6321" spans="2:2">
      <c r="B6321" s="24"/>
    </row>
    <row r="6322" spans="2:2">
      <c r="B6322" s="24"/>
    </row>
    <row r="6323" spans="2:2">
      <c r="B6323" s="24"/>
    </row>
    <row r="6324" spans="2:2">
      <c r="B6324" s="24"/>
    </row>
    <row r="6325" spans="2:2">
      <c r="B6325" s="24"/>
    </row>
    <row r="6326" spans="2:2">
      <c r="B6326" s="24"/>
    </row>
    <row r="6327" spans="2:2">
      <c r="B6327" s="24"/>
    </row>
    <row r="6328" spans="2:2">
      <c r="B6328" s="24"/>
    </row>
    <row r="6329" spans="2:2">
      <c r="B6329" s="24"/>
    </row>
    <row r="6330" spans="2:2">
      <c r="B6330" s="24"/>
    </row>
    <row r="6331" spans="2:2">
      <c r="B6331" s="24"/>
    </row>
    <row r="6332" spans="2:2">
      <c r="B6332" s="24"/>
    </row>
    <row r="6333" spans="2:2">
      <c r="B6333" s="24"/>
    </row>
    <row r="6334" spans="2:2">
      <c r="B6334" s="24"/>
    </row>
    <row r="6335" spans="2:2">
      <c r="B6335" s="24"/>
    </row>
    <row r="6336" spans="2:2">
      <c r="B6336" s="24"/>
    </row>
    <row r="6337" spans="2:2">
      <c r="B6337" s="24"/>
    </row>
    <row r="6338" spans="2:2">
      <c r="B6338" s="24"/>
    </row>
    <row r="6339" spans="2:2">
      <c r="B6339" s="24"/>
    </row>
    <row r="6340" spans="2:2">
      <c r="B6340" s="24"/>
    </row>
    <row r="6341" spans="2:2">
      <c r="B6341" s="24"/>
    </row>
    <row r="6342" spans="2:2">
      <c r="B6342" s="24"/>
    </row>
    <row r="6343" spans="2:2">
      <c r="B6343" s="24"/>
    </row>
    <row r="6344" spans="2:2">
      <c r="B6344" s="24"/>
    </row>
    <row r="6345" spans="2:2">
      <c r="B6345" s="24"/>
    </row>
    <row r="6346" spans="2:2">
      <c r="B6346" s="24"/>
    </row>
    <row r="6347" spans="2:2">
      <c r="B6347" s="24"/>
    </row>
    <row r="6348" spans="2:2">
      <c r="B6348" s="24"/>
    </row>
    <row r="6349" spans="2:2">
      <c r="B6349" s="24"/>
    </row>
    <row r="6350" spans="2:2">
      <c r="B6350" s="24"/>
    </row>
    <row r="6351" spans="2:2">
      <c r="B6351" s="24"/>
    </row>
    <row r="6352" spans="2:2">
      <c r="B6352" s="24"/>
    </row>
    <row r="6353" spans="2:2">
      <c r="B6353" s="24"/>
    </row>
    <row r="6354" spans="2:2">
      <c r="B6354" s="24"/>
    </row>
    <row r="6355" spans="2:2">
      <c r="B6355" s="24"/>
    </row>
    <row r="6356" spans="2:2">
      <c r="B6356" s="24"/>
    </row>
    <row r="6357" spans="2:2">
      <c r="B6357" s="24"/>
    </row>
    <row r="6358" spans="2:2">
      <c r="B6358" s="24"/>
    </row>
    <row r="6359" spans="2:2">
      <c r="B6359" s="24"/>
    </row>
    <row r="6360" spans="2:2">
      <c r="B6360" s="24"/>
    </row>
    <row r="6361" spans="2:2">
      <c r="B6361" s="24"/>
    </row>
    <row r="6362" spans="2:2">
      <c r="B6362" s="24"/>
    </row>
    <row r="6363" spans="2:2">
      <c r="B6363" s="24"/>
    </row>
    <row r="6364" spans="2:2">
      <c r="B6364" s="24"/>
    </row>
    <row r="6365" spans="2:2">
      <c r="B6365" s="24"/>
    </row>
    <row r="6366" spans="2:2">
      <c r="B6366" s="24"/>
    </row>
    <row r="6367" spans="2:2">
      <c r="B6367" s="24"/>
    </row>
    <row r="6368" spans="2:2">
      <c r="B6368" s="24"/>
    </row>
    <row r="6369" spans="2:2">
      <c r="B6369" s="24"/>
    </row>
    <row r="6370" spans="2:2">
      <c r="B6370" s="24"/>
    </row>
    <row r="6371" spans="2:2">
      <c r="B6371" s="24"/>
    </row>
    <row r="6372" spans="2:2">
      <c r="B6372" s="24"/>
    </row>
    <row r="6373" spans="2:2">
      <c r="B6373" s="24"/>
    </row>
    <row r="6374" spans="2:2">
      <c r="B6374" s="24"/>
    </row>
    <row r="6375" spans="2:2">
      <c r="B6375" s="24"/>
    </row>
    <row r="6376" spans="2:2">
      <c r="B6376" s="24"/>
    </row>
    <row r="6377" spans="2:2">
      <c r="B6377" s="24"/>
    </row>
    <row r="6378" spans="2:2">
      <c r="B6378" s="24"/>
    </row>
    <row r="6379" spans="2:2">
      <c r="B6379" s="24"/>
    </row>
    <row r="6380" spans="2:2">
      <c r="B6380" s="24"/>
    </row>
    <row r="6381" spans="2:2">
      <c r="B6381" s="24"/>
    </row>
    <row r="6382" spans="2:2">
      <c r="B6382" s="24"/>
    </row>
    <row r="6383" spans="2:2">
      <c r="B6383" s="24"/>
    </row>
    <row r="6384" spans="2:2">
      <c r="B6384" s="24"/>
    </row>
    <row r="6385" spans="2:2">
      <c r="B6385" s="24"/>
    </row>
    <row r="6386" spans="2:2">
      <c r="B6386" s="24"/>
    </row>
    <row r="6387" spans="2:2">
      <c r="B6387" s="24"/>
    </row>
    <row r="6388" spans="2:2">
      <c r="B6388" s="24"/>
    </row>
    <row r="6389" spans="2:2">
      <c r="B6389" s="24"/>
    </row>
    <row r="6390" spans="2:2">
      <c r="B6390" s="24"/>
    </row>
    <row r="6391" spans="2:2">
      <c r="B6391" s="24"/>
    </row>
    <row r="6392" spans="2:2">
      <c r="B6392" s="24"/>
    </row>
    <row r="6393" spans="2:2">
      <c r="B6393" s="24"/>
    </row>
    <row r="6394" spans="2:2">
      <c r="B6394" s="24"/>
    </row>
    <row r="6395" spans="2:2">
      <c r="B6395" s="24"/>
    </row>
    <row r="6396" spans="2:2">
      <c r="B6396" s="24"/>
    </row>
    <row r="6397" spans="2:2">
      <c r="B6397" s="24"/>
    </row>
    <row r="6398" spans="2:2">
      <c r="B6398" s="24"/>
    </row>
    <row r="6399" spans="2:2">
      <c r="B6399" s="24"/>
    </row>
    <row r="6400" spans="2:2">
      <c r="B6400" s="24"/>
    </row>
    <row r="6401" spans="2:2">
      <c r="B6401" s="24"/>
    </row>
    <row r="6402" spans="2:2">
      <c r="B6402" s="24"/>
    </row>
    <row r="6403" spans="2:2">
      <c r="B6403" s="24"/>
    </row>
    <row r="6404" spans="2:2">
      <c r="B6404" s="24"/>
    </row>
    <row r="6405" spans="2:2">
      <c r="B6405" s="24"/>
    </row>
    <row r="6406" spans="2:2">
      <c r="B6406" s="24"/>
    </row>
    <row r="6407" spans="2:2">
      <c r="B6407" s="24"/>
    </row>
    <row r="6408" spans="2:2">
      <c r="B6408" s="24"/>
    </row>
    <row r="6409" spans="2:2">
      <c r="B6409" s="24"/>
    </row>
    <row r="6410" spans="2:2">
      <c r="B6410" s="24"/>
    </row>
    <row r="6411" spans="2:2">
      <c r="B6411" s="24"/>
    </row>
    <row r="6412" spans="2:2">
      <c r="B6412" s="24"/>
    </row>
    <row r="6413" spans="2:2">
      <c r="B6413" s="24"/>
    </row>
    <row r="6414" spans="2:2">
      <c r="B6414" s="24"/>
    </row>
    <row r="6415" spans="2:2">
      <c r="B6415" s="24"/>
    </row>
    <row r="6416" spans="2:2">
      <c r="B6416" s="24"/>
    </row>
    <row r="6417" spans="2:2">
      <c r="B6417" s="24"/>
    </row>
    <row r="6418" spans="2:2">
      <c r="B6418" s="24"/>
    </row>
    <row r="6419" spans="2:2">
      <c r="B6419" s="24"/>
    </row>
    <row r="6420" spans="2:2">
      <c r="B6420" s="24"/>
    </row>
    <row r="6421" spans="2:2">
      <c r="B6421" s="24"/>
    </row>
    <row r="6422" spans="2:2">
      <c r="B6422" s="24"/>
    </row>
    <row r="6423" spans="2:2">
      <c r="B6423" s="24"/>
    </row>
    <row r="6424" spans="2:2">
      <c r="B6424" s="24"/>
    </row>
    <row r="6425" spans="2:2">
      <c r="B6425" s="24"/>
    </row>
    <row r="6426" spans="2:2">
      <c r="B6426" s="24"/>
    </row>
    <row r="6427" spans="2:2">
      <c r="B6427" s="24"/>
    </row>
    <row r="6428" spans="2:2">
      <c r="B6428" s="24"/>
    </row>
    <row r="6429" spans="2:2">
      <c r="B6429" s="24"/>
    </row>
    <row r="6430" spans="2:2">
      <c r="B6430" s="24"/>
    </row>
    <row r="6431" spans="2:2">
      <c r="B6431" s="24"/>
    </row>
    <row r="6432" spans="2:2">
      <c r="B6432" s="24"/>
    </row>
    <row r="6433" spans="2:2">
      <c r="B6433" s="24"/>
    </row>
    <row r="6434" spans="2:2">
      <c r="B6434" s="24"/>
    </row>
    <row r="6435" spans="2:2">
      <c r="B6435" s="24"/>
    </row>
    <row r="6436" spans="2:2">
      <c r="B6436" s="24"/>
    </row>
    <row r="6437" spans="2:2">
      <c r="B6437" s="24"/>
    </row>
    <row r="6438" spans="2:2">
      <c r="B6438" s="24"/>
    </row>
    <row r="6439" spans="2:2">
      <c r="B6439" s="24"/>
    </row>
    <row r="6440" spans="2:2">
      <c r="B6440" s="24"/>
    </row>
    <row r="6441" spans="2:2">
      <c r="B6441" s="24"/>
    </row>
    <row r="6442" spans="2:2">
      <c r="B6442" s="24"/>
    </row>
    <row r="6443" spans="2:2">
      <c r="B6443" s="24"/>
    </row>
    <row r="6444" spans="2:2">
      <c r="B6444" s="24"/>
    </row>
    <row r="6445" spans="2:2">
      <c r="B6445" s="24"/>
    </row>
    <row r="6446" spans="2:2">
      <c r="B6446" s="24"/>
    </row>
    <row r="6447" spans="2:2">
      <c r="B6447" s="24"/>
    </row>
    <row r="6448" spans="2:2">
      <c r="B6448" s="24"/>
    </row>
    <row r="6449" spans="2:2">
      <c r="B6449" s="24"/>
    </row>
    <row r="6450" spans="2:2">
      <c r="B6450" s="24"/>
    </row>
    <row r="6451" spans="2:2">
      <c r="B6451" s="24"/>
    </row>
    <row r="6452" spans="2:2">
      <c r="B6452" s="24"/>
    </row>
    <row r="6453" spans="2:2">
      <c r="B6453" s="24"/>
    </row>
    <row r="6454" spans="2:2">
      <c r="B6454" s="24"/>
    </row>
    <row r="6455" spans="2:2">
      <c r="B6455" s="24"/>
    </row>
    <row r="6456" spans="2:2">
      <c r="B6456" s="24"/>
    </row>
    <row r="6457" spans="2:2">
      <c r="B6457" s="24"/>
    </row>
    <row r="6458" spans="2:2">
      <c r="B6458" s="24"/>
    </row>
    <row r="6459" spans="2:2">
      <c r="B6459" s="24"/>
    </row>
    <row r="6460" spans="2:2">
      <c r="B6460" s="24"/>
    </row>
    <row r="6461" spans="2:2">
      <c r="B6461" s="24"/>
    </row>
    <row r="6462" spans="2:2">
      <c r="B6462" s="24"/>
    </row>
    <row r="6463" spans="2:2">
      <c r="B6463" s="24"/>
    </row>
    <row r="6464" spans="2:2">
      <c r="B6464" s="24"/>
    </row>
    <row r="6465" spans="2:2">
      <c r="B6465" s="24"/>
    </row>
    <row r="6466" spans="2:2">
      <c r="B6466" s="24"/>
    </row>
    <row r="6467" spans="2:2">
      <c r="B6467" s="24"/>
    </row>
    <row r="6468" spans="2:2">
      <c r="B6468" s="24"/>
    </row>
    <row r="6469" spans="2:2">
      <c r="B6469" s="24"/>
    </row>
    <row r="6470" spans="2:2">
      <c r="B6470" s="24"/>
    </row>
    <row r="6471" spans="2:2">
      <c r="B6471" s="24"/>
    </row>
    <row r="6472" spans="2:2">
      <c r="B6472" s="24"/>
    </row>
    <row r="6473" spans="2:2">
      <c r="B6473" s="24"/>
    </row>
    <row r="6474" spans="2:2">
      <c r="B6474" s="24"/>
    </row>
    <row r="6475" spans="2:2">
      <c r="B6475" s="24"/>
    </row>
    <row r="6476" spans="2:2">
      <c r="B6476" s="24"/>
    </row>
    <row r="6477" spans="2:2">
      <c r="B6477" s="24"/>
    </row>
    <row r="6478" spans="2:2">
      <c r="B6478" s="24"/>
    </row>
    <row r="6479" spans="2:2">
      <c r="B6479" s="24"/>
    </row>
    <row r="6480" spans="2:2">
      <c r="B6480" s="24"/>
    </row>
    <row r="6481" spans="2:2">
      <c r="B6481" s="24"/>
    </row>
    <row r="6482" spans="2:2">
      <c r="B6482" s="24"/>
    </row>
    <row r="6483" spans="2:2">
      <c r="B6483" s="24"/>
    </row>
    <row r="6484" spans="2:2">
      <c r="B6484" s="24"/>
    </row>
    <row r="6485" spans="2:2">
      <c r="B6485" s="24"/>
    </row>
    <row r="6486" spans="2:2">
      <c r="B6486" s="24"/>
    </row>
    <row r="6487" spans="2:2">
      <c r="B6487" s="24"/>
    </row>
    <row r="6488" spans="2:2">
      <c r="B6488" s="24"/>
    </row>
    <row r="6489" spans="2:2">
      <c r="B6489" s="24"/>
    </row>
    <row r="6490" spans="2:2">
      <c r="B6490" s="24"/>
    </row>
    <row r="6491" spans="2:2">
      <c r="B6491" s="24"/>
    </row>
    <row r="6492" spans="2:2">
      <c r="B6492" s="24"/>
    </row>
    <row r="6493" spans="2:2">
      <c r="B6493" s="24"/>
    </row>
    <row r="6494" spans="2:2">
      <c r="B6494" s="24"/>
    </row>
    <row r="6495" spans="2:2">
      <c r="B6495" s="24"/>
    </row>
    <row r="6496" spans="2:2">
      <c r="B6496" s="24"/>
    </row>
    <row r="6497" spans="2:2">
      <c r="B6497" s="24"/>
    </row>
    <row r="6498" spans="2:2">
      <c r="B6498" s="24"/>
    </row>
    <row r="6499" spans="2:2">
      <c r="B6499" s="24"/>
    </row>
    <row r="6500" spans="2:2">
      <c r="B6500" s="24"/>
    </row>
    <row r="6501" spans="2:2">
      <c r="B6501" s="24"/>
    </row>
    <row r="6502" spans="2:2">
      <c r="B6502" s="24"/>
    </row>
    <row r="6503" spans="2:2">
      <c r="B6503" s="24"/>
    </row>
    <row r="6504" spans="2:2">
      <c r="B6504" s="24"/>
    </row>
    <row r="6505" spans="2:2">
      <c r="B6505" s="24"/>
    </row>
    <row r="6506" spans="2:2">
      <c r="B6506" s="24"/>
    </row>
    <row r="6507" spans="2:2">
      <c r="B6507" s="24"/>
    </row>
    <row r="6508" spans="2:2">
      <c r="B6508" s="24"/>
    </row>
    <row r="6509" spans="2:2">
      <c r="B6509" s="24"/>
    </row>
    <row r="6510" spans="2:2">
      <c r="B6510" s="24"/>
    </row>
    <row r="6511" spans="2:2">
      <c r="B6511" s="24"/>
    </row>
    <row r="6512" spans="2:2">
      <c r="B6512" s="24"/>
    </row>
    <row r="6513" spans="2:2">
      <c r="B6513" s="24"/>
    </row>
    <row r="6514" spans="2:2">
      <c r="B6514" s="24"/>
    </row>
    <row r="6515" spans="2:2">
      <c r="B6515" s="24"/>
    </row>
    <row r="6516" spans="2:2">
      <c r="B6516" s="24"/>
    </row>
    <row r="6517" spans="2:2">
      <c r="B6517" s="24"/>
    </row>
    <row r="6518" spans="2:2">
      <c r="B6518" s="24"/>
    </row>
    <row r="6519" spans="2:2">
      <c r="B6519" s="24"/>
    </row>
    <row r="6520" spans="2:2">
      <c r="B6520" s="24"/>
    </row>
    <row r="6521" spans="2:2">
      <c r="B6521" s="24"/>
    </row>
    <row r="6522" spans="2:2">
      <c r="B6522" s="24"/>
    </row>
    <row r="6523" spans="2:2">
      <c r="B6523" s="24"/>
    </row>
    <row r="6524" spans="2:2">
      <c r="B6524" s="24"/>
    </row>
    <row r="6525" spans="2:2">
      <c r="B6525" s="24"/>
    </row>
    <row r="6526" spans="2:2">
      <c r="B6526" s="24"/>
    </row>
    <row r="6527" spans="2:2">
      <c r="B6527" s="24"/>
    </row>
    <row r="6528" spans="2:2">
      <c r="B6528" s="24"/>
    </row>
    <row r="6529" spans="2:2">
      <c r="B6529" s="24"/>
    </row>
    <row r="6530" spans="2:2">
      <c r="B6530" s="24"/>
    </row>
    <row r="6531" spans="2:2">
      <c r="B6531" s="24"/>
    </row>
    <row r="6532" spans="2:2">
      <c r="B6532" s="24"/>
    </row>
    <row r="6533" spans="2:2">
      <c r="B6533" s="24"/>
    </row>
    <row r="6534" spans="2:2">
      <c r="B6534" s="24"/>
    </row>
    <row r="6535" spans="2:2">
      <c r="B6535" s="24"/>
    </row>
    <row r="6536" spans="2:2">
      <c r="B6536" s="24"/>
    </row>
    <row r="6537" spans="2:2">
      <c r="B6537" s="24"/>
    </row>
    <row r="6538" spans="2:2">
      <c r="B6538" s="24"/>
    </row>
    <row r="6539" spans="2:2">
      <c r="B6539" s="24"/>
    </row>
    <row r="6540" spans="2:2">
      <c r="B6540" s="24"/>
    </row>
    <row r="6541" spans="2:2">
      <c r="B6541" s="24"/>
    </row>
    <row r="6542" spans="2:2">
      <c r="B6542" s="24"/>
    </row>
    <row r="6543" spans="2:2">
      <c r="B6543" s="24"/>
    </row>
    <row r="6544" spans="2:2">
      <c r="B6544" s="24"/>
    </row>
    <row r="6545" spans="2:2">
      <c r="B6545" s="24"/>
    </row>
    <row r="6546" spans="2:2">
      <c r="B6546" s="24"/>
    </row>
    <row r="6547" spans="2:2">
      <c r="B6547" s="24"/>
    </row>
    <row r="6548" spans="2:2">
      <c r="B6548" s="24"/>
    </row>
    <row r="6549" spans="2:2">
      <c r="B6549" s="24"/>
    </row>
    <row r="6550" spans="2:2">
      <c r="B6550" s="24"/>
    </row>
    <row r="6551" spans="2:2">
      <c r="B6551" s="24"/>
    </row>
    <row r="6552" spans="2:2">
      <c r="B6552" s="24"/>
    </row>
    <row r="6553" spans="2:2">
      <c r="B6553" s="24"/>
    </row>
    <row r="6554" spans="2:2">
      <c r="B6554" s="24"/>
    </row>
    <row r="6555" spans="2:2">
      <c r="B6555" s="24"/>
    </row>
    <row r="6556" spans="2:2">
      <c r="B6556" s="24"/>
    </row>
    <row r="6557" spans="2:2">
      <c r="B6557" s="24"/>
    </row>
    <row r="6558" spans="2:2">
      <c r="B6558" s="24"/>
    </row>
    <row r="6559" spans="2:2">
      <c r="B6559" s="24"/>
    </row>
    <row r="6560" spans="2:2">
      <c r="B6560" s="24"/>
    </row>
    <row r="6561" spans="2:2">
      <c r="B6561" s="24"/>
    </row>
    <row r="6562" spans="2:2">
      <c r="B6562" s="24"/>
    </row>
    <row r="6563" spans="2:2">
      <c r="B6563" s="24"/>
    </row>
    <row r="6564" spans="2:2">
      <c r="B6564" s="24"/>
    </row>
    <row r="6565" spans="2:2">
      <c r="B6565" s="24"/>
    </row>
    <row r="6566" spans="2:2">
      <c r="B6566" s="24"/>
    </row>
    <row r="6567" spans="2:2">
      <c r="B6567" s="24"/>
    </row>
    <row r="6568" spans="2:2">
      <c r="B6568" s="24"/>
    </row>
    <row r="6569" spans="2:2">
      <c r="B6569" s="24"/>
    </row>
    <row r="6570" spans="2:2">
      <c r="B6570" s="24"/>
    </row>
    <row r="6571" spans="2:2">
      <c r="B6571" s="24"/>
    </row>
    <row r="6572" spans="2:2">
      <c r="B6572" s="24"/>
    </row>
    <row r="6573" spans="2:2">
      <c r="B6573" s="24"/>
    </row>
    <row r="6574" spans="2:2">
      <c r="B6574" s="24"/>
    </row>
    <row r="6575" spans="2:2">
      <c r="B6575" s="24"/>
    </row>
    <row r="6576" spans="2:2">
      <c r="B6576" s="24"/>
    </row>
    <row r="6577" spans="2:2">
      <c r="B6577" s="24"/>
    </row>
    <row r="6578" spans="2:2">
      <c r="B6578" s="24"/>
    </row>
    <row r="6579" spans="2:2">
      <c r="B6579" s="24"/>
    </row>
    <row r="6580" spans="2:2">
      <c r="B6580" s="24"/>
    </row>
    <row r="6581" spans="2:2">
      <c r="B6581" s="24"/>
    </row>
    <row r="6582" spans="2:2">
      <c r="B6582" s="24"/>
    </row>
    <row r="6583" spans="2:2">
      <c r="B6583" s="24"/>
    </row>
    <row r="6584" spans="2:2">
      <c r="B6584" s="24"/>
    </row>
    <row r="6585" spans="2:2">
      <c r="B6585" s="24"/>
    </row>
    <row r="6586" spans="2:2">
      <c r="B6586" s="24"/>
    </row>
    <row r="6587" spans="2:2">
      <c r="B6587" s="24"/>
    </row>
    <row r="6588" spans="2:2">
      <c r="B6588" s="24"/>
    </row>
    <row r="6589" spans="2:2">
      <c r="B6589" s="24"/>
    </row>
    <row r="6590" spans="2:2">
      <c r="B6590" s="24"/>
    </row>
    <row r="6591" spans="2:2">
      <c r="B6591" s="24"/>
    </row>
    <row r="6592" spans="2:2">
      <c r="B6592" s="24"/>
    </row>
    <row r="6593" spans="2:2">
      <c r="B6593" s="24"/>
    </row>
    <row r="6594" spans="2:2">
      <c r="B6594" s="24"/>
    </row>
    <row r="6595" spans="2:2">
      <c r="B6595" s="24"/>
    </row>
    <row r="6596" spans="2:2">
      <c r="B6596" s="24"/>
    </row>
    <row r="6597" spans="2:2">
      <c r="B6597" s="24"/>
    </row>
    <row r="6598" spans="2:2">
      <c r="B6598" s="24"/>
    </row>
    <row r="6599" spans="2:2">
      <c r="B6599" s="24"/>
    </row>
    <row r="6600" spans="2:2">
      <c r="B6600" s="24"/>
    </row>
    <row r="6601" spans="2:2">
      <c r="B6601" s="24"/>
    </row>
    <row r="6602" spans="2:2">
      <c r="B6602" s="24"/>
    </row>
    <row r="6603" spans="2:2">
      <c r="B6603" s="24"/>
    </row>
    <row r="6604" spans="2:2">
      <c r="B6604" s="24"/>
    </row>
    <row r="6605" spans="2:2">
      <c r="B6605" s="24"/>
    </row>
    <row r="6606" spans="2:2">
      <c r="B6606" s="24"/>
    </row>
    <row r="6607" spans="2:2">
      <c r="B6607" s="24"/>
    </row>
    <row r="6608" spans="2:2">
      <c r="B6608" s="24"/>
    </row>
    <row r="6609" spans="2:2">
      <c r="B6609" s="24"/>
    </row>
    <row r="6610" spans="2:2">
      <c r="B6610" s="24"/>
    </row>
    <row r="6611" spans="2:2">
      <c r="B6611" s="24"/>
    </row>
    <row r="6612" spans="2:2">
      <c r="B6612" s="24"/>
    </row>
    <row r="6613" spans="2:2">
      <c r="B6613" s="24"/>
    </row>
    <row r="6614" spans="2:2">
      <c r="B6614" s="24"/>
    </row>
    <row r="6615" spans="2:2">
      <c r="B6615" s="24"/>
    </row>
    <row r="6616" spans="2:2">
      <c r="B6616" s="24"/>
    </row>
    <row r="6617" spans="2:2">
      <c r="B6617" s="24"/>
    </row>
    <row r="6618" spans="2:2">
      <c r="B6618" s="24"/>
    </row>
    <row r="6619" spans="2:2">
      <c r="B6619" s="24"/>
    </row>
    <row r="6620" spans="2:2">
      <c r="B6620" s="24"/>
    </row>
    <row r="6621" spans="2:2">
      <c r="B6621" s="24"/>
    </row>
    <row r="6622" spans="2:2">
      <c r="B6622" s="24"/>
    </row>
    <row r="6623" spans="2:2">
      <c r="B6623" s="24"/>
    </row>
    <row r="6624" spans="2:2">
      <c r="B6624" s="24"/>
    </row>
    <row r="6625" spans="2:2">
      <c r="B6625" s="24"/>
    </row>
    <row r="6626" spans="2:2">
      <c r="B6626" s="24"/>
    </row>
    <row r="6627" spans="2:2">
      <c r="B6627" s="24"/>
    </row>
    <row r="6628" spans="2:2">
      <c r="B6628" s="24"/>
    </row>
    <row r="6629" spans="2:2">
      <c r="B6629" s="24"/>
    </row>
    <row r="6630" spans="2:2">
      <c r="B6630" s="24"/>
    </row>
    <row r="6631" spans="2:2">
      <c r="B6631" s="24"/>
    </row>
    <row r="6632" spans="2:2">
      <c r="B6632" s="24"/>
    </row>
    <row r="6633" spans="2:2">
      <c r="B6633" s="24"/>
    </row>
    <row r="6634" spans="2:2">
      <c r="B6634" s="24"/>
    </row>
    <row r="6635" spans="2:2">
      <c r="B6635" s="24"/>
    </row>
    <row r="6636" spans="2:2">
      <c r="B6636" s="24"/>
    </row>
    <row r="6637" spans="2:2">
      <c r="B6637" s="24"/>
    </row>
    <row r="6638" spans="2:2">
      <c r="B6638" s="24"/>
    </row>
    <row r="6639" spans="2:2">
      <c r="B6639" s="24"/>
    </row>
    <row r="6640" spans="2:2">
      <c r="B6640" s="24"/>
    </row>
    <row r="6641" spans="2:2">
      <c r="B6641" s="24"/>
    </row>
    <row r="6642" spans="2:2">
      <c r="B6642" s="24"/>
    </row>
    <row r="6643" spans="2:2">
      <c r="B6643" s="24"/>
    </row>
    <row r="6644" spans="2:2">
      <c r="B6644" s="24"/>
    </row>
    <row r="6645" spans="2:2">
      <c r="B6645" s="24"/>
    </row>
    <row r="6646" spans="2:2">
      <c r="B6646" s="24"/>
    </row>
    <row r="6647" spans="2:2">
      <c r="B6647" s="24"/>
    </row>
    <row r="6648" spans="2:2">
      <c r="B6648" s="24"/>
    </row>
    <row r="6649" spans="2:2">
      <c r="B6649" s="24"/>
    </row>
    <row r="6650" spans="2:2">
      <c r="B6650" s="24"/>
    </row>
    <row r="6651" spans="2:2">
      <c r="B6651" s="24"/>
    </row>
    <row r="6652" spans="2:2">
      <c r="B6652" s="24"/>
    </row>
    <row r="6653" spans="2:2">
      <c r="B6653" s="24"/>
    </row>
    <row r="6654" spans="2:2">
      <c r="B6654" s="24"/>
    </row>
    <row r="6655" spans="2:2">
      <c r="B6655" s="24"/>
    </row>
    <row r="6656" spans="2:2">
      <c r="B6656" s="24"/>
    </row>
    <row r="6657" spans="2:2">
      <c r="B6657" s="24"/>
    </row>
    <row r="6658" spans="2:2">
      <c r="B6658" s="24"/>
    </row>
    <row r="6659" spans="2:2">
      <c r="B6659" s="24"/>
    </row>
    <row r="6660" spans="2:2">
      <c r="B6660" s="24"/>
    </row>
    <row r="6661" spans="2:2">
      <c r="B6661" s="24"/>
    </row>
    <row r="6662" spans="2:2">
      <c r="B6662" s="24"/>
    </row>
    <row r="6663" spans="2:2">
      <c r="B6663" s="24"/>
    </row>
    <row r="6664" spans="2:2">
      <c r="B6664" s="24"/>
    </row>
    <row r="6665" spans="2:2">
      <c r="B6665" s="24"/>
    </row>
    <row r="6666" spans="2:2">
      <c r="B6666" s="24"/>
    </row>
    <row r="6667" spans="2:2">
      <c r="B6667" s="24"/>
    </row>
    <row r="6668" spans="2:2">
      <c r="B6668" s="24"/>
    </row>
    <row r="6669" spans="2:2">
      <c r="B6669" s="24"/>
    </row>
    <row r="6670" spans="2:2">
      <c r="B6670" s="24"/>
    </row>
    <row r="6671" spans="2:2">
      <c r="B6671" s="24"/>
    </row>
    <row r="6672" spans="2:2">
      <c r="B6672" s="24"/>
    </row>
    <row r="6673" spans="2:2">
      <c r="B6673" s="24"/>
    </row>
    <row r="6674" spans="2:2">
      <c r="B6674" s="24"/>
    </row>
    <row r="6675" spans="2:2">
      <c r="B6675" s="24"/>
    </row>
    <row r="6676" spans="2:2">
      <c r="B6676" s="24"/>
    </row>
    <row r="6677" spans="2:2">
      <c r="B6677" s="24"/>
    </row>
    <row r="6678" spans="2:2">
      <c r="B6678" s="24"/>
    </row>
    <row r="6679" spans="2:2">
      <c r="B6679" s="24"/>
    </row>
    <row r="6680" spans="2:2">
      <c r="B6680" s="24"/>
    </row>
    <row r="6681" spans="2:2">
      <c r="B6681" s="24"/>
    </row>
    <row r="6682" spans="2:2">
      <c r="B6682" s="24"/>
    </row>
    <row r="6683" spans="2:2">
      <c r="B6683" s="24"/>
    </row>
    <row r="6684" spans="2:2">
      <c r="B6684" s="24"/>
    </row>
    <row r="6685" spans="2:2">
      <c r="B6685" s="24"/>
    </row>
    <row r="6686" spans="2:2">
      <c r="B6686" s="24"/>
    </row>
    <row r="6687" spans="2:2">
      <c r="B6687" s="24"/>
    </row>
    <row r="6688" spans="2:2">
      <c r="B6688" s="24"/>
    </row>
    <row r="6689" spans="2:2">
      <c r="B6689" s="24"/>
    </row>
    <row r="6690" spans="2:2">
      <c r="B6690" s="24"/>
    </row>
    <row r="6691" spans="2:2">
      <c r="B6691" s="24"/>
    </row>
    <row r="6692" spans="2:2">
      <c r="B6692" s="24"/>
    </row>
    <row r="6693" spans="2:2">
      <c r="B6693" s="24"/>
    </row>
    <row r="6694" spans="2:2">
      <c r="B6694" s="24"/>
    </row>
    <row r="6695" spans="2:2">
      <c r="B6695" s="24"/>
    </row>
    <row r="6696" spans="2:2">
      <c r="B6696" s="24"/>
    </row>
    <row r="6697" spans="2:2">
      <c r="B6697" s="24"/>
    </row>
    <row r="6698" spans="2:2">
      <c r="B6698" s="24"/>
    </row>
    <row r="6699" spans="2:2">
      <c r="B6699" s="24"/>
    </row>
    <row r="6700" spans="2:2">
      <c r="B6700" s="24"/>
    </row>
    <row r="6701" spans="2:2">
      <c r="B6701" s="24"/>
    </row>
    <row r="6702" spans="2:2">
      <c r="B6702" s="24"/>
    </row>
    <row r="6703" spans="2:2">
      <c r="B6703" s="24"/>
    </row>
    <row r="6704" spans="2:2">
      <c r="B6704" s="24"/>
    </row>
    <row r="6705" spans="2:2">
      <c r="B6705" s="24"/>
    </row>
    <row r="6706" spans="2:2">
      <c r="B6706" s="24"/>
    </row>
    <row r="6707" spans="2:2">
      <c r="B6707" s="24"/>
    </row>
    <row r="6708" spans="2:2">
      <c r="B6708" s="24"/>
    </row>
    <row r="6709" spans="2:2">
      <c r="B6709" s="24"/>
    </row>
    <row r="6710" spans="2:2">
      <c r="B6710" s="24"/>
    </row>
    <row r="6711" spans="2:2">
      <c r="B6711" s="24"/>
    </row>
    <row r="6712" spans="2:2">
      <c r="B6712" s="24"/>
    </row>
    <row r="6713" spans="2:2">
      <c r="B6713" s="24"/>
    </row>
    <row r="6714" spans="2:2">
      <c r="B6714" s="24"/>
    </row>
    <row r="6715" spans="2:2">
      <c r="B6715" s="24"/>
    </row>
    <row r="6716" spans="2:2">
      <c r="B6716" s="24"/>
    </row>
    <row r="6717" spans="2:2">
      <c r="B6717" s="24"/>
    </row>
    <row r="6718" spans="2:2">
      <c r="B6718" s="24"/>
    </row>
    <row r="6719" spans="2:2">
      <c r="B6719" s="24"/>
    </row>
    <row r="6720" spans="2:2">
      <c r="B6720" s="24"/>
    </row>
    <row r="6721" spans="2:2">
      <c r="B6721" s="24"/>
    </row>
    <row r="6722" spans="2:2">
      <c r="B6722" s="24"/>
    </row>
    <row r="6723" spans="2:2">
      <c r="B6723" s="24"/>
    </row>
    <row r="6724" spans="2:2">
      <c r="B6724" s="24"/>
    </row>
    <row r="6725" spans="2:2">
      <c r="B6725" s="24"/>
    </row>
    <row r="6726" spans="2:2">
      <c r="B6726" s="24"/>
    </row>
    <row r="6727" spans="2:2">
      <c r="B6727" s="24"/>
    </row>
    <row r="6728" spans="2:2">
      <c r="B6728" s="24"/>
    </row>
    <row r="6729" spans="2:2">
      <c r="B6729" s="24"/>
    </row>
    <row r="6730" spans="2:2">
      <c r="B6730" s="24"/>
    </row>
    <row r="6731" spans="2:2">
      <c r="B6731" s="24"/>
    </row>
    <row r="6732" spans="2:2">
      <c r="B6732" s="24"/>
    </row>
    <row r="6733" spans="2:2">
      <c r="B6733" s="24"/>
    </row>
    <row r="6734" spans="2:2">
      <c r="B6734" s="24"/>
    </row>
    <row r="6735" spans="2:2">
      <c r="B6735" s="24"/>
    </row>
    <row r="6736" spans="2:2">
      <c r="B6736" s="24"/>
    </row>
    <row r="6737" spans="2:2">
      <c r="B6737" s="24"/>
    </row>
    <row r="6738" spans="2:2">
      <c r="B6738" s="24"/>
    </row>
    <row r="6739" spans="2:2">
      <c r="B6739" s="24"/>
    </row>
    <row r="6740" spans="2:2">
      <c r="B6740" s="24"/>
    </row>
    <row r="6741" spans="2:2">
      <c r="B6741" s="24"/>
    </row>
    <row r="6742" spans="2:2">
      <c r="B6742" s="24"/>
    </row>
    <row r="6743" spans="2:2">
      <c r="B6743" s="24"/>
    </row>
    <row r="6744" spans="2:2">
      <c r="B6744" s="24"/>
    </row>
    <row r="6745" spans="2:2">
      <c r="B6745" s="24"/>
    </row>
    <row r="6746" spans="2:2">
      <c r="B6746" s="24"/>
    </row>
    <row r="6747" spans="2:2">
      <c r="B6747" s="24"/>
    </row>
    <row r="6748" spans="2:2">
      <c r="B6748" s="24"/>
    </row>
    <row r="6749" spans="2:2">
      <c r="B6749" s="24"/>
    </row>
    <row r="6750" spans="2:2">
      <c r="B6750" s="24"/>
    </row>
    <row r="6751" spans="2:2">
      <c r="B6751" s="24"/>
    </row>
    <row r="6752" spans="2:2">
      <c r="B6752" s="24"/>
    </row>
    <row r="6753" spans="2:2">
      <c r="B6753" s="24"/>
    </row>
    <row r="6754" spans="2:2">
      <c r="B6754" s="24"/>
    </row>
    <row r="6755" spans="2:2">
      <c r="B6755" s="24"/>
    </row>
    <row r="6756" spans="2:2">
      <c r="B6756" s="24"/>
    </row>
    <row r="6757" spans="2:2">
      <c r="B6757" s="24"/>
    </row>
    <row r="6758" spans="2:2">
      <c r="B6758" s="24"/>
    </row>
    <row r="6759" spans="2:2">
      <c r="B6759" s="24"/>
    </row>
    <row r="6760" spans="2:2">
      <c r="B6760" s="24"/>
    </row>
    <row r="6761" spans="2:2">
      <c r="B6761" s="24"/>
    </row>
    <row r="6762" spans="2:2">
      <c r="B6762" s="24"/>
    </row>
    <row r="6763" spans="2:2">
      <c r="B6763" s="24"/>
    </row>
    <row r="6764" spans="2:2">
      <c r="B6764" s="24"/>
    </row>
    <row r="6765" spans="2:2">
      <c r="B6765" s="24"/>
    </row>
    <row r="6766" spans="2:2">
      <c r="B6766" s="24"/>
    </row>
    <row r="6767" spans="2:2">
      <c r="B6767" s="24"/>
    </row>
    <row r="6768" spans="2:2">
      <c r="B6768" s="24"/>
    </row>
    <row r="6769" spans="2:2">
      <c r="B6769" s="24"/>
    </row>
    <row r="6770" spans="2:2">
      <c r="B6770" s="24"/>
    </row>
    <row r="6771" spans="2:2">
      <c r="B6771" s="24"/>
    </row>
    <row r="6772" spans="2:2">
      <c r="B6772" s="24"/>
    </row>
    <row r="6773" spans="2:2">
      <c r="B6773" s="24"/>
    </row>
    <row r="6774" spans="2:2">
      <c r="B6774" s="24"/>
    </row>
    <row r="6775" spans="2:2">
      <c r="B6775" s="24"/>
    </row>
    <row r="6776" spans="2:2">
      <c r="B6776" s="24"/>
    </row>
    <row r="6777" spans="2:2">
      <c r="B6777" s="24"/>
    </row>
    <row r="6778" spans="2:2">
      <c r="B6778" s="24"/>
    </row>
    <row r="6779" spans="2:2">
      <c r="B6779" s="24"/>
    </row>
    <row r="6780" spans="2:2">
      <c r="B6780" s="24"/>
    </row>
    <row r="6781" spans="2:2">
      <c r="B6781" s="24"/>
    </row>
    <row r="6782" spans="2:2">
      <c r="B6782" s="24"/>
    </row>
    <row r="6783" spans="2:2">
      <c r="B6783" s="24"/>
    </row>
    <row r="6784" spans="2:2">
      <c r="B6784" s="24"/>
    </row>
    <row r="6785" spans="2:2">
      <c r="B6785" s="24"/>
    </row>
    <row r="6786" spans="2:2">
      <c r="B6786" s="24"/>
    </row>
    <row r="6787" spans="2:2">
      <c r="B6787" s="24"/>
    </row>
    <row r="6788" spans="2:2">
      <c r="B6788" s="24"/>
    </row>
    <row r="6789" spans="2:2">
      <c r="B6789" s="24"/>
    </row>
    <row r="6790" spans="2:2">
      <c r="B6790" s="24"/>
    </row>
    <row r="6791" spans="2:2">
      <c r="B6791" s="24"/>
    </row>
    <row r="6792" spans="2:2">
      <c r="B6792" s="24"/>
    </row>
    <row r="6793" spans="2:2">
      <c r="B6793" s="24"/>
    </row>
    <row r="6794" spans="2:2">
      <c r="B6794" s="24"/>
    </row>
    <row r="6795" spans="2:2">
      <c r="B6795" s="24"/>
    </row>
    <row r="6796" spans="2:2">
      <c r="B6796" s="24"/>
    </row>
    <row r="6797" spans="2:2">
      <c r="B6797" s="24"/>
    </row>
    <row r="6798" spans="2:2">
      <c r="B6798" s="24"/>
    </row>
    <row r="6799" spans="2:2">
      <c r="B6799" s="24"/>
    </row>
    <row r="6800" spans="2:2">
      <c r="B6800" s="24"/>
    </row>
    <row r="6801" spans="2:2">
      <c r="B6801" s="24"/>
    </row>
    <row r="6802" spans="2:2">
      <c r="B6802" s="24"/>
    </row>
    <row r="6803" spans="2:2">
      <c r="B6803" s="24"/>
    </row>
    <row r="6804" spans="2:2">
      <c r="B6804" s="24"/>
    </row>
    <row r="6805" spans="2:2">
      <c r="B6805" s="24"/>
    </row>
    <row r="6806" spans="2:2">
      <c r="B6806" s="24"/>
    </row>
    <row r="6807" spans="2:2">
      <c r="B6807" s="24"/>
    </row>
    <row r="6808" spans="2:2">
      <c r="B6808" s="24"/>
    </row>
    <row r="6809" spans="2:2">
      <c r="B6809" s="24"/>
    </row>
    <row r="6810" spans="2:2">
      <c r="B6810" s="24"/>
    </row>
    <row r="6811" spans="2:2">
      <c r="B6811" s="24"/>
    </row>
    <row r="6812" spans="2:2">
      <c r="B6812" s="24"/>
    </row>
    <row r="6813" spans="2:2">
      <c r="B6813" s="24"/>
    </row>
    <row r="6814" spans="2:2">
      <c r="B6814" s="24"/>
    </row>
    <row r="6815" spans="2:2">
      <c r="B6815" s="24"/>
    </row>
    <row r="6816" spans="2:2">
      <c r="B6816" s="24"/>
    </row>
    <row r="6817" spans="2:2">
      <c r="B6817" s="24"/>
    </row>
    <row r="6818" spans="2:2">
      <c r="B6818" s="24"/>
    </row>
    <row r="6819" spans="2:2">
      <c r="B6819" s="24"/>
    </row>
    <row r="6820" spans="2:2">
      <c r="B6820" s="24"/>
    </row>
    <row r="6821" spans="2:2">
      <c r="B6821" s="24"/>
    </row>
    <row r="6822" spans="2:2">
      <c r="B6822" s="24"/>
    </row>
    <row r="6823" spans="2:2">
      <c r="B6823" s="24"/>
    </row>
    <row r="6824" spans="2:2">
      <c r="B6824" s="24"/>
    </row>
    <row r="6825" spans="2:2">
      <c r="B6825" s="24"/>
    </row>
    <row r="6826" spans="2:2">
      <c r="B6826" s="24"/>
    </row>
    <row r="6827" spans="2:2">
      <c r="B6827" s="24"/>
    </row>
    <row r="6828" spans="2:2">
      <c r="B6828" s="24"/>
    </row>
    <row r="6829" spans="2:2">
      <c r="B6829" s="24"/>
    </row>
    <row r="6830" spans="2:2">
      <c r="B6830" s="24"/>
    </row>
    <row r="6831" spans="2:2">
      <c r="B6831" s="24"/>
    </row>
    <row r="6832" spans="2:2">
      <c r="B6832" s="24"/>
    </row>
    <row r="6833" spans="2:2">
      <c r="B6833" s="24"/>
    </row>
    <row r="6834" spans="2:2">
      <c r="B6834" s="24"/>
    </row>
    <row r="6835" spans="2:2">
      <c r="B6835" s="24"/>
    </row>
    <row r="6836" spans="2:2">
      <c r="B6836" s="24"/>
    </row>
    <row r="6837" spans="2:2">
      <c r="B6837" s="24"/>
    </row>
    <row r="6838" spans="2:2">
      <c r="B6838" s="24"/>
    </row>
    <row r="6839" spans="2:2">
      <c r="B6839" s="24"/>
    </row>
    <row r="6840" spans="2:2">
      <c r="B6840" s="24"/>
    </row>
    <row r="6841" spans="2:2">
      <c r="B6841" s="24"/>
    </row>
    <row r="6842" spans="2:2">
      <c r="B6842" s="24"/>
    </row>
    <row r="6843" spans="2:2">
      <c r="B6843" s="24"/>
    </row>
    <row r="6844" spans="2:2">
      <c r="B6844" s="24"/>
    </row>
    <row r="6845" spans="2:2">
      <c r="B6845" s="24"/>
    </row>
    <row r="6846" spans="2:2">
      <c r="B6846" s="24"/>
    </row>
    <row r="6847" spans="2:2">
      <c r="B6847" s="24"/>
    </row>
    <row r="6848" spans="2:2">
      <c r="B6848" s="24"/>
    </row>
    <row r="6849" spans="2:2">
      <c r="B6849" s="24"/>
    </row>
    <row r="6850" spans="2:2">
      <c r="B6850" s="24"/>
    </row>
    <row r="6851" spans="2:2">
      <c r="B6851" s="24"/>
    </row>
    <row r="6852" spans="2:2">
      <c r="B6852" s="24"/>
    </row>
    <row r="6853" spans="2:2">
      <c r="B6853" s="24"/>
    </row>
    <row r="6854" spans="2:2">
      <c r="B6854" s="24"/>
    </row>
    <row r="6855" spans="2:2">
      <c r="B6855" s="24"/>
    </row>
    <row r="6856" spans="2:2">
      <c r="B6856" s="24"/>
    </row>
    <row r="6857" spans="2:2">
      <c r="B6857" s="24"/>
    </row>
    <row r="6858" spans="2:2">
      <c r="B6858" s="24"/>
    </row>
    <row r="6859" spans="2:2">
      <c r="B6859" s="24"/>
    </row>
    <row r="6860" spans="2:2">
      <c r="B6860" s="24"/>
    </row>
    <row r="6861" spans="2:2">
      <c r="B6861" s="24"/>
    </row>
    <row r="6862" spans="2:2">
      <c r="B6862" s="24"/>
    </row>
    <row r="6863" spans="2:2">
      <c r="B6863" s="24"/>
    </row>
    <row r="6864" spans="2:2">
      <c r="B6864" s="24"/>
    </row>
    <row r="6865" spans="2:2">
      <c r="B6865" s="24"/>
    </row>
    <row r="6866" spans="2:2">
      <c r="B6866" s="24"/>
    </row>
    <row r="6867" spans="2:2">
      <c r="B6867" s="24"/>
    </row>
    <row r="6868" spans="2:2">
      <c r="B6868" s="24"/>
    </row>
    <row r="6869" spans="2:2">
      <c r="B6869" s="24"/>
    </row>
    <row r="6870" spans="2:2">
      <c r="B6870" s="24"/>
    </row>
    <row r="6871" spans="2:2">
      <c r="B6871" s="24"/>
    </row>
    <row r="6872" spans="2:2">
      <c r="B6872" s="24"/>
    </row>
    <row r="6873" spans="2:2">
      <c r="B6873" s="24"/>
    </row>
    <row r="6874" spans="2:2">
      <c r="B6874" s="24"/>
    </row>
    <row r="6875" spans="2:2">
      <c r="B6875" s="24"/>
    </row>
    <row r="6876" spans="2:2">
      <c r="B6876" s="24"/>
    </row>
    <row r="6877" spans="2:2">
      <c r="B6877" s="24"/>
    </row>
    <row r="6878" spans="2:2">
      <c r="B6878" s="24"/>
    </row>
    <row r="6879" spans="2:2">
      <c r="B6879" s="24"/>
    </row>
    <row r="6880" spans="2:2">
      <c r="B6880" s="24"/>
    </row>
    <row r="6881" spans="2:2">
      <c r="B6881" s="24"/>
    </row>
    <row r="6882" spans="2:2">
      <c r="B6882" s="24"/>
    </row>
    <row r="6883" spans="2:2">
      <c r="B6883" s="24"/>
    </row>
    <row r="6884" spans="2:2">
      <c r="B6884" s="24"/>
    </row>
    <row r="6885" spans="2:2">
      <c r="B6885" s="24"/>
    </row>
    <row r="6886" spans="2:2">
      <c r="B6886" s="24"/>
    </row>
    <row r="6887" spans="2:2">
      <c r="B6887" s="24"/>
    </row>
    <row r="6888" spans="2:2">
      <c r="B6888" s="24"/>
    </row>
    <row r="6889" spans="2:2">
      <c r="B6889" s="24"/>
    </row>
    <row r="6890" spans="2:2">
      <c r="B6890" s="24"/>
    </row>
    <row r="6891" spans="2:2">
      <c r="B6891" s="24"/>
    </row>
    <row r="6892" spans="2:2">
      <c r="B6892" s="24"/>
    </row>
    <row r="6893" spans="2:2">
      <c r="B6893" s="24"/>
    </row>
    <row r="6894" spans="2:2">
      <c r="B6894" s="24"/>
    </row>
    <row r="6895" spans="2:2">
      <c r="B6895" s="24"/>
    </row>
    <row r="6896" spans="2:2">
      <c r="B6896" s="24"/>
    </row>
    <row r="6897" spans="2:2">
      <c r="B6897" s="24"/>
    </row>
    <row r="6898" spans="2:2">
      <c r="B6898" s="24"/>
    </row>
    <row r="6899" spans="2:2">
      <c r="B6899" s="24"/>
    </row>
    <row r="6900" spans="2:2">
      <c r="B6900" s="24"/>
    </row>
    <row r="6901" spans="2:2">
      <c r="B6901" s="24"/>
    </row>
    <row r="6902" spans="2:2">
      <c r="B6902" s="24"/>
    </row>
    <row r="6903" spans="2:2">
      <c r="B6903" s="24"/>
    </row>
    <row r="6904" spans="2:2">
      <c r="B6904" s="24"/>
    </row>
    <row r="6905" spans="2:2">
      <c r="B6905" s="24"/>
    </row>
    <row r="6906" spans="2:2">
      <c r="B6906" s="24"/>
    </row>
    <row r="6907" spans="2:2">
      <c r="B6907" s="24"/>
    </row>
    <row r="6908" spans="2:2">
      <c r="B6908" s="24"/>
    </row>
    <row r="6909" spans="2:2">
      <c r="B6909" s="24"/>
    </row>
    <row r="6910" spans="2:2">
      <c r="B6910" s="24"/>
    </row>
    <row r="6911" spans="2:2">
      <c r="B6911" s="24"/>
    </row>
    <row r="6912" spans="2:2">
      <c r="B6912" s="24"/>
    </row>
    <row r="6913" spans="2:2">
      <c r="B6913" s="24"/>
    </row>
    <row r="6914" spans="2:2">
      <c r="B6914" s="24"/>
    </row>
    <row r="6915" spans="2:2">
      <c r="B6915" s="24"/>
    </row>
    <row r="6916" spans="2:2">
      <c r="B6916" s="24"/>
    </row>
    <row r="6917" spans="2:2">
      <c r="B6917" s="24"/>
    </row>
    <row r="6918" spans="2:2">
      <c r="B6918" s="24"/>
    </row>
    <row r="6919" spans="2:2">
      <c r="B6919" s="24"/>
    </row>
    <row r="6920" spans="2:2">
      <c r="B6920" s="24"/>
    </row>
    <row r="6921" spans="2:2">
      <c r="B6921" s="24"/>
    </row>
    <row r="6922" spans="2:2">
      <c r="B6922" s="24"/>
    </row>
    <row r="6923" spans="2:2">
      <c r="B6923" s="24"/>
    </row>
    <row r="6924" spans="2:2">
      <c r="B6924" s="24"/>
    </row>
    <row r="6925" spans="2:2">
      <c r="B6925" s="24"/>
    </row>
    <row r="6926" spans="2:2">
      <c r="B6926" s="24"/>
    </row>
    <row r="6927" spans="2:2">
      <c r="B6927" s="24"/>
    </row>
    <row r="6928" spans="2:2">
      <c r="B6928" s="24"/>
    </row>
    <row r="6929" spans="2:2">
      <c r="B6929" s="24"/>
    </row>
    <row r="6930" spans="2:2">
      <c r="B6930" s="24"/>
    </row>
    <row r="6931" spans="2:2">
      <c r="B6931" s="24"/>
    </row>
    <row r="6932" spans="2:2">
      <c r="B6932" s="24"/>
    </row>
    <row r="6933" spans="2:2">
      <c r="B6933" s="24"/>
    </row>
    <row r="6934" spans="2:2">
      <c r="B6934" s="24"/>
    </row>
    <row r="6935" spans="2:2">
      <c r="B6935" s="24"/>
    </row>
    <row r="6936" spans="2:2">
      <c r="B6936" s="24"/>
    </row>
    <row r="6937" spans="2:2">
      <c r="B6937" s="24"/>
    </row>
    <row r="6938" spans="2:2">
      <c r="B6938" s="24"/>
    </row>
    <row r="6939" spans="2:2">
      <c r="B6939" s="24"/>
    </row>
    <row r="6940" spans="2:2">
      <c r="B6940" s="24"/>
    </row>
    <row r="6941" spans="2:2">
      <c r="B6941" s="24"/>
    </row>
    <row r="6942" spans="2:2">
      <c r="B6942" s="24"/>
    </row>
    <row r="6943" spans="2:2">
      <c r="B6943" s="24"/>
    </row>
    <row r="6944" spans="2:2">
      <c r="B6944" s="24"/>
    </row>
    <row r="6945" spans="2:2">
      <c r="B6945" s="24"/>
    </row>
    <row r="6946" spans="2:2">
      <c r="B6946" s="24"/>
    </row>
    <row r="6947" spans="2:2">
      <c r="B6947" s="24"/>
    </row>
    <row r="6948" spans="2:2">
      <c r="B6948" s="24"/>
    </row>
    <row r="6949" spans="2:2">
      <c r="B6949" s="24"/>
    </row>
    <row r="6950" spans="2:2">
      <c r="B6950" s="24"/>
    </row>
    <row r="6951" spans="2:2">
      <c r="B6951" s="24"/>
    </row>
    <row r="6952" spans="2:2">
      <c r="B6952" s="24"/>
    </row>
    <row r="6953" spans="2:2">
      <c r="B6953" s="24"/>
    </row>
    <row r="6954" spans="2:2">
      <c r="B6954" s="24"/>
    </row>
    <row r="6955" spans="2:2">
      <c r="B6955" s="24"/>
    </row>
    <row r="6956" spans="2:2">
      <c r="B6956" s="24"/>
    </row>
    <row r="6957" spans="2:2">
      <c r="B6957" s="24"/>
    </row>
    <row r="6958" spans="2:2">
      <c r="B6958" s="24"/>
    </row>
    <row r="6959" spans="2:2">
      <c r="B6959" s="24"/>
    </row>
    <row r="6960" spans="2:2">
      <c r="B6960" s="24"/>
    </row>
    <row r="6961" spans="2:2">
      <c r="B6961" s="24"/>
    </row>
    <row r="6962" spans="2:2">
      <c r="B6962" s="24"/>
    </row>
    <row r="6963" spans="2:2">
      <c r="B6963" s="24"/>
    </row>
    <row r="6964" spans="2:2">
      <c r="B6964" s="24"/>
    </row>
    <row r="6965" spans="2:2">
      <c r="B6965" s="24"/>
    </row>
    <row r="6966" spans="2:2">
      <c r="B6966" s="24"/>
    </row>
    <row r="6967" spans="2:2">
      <c r="B6967" s="24"/>
    </row>
    <row r="6968" spans="2:2">
      <c r="B6968" s="24"/>
    </row>
    <row r="6969" spans="2:2">
      <c r="B6969" s="24"/>
    </row>
    <row r="6970" spans="2:2">
      <c r="B6970" s="24"/>
    </row>
    <row r="6971" spans="2:2">
      <c r="B6971" s="24"/>
    </row>
    <row r="6972" spans="2:2">
      <c r="B6972" s="24"/>
    </row>
    <row r="6973" spans="2:2">
      <c r="B6973" s="24"/>
    </row>
    <row r="6974" spans="2:2">
      <c r="B6974" s="24"/>
    </row>
    <row r="6975" spans="2:2">
      <c r="B6975" s="24"/>
    </row>
    <row r="6976" spans="2:2">
      <c r="B6976" s="24"/>
    </row>
    <row r="6977" spans="2:2">
      <c r="B6977" s="24"/>
    </row>
    <row r="6978" spans="2:2">
      <c r="B6978" s="24"/>
    </row>
    <row r="6979" spans="2:2">
      <c r="B6979" s="24"/>
    </row>
    <row r="6980" spans="2:2">
      <c r="B6980" s="24"/>
    </row>
    <row r="6981" spans="2:2">
      <c r="B6981" s="24"/>
    </row>
    <row r="6982" spans="2:2">
      <c r="B6982" s="24"/>
    </row>
    <row r="6983" spans="2:2">
      <c r="B6983" s="24"/>
    </row>
    <row r="6984" spans="2:2">
      <c r="B6984" s="24"/>
    </row>
    <row r="6985" spans="2:2">
      <c r="B6985" s="24"/>
    </row>
    <row r="6986" spans="2:2">
      <c r="B6986" s="24"/>
    </row>
    <row r="6987" spans="2:2">
      <c r="B6987" s="24"/>
    </row>
    <row r="6988" spans="2:2">
      <c r="B6988" s="24"/>
    </row>
    <row r="6989" spans="2:2">
      <c r="B6989" s="24"/>
    </row>
    <row r="6990" spans="2:2">
      <c r="B6990" s="24"/>
    </row>
    <row r="6991" spans="2:2">
      <c r="B6991" s="24"/>
    </row>
    <row r="6992" spans="2:2">
      <c r="B6992" s="24"/>
    </row>
    <row r="6993" spans="2:2">
      <c r="B6993" s="24"/>
    </row>
    <row r="6994" spans="2:2">
      <c r="B6994" s="24"/>
    </row>
    <row r="6995" spans="2:2">
      <c r="B6995" s="24"/>
    </row>
    <row r="6996" spans="2:2">
      <c r="B6996" s="24"/>
    </row>
    <row r="6997" spans="2:2">
      <c r="B6997" s="24"/>
    </row>
    <row r="6998" spans="2:2">
      <c r="B6998" s="24"/>
    </row>
    <row r="6999" spans="2:2">
      <c r="B6999" s="24"/>
    </row>
    <row r="7000" spans="2:2">
      <c r="B7000" s="24"/>
    </row>
    <row r="7001" spans="2:2">
      <c r="B7001" s="24"/>
    </row>
    <row r="7002" spans="2:2">
      <c r="B7002" s="24"/>
    </row>
    <row r="7003" spans="2:2">
      <c r="B7003" s="24"/>
    </row>
    <row r="7004" spans="2:2">
      <c r="B7004" s="24"/>
    </row>
    <row r="7005" spans="2:2">
      <c r="B7005" s="24"/>
    </row>
    <row r="7006" spans="2:2">
      <c r="B7006" s="24"/>
    </row>
    <row r="7007" spans="2:2">
      <c r="B7007" s="24"/>
    </row>
    <row r="7008" spans="2:2">
      <c r="B7008" s="24"/>
    </row>
    <row r="7009" spans="2:2">
      <c r="B7009" s="24"/>
    </row>
    <row r="7010" spans="2:2">
      <c r="B7010" s="24"/>
    </row>
    <row r="7011" spans="2:2">
      <c r="B7011" s="24"/>
    </row>
    <row r="7012" spans="2:2">
      <c r="B7012" s="24"/>
    </row>
    <row r="7013" spans="2:2">
      <c r="B7013" s="24"/>
    </row>
    <row r="7014" spans="2:2">
      <c r="B7014" s="24"/>
    </row>
    <row r="7015" spans="2:2">
      <c r="B7015" s="24"/>
    </row>
    <row r="7016" spans="2:2">
      <c r="B7016" s="24"/>
    </row>
    <row r="7017" spans="2:2">
      <c r="B7017" s="24"/>
    </row>
    <row r="7018" spans="2:2">
      <c r="B7018" s="24"/>
    </row>
    <row r="7019" spans="2:2">
      <c r="B7019" s="24"/>
    </row>
    <row r="7020" spans="2:2">
      <c r="B7020" s="24"/>
    </row>
    <row r="7021" spans="2:2">
      <c r="B7021" s="24"/>
    </row>
    <row r="7022" spans="2:2">
      <c r="B7022" s="24"/>
    </row>
    <row r="7023" spans="2:2">
      <c r="B7023" s="24"/>
    </row>
    <row r="7024" spans="2:2">
      <c r="B7024" s="24"/>
    </row>
    <row r="7025" spans="2:2">
      <c r="B7025" s="24"/>
    </row>
    <row r="7026" spans="2:2">
      <c r="B7026" s="24"/>
    </row>
    <row r="7027" spans="2:2">
      <c r="B7027" s="24"/>
    </row>
    <row r="7028" spans="2:2">
      <c r="B7028" s="24"/>
    </row>
    <row r="7029" spans="2:2">
      <c r="B7029" s="24"/>
    </row>
    <row r="7030" spans="2:2">
      <c r="B7030" s="24"/>
    </row>
    <row r="7031" spans="2:2">
      <c r="B7031" s="24"/>
    </row>
    <row r="7032" spans="2:2">
      <c r="B7032" s="24"/>
    </row>
    <row r="7033" spans="2:2">
      <c r="B7033" s="24"/>
    </row>
    <row r="7034" spans="2:2">
      <c r="B7034" s="24"/>
    </row>
    <row r="7035" spans="2:2">
      <c r="B7035" s="24"/>
    </row>
    <row r="7036" spans="2:2">
      <c r="B7036" s="24"/>
    </row>
    <row r="7037" spans="2:2">
      <c r="B7037" s="24"/>
    </row>
    <row r="7038" spans="2:2">
      <c r="B7038" s="24"/>
    </row>
    <row r="7039" spans="2:2">
      <c r="B7039" s="24"/>
    </row>
    <row r="7040" spans="2:2">
      <c r="B7040" s="24"/>
    </row>
    <row r="7041" spans="2:2">
      <c r="B7041" s="24"/>
    </row>
    <row r="7042" spans="2:2">
      <c r="B7042" s="24"/>
    </row>
    <row r="7043" spans="2:2">
      <c r="B7043" s="24"/>
    </row>
    <row r="7044" spans="2:2">
      <c r="B7044" s="24"/>
    </row>
    <row r="7045" spans="2:2">
      <c r="B7045" s="24"/>
    </row>
    <row r="7046" spans="2:2">
      <c r="B7046" s="24"/>
    </row>
    <row r="7047" spans="2:2">
      <c r="B7047" s="24"/>
    </row>
    <row r="7048" spans="2:2">
      <c r="B7048" s="24"/>
    </row>
    <row r="7049" spans="2:2">
      <c r="B7049" s="24"/>
    </row>
    <row r="7050" spans="2:2">
      <c r="B7050" s="24"/>
    </row>
    <row r="7051" spans="2:2">
      <c r="B7051" s="24"/>
    </row>
    <row r="7052" spans="2:2">
      <c r="B7052" s="24"/>
    </row>
    <row r="7053" spans="2:2">
      <c r="B7053" s="24"/>
    </row>
    <row r="7054" spans="2:2">
      <c r="B7054" s="24"/>
    </row>
    <row r="7055" spans="2:2">
      <c r="B7055" s="24"/>
    </row>
    <row r="7056" spans="2:2">
      <c r="B7056" s="24"/>
    </row>
    <row r="7057" spans="2:2">
      <c r="B7057" s="24"/>
    </row>
    <row r="7058" spans="2:2">
      <c r="B7058" s="24"/>
    </row>
    <row r="7059" spans="2:2">
      <c r="B7059" s="24"/>
    </row>
    <row r="7060" spans="2:2">
      <c r="B7060" s="24"/>
    </row>
    <row r="7061" spans="2:2">
      <c r="B7061" s="24"/>
    </row>
    <row r="7062" spans="2:2">
      <c r="B7062" s="24"/>
    </row>
    <row r="7063" spans="2:2">
      <c r="B7063" s="24"/>
    </row>
    <row r="7064" spans="2:2">
      <c r="B7064" s="24"/>
    </row>
    <row r="7065" spans="2:2">
      <c r="B7065" s="24"/>
    </row>
    <row r="7066" spans="2:2">
      <c r="B7066" s="24"/>
    </row>
    <row r="7067" spans="2:2">
      <c r="B7067" s="24"/>
    </row>
    <row r="7068" spans="2:2">
      <c r="B7068" s="24"/>
    </row>
    <row r="7069" spans="2:2">
      <c r="B7069" s="24"/>
    </row>
    <row r="7070" spans="2:2">
      <c r="B7070" s="24"/>
    </row>
    <row r="7071" spans="2:2">
      <c r="B7071" s="24"/>
    </row>
    <row r="7072" spans="2:2">
      <c r="B7072" s="24"/>
    </row>
    <row r="7073" spans="2:2">
      <c r="B7073" s="24"/>
    </row>
    <row r="7074" spans="2:2">
      <c r="B7074" s="24"/>
    </row>
    <row r="7075" spans="2:2">
      <c r="B7075" s="24"/>
    </row>
    <row r="7076" spans="2:2">
      <c r="B7076" s="24"/>
    </row>
    <row r="7077" spans="2:2">
      <c r="B7077" s="24"/>
    </row>
    <row r="7078" spans="2:2">
      <c r="B7078" s="24"/>
    </row>
    <row r="7079" spans="2:2">
      <c r="B7079" s="24"/>
    </row>
    <row r="7080" spans="2:2">
      <c r="B7080" s="24"/>
    </row>
    <row r="7081" spans="2:2">
      <c r="B7081" s="24"/>
    </row>
    <row r="7082" spans="2:2">
      <c r="B7082" s="24"/>
    </row>
    <row r="7083" spans="2:2">
      <c r="B7083" s="24"/>
    </row>
    <row r="7084" spans="2:2">
      <c r="B7084" s="24"/>
    </row>
    <row r="7085" spans="2:2">
      <c r="B7085" s="24"/>
    </row>
    <row r="7086" spans="2:2">
      <c r="B7086" s="24"/>
    </row>
    <row r="7087" spans="2:2">
      <c r="B7087" s="24"/>
    </row>
    <row r="7088" spans="2:2">
      <c r="B7088" s="24"/>
    </row>
    <row r="7089" spans="2:2">
      <c r="B7089" s="24"/>
    </row>
    <row r="7090" spans="2:2">
      <c r="B7090" s="24"/>
    </row>
    <row r="7091" spans="2:2">
      <c r="B7091" s="24"/>
    </row>
    <row r="7092" spans="2:2">
      <c r="B7092" s="24"/>
    </row>
    <row r="7093" spans="2:2">
      <c r="B7093" s="24"/>
    </row>
    <row r="7094" spans="2:2">
      <c r="B7094" s="24"/>
    </row>
    <row r="7095" spans="2:2">
      <c r="B7095" s="24"/>
    </row>
    <row r="7096" spans="2:2">
      <c r="B7096" s="24"/>
    </row>
    <row r="7097" spans="2:2">
      <c r="B7097" s="24"/>
    </row>
    <row r="7098" spans="2:2">
      <c r="B7098" s="24"/>
    </row>
    <row r="7099" spans="2:2">
      <c r="B7099" s="24"/>
    </row>
    <row r="7100" spans="2:2">
      <c r="B7100" s="24"/>
    </row>
    <row r="7101" spans="2:2">
      <c r="B7101" s="24"/>
    </row>
    <row r="7102" spans="2:2">
      <c r="B7102" s="24"/>
    </row>
    <row r="7103" spans="2:2">
      <c r="B7103" s="24"/>
    </row>
    <row r="7104" spans="2:2">
      <c r="B7104" s="24"/>
    </row>
    <row r="7105" spans="2:2">
      <c r="B7105" s="24"/>
    </row>
    <row r="7106" spans="2:2">
      <c r="B7106" s="24"/>
    </row>
    <row r="7107" spans="2:2">
      <c r="B7107" s="24"/>
    </row>
    <row r="7108" spans="2:2">
      <c r="B7108" s="24"/>
    </row>
    <row r="7109" spans="2:2">
      <c r="B7109" s="24"/>
    </row>
    <row r="7110" spans="2:2">
      <c r="B7110" s="24"/>
    </row>
    <row r="7111" spans="2:2">
      <c r="B7111" s="24"/>
    </row>
    <row r="7112" spans="2:2">
      <c r="B7112" s="24"/>
    </row>
    <row r="7113" spans="2:2">
      <c r="B7113" s="24"/>
    </row>
    <row r="7114" spans="2:2">
      <c r="B7114" s="24"/>
    </row>
    <row r="7115" spans="2:2">
      <c r="B7115" s="24"/>
    </row>
    <row r="7116" spans="2:2">
      <c r="B7116" s="24"/>
    </row>
    <row r="7117" spans="2:2">
      <c r="B7117" s="24"/>
    </row>
    <row r="7118" spans="2:2">
      <c r="B7118" s="24"/>
    </row>
    <row r="7119" spans="2:2">
      <c r="B7119" s="24"/>
    </row>
    <row r="7120" spans="2:2">
      <c r="B7120" s="24"/>
    </row>
    <row r="7121" spans="2:2">
      <c r="B7121" s="24"/>
    </row>
    <row r="7122" spans="2:2">
      <c r="B7122" s="24"/>
    </row>
    <row r="7123" spans="2:2">
      <c r="B7123" s="24"/>
    </row>
    <row r="7124" spans="2:2">
      <c r="B7124" s="24"/>
    </row>
    <row r="7125" spans="2:2">
      <c r="B7125" s="24"/>
    </row>
    <row r="7126" spans="2:2">
      <c r="B7126" s="24"/>
    </row>
    <row r="7127" spans="2:2">
      <c r="B7127" s="24"/>
    </row>
    <row r="7128" spans="2:2">
      <c r="B7128" s="24"/>
    </row>
    <row r="7129" spans="2:2">
      <c r="B7129" s="24"/>
    </row>
    <row r="7130" spans="2:2">
      <c r="B7130" s="24"/>
    </row>
    <row r="7131" spans="2:2">
      <c r="B7131" s="24"/>
    </row>
    <row r="7132" spans="2:2">
      <c r="B7132" s="24"/>
    </row>
    <row r="7133" spans="2:2">
      <c r="B7133" s="24"/>
    </row>
    <row r="7134" spans="2:2">
      <c r="B7134" s="24"/>
    </row>
    <row r="7135" spans="2:2">
      <c r="B7135" s="24"/>
    </row>
    <row r="7136" spans="2:2">
      <c r="B7136" s="24"/>
    </row>
    <row r="7137" spans="2:2">
      <c r="B7137" s="24"/>
    </row>
    <row r="7138" spans="2:2">
      <c r="B7138" s="24"/>
    </row>
    <row r="7139" spans="2:2">
      <c r="B7139" s="24"/>
    </row>
    <row r="7140" spans="2:2">
      <c r="B7140" s="24"/>
    </row>
    <row r="7141" spans="2:2">
      <c r="B7141" s="24"/>
    </row>
    <row r="7142" spans="2:2">
      <c r="B7142" s="24"/>
    </row>
    <row r="7143" spans="2:2">
      <c r="B7143" s="24"/>
    </row>
    <row r="7144" spans="2:2">
      <c r="B7144" s="24"/>
    </row>
    <row r="7145" spans="2:2">
      <c r="B7145" s="24"/>
    </row>
    <row r="7146" spans="2:2">
      <c r="B7146" s="24"/>
    </row>
    <row r="7147" spans="2:2">
      <c r="B7147" s="24"/>
    </row>
    <row r="7148" spans="2:2">
      <c r="B7148" s="24"/>
    </row>
    <row r="7149" spans="2:2">
      <c r="B7149" s="24"/>
    </row>
    <row r="7150" spans="2:2">
      <c r="B7150" s="24"/>
    </row>
    <row r="7151" spans="2:2">
      <c r="B7151" s="24"/>
    </row>
    <row r="7152" spans="2:2">
      <c r="B7152" s="24"/>
    </row>
    <row r="7153" spans="2:2">
      <c r="B7153" s="24"/>
    </row>
    <row r="7154" spans="2:2">
      <c r="B7154" s="24"/>
    </row>
    <row r="7155" spans="2:2">
      <c r="B7155" s="24"/>
    </row>
    <row r="7156" spans="2:2">
      <c r="B7156" s="24"/>
    </row>
    <row r="7157" spans="2:2">
      <c r="B7157" s="24"/>
    </row>
    <row r="7158" spans="2:2">
      <c r="B7158" s="24"/>
    </row>
    <row r="7159" spans="2:2">
      <c r="B7159" s="24"/>
    </row>
    <row r="7160" spans="2:2">
      <c r="B7160" s="24"/>
    </row>
    <row r="7161" spans="2:2">
      <c r="B7161" s="24"/>
    </row>
    <row r="7162" spans="2:2">
      <c r="B7162" s="24"/>
    </row>
    <row r="7163" spans="2:2">
      <c r="B7163" s="24"/>
    </row>
    <row r="7164" spans="2:2">
      <c r="B7164" s="24"/>
    </row>
    <row r="7165" spans="2:2">
      <c r="B7165" s="24"/>
    </row>
    <row r="7166" spans="2:2">
      <c r="B7166" s="24"/>
    </row>
    <row r="7167" spans="2:2">
      <c r="B7167" s="24"/>
    </row>
    <row r="7168" spans="2:2">
      <c r="B7168" s="24"/>
    </row>
    <row r="7169" spans="2:2">
      <c r="B7169" s="24"/>
    </row>
    <row r="7170" spans="2:2">
      <c r="B7170" s="24"/>
    </row>
    <row r="7171" spans="2:2">
      <c r="B7171" s="24"/>
    </row>
    <row r="7172" spans="2:2">
      <c r="B7172" s="24"/>
    </row>
    <row r="7173" spans="2:2">
      <c r="B7173" s="24"/>
    </row>
    <row r="7174" spans="2:2">
      <c r="B7174" s="24"/>
    </row>
    <row r="7175" spans="2:2">
      <c r="B7175" s="24"/>
    </row>
    <row r="7176" spans="2:2">
      <c r="B7176" s="24"/>
    </row>
    <row r="7177" spans="2:2">
      <c r="B7177" s="24"/>
    </row>
    <row r="7178" spans="2:2">
      <c r="B7178" s="24"/>
    </row>
    <row r="7179" spans="2:2">
      <c r="B7179" s="24"/>
    </row>
    <row r="7180" spans="2:2">
      <c r="B7180" s="24"/>
    </row>
    <row r="7181" spans="2:2">
      <c r="B7181" s="24"/>
    </row>
    <row r="7182" spans="2:2">
      <c r="B7182" s="24"/>
    </row>
    <row r="7183" spans="2:2">
      <c r="B7183" s="24"/>
    </row>
    <row r="7184" spans="2:2">
      <c r="B7184" s="24"/>
    </row>
    <row r="7185" spans="2:2">
      <c r="B7185" s="24"/>
    </row>
    <row r="7186" spans="2:2">
      <c r="B7186" s="24"/>
    </row>
    <row r="7187" spans="2:2">
      <c r="B7187" s="24"/>
    </row>
    <row r="7188" spans="2:2">
      <c r="B7188" s="24"/>
    </row>
    <row r="7189" spans="2:2">
      <c r="B7189" s="24"/>
    </row>
    <row r="7190" spans="2:2">
      <c r="B7190" s="24"/>
    </row>
    <row r="7191" spans="2:2">
      <c r="B7191" s="24"/>
    </row>
    <row r="7192" spans="2:2">
      <c r="B7192" s="24"/>
    </row>
    <row r="7193" spans="2:2">
      <c r="B7193" s="24"/>
    </row>
    <row r="7194" spans="2:2">
      <c r="B7194" s="24"/>
    </row>
    <row r="7195" spans="2:2">
      <c r="B7195" s="24"/>
    </row>
    <row r="7196" spans="2:2">
      <c r="B7196" s="24"/>
    </row>
    <row r="7197" spans="2:2">
      <c r="B7197" s="24"/>
    </row>
    <row r="7198" spans="2:2">
      <c r="B7198" s="24"/>
    </row>
    <row r="7199" spans="2:2">
      <c r="B7199" s="24"/>
    </row>
    <row r="7200" spans="2:2">
      <c r="B7200" s="24"/>
    </row>
    <row r="7201" spans="2:2">
      <c r="B7201" s="24"/>
    </row>
    <row r="7202" spans="2:2">
      <c r="B7202" s="24"/>
    </row>
    <row r="7203" spans="2:2">
      <c r="B7203" s="24"/>
    </row>
    <row r="7204" spans="2:2">
      <c r="B7204" s="24"/>
    </row>
    <row r="7205" spans="2:2">
      <c r="B7205" s="24"/>
    </row>
    <row r="7206" spans="2:2">
      <c r="B7206" s="24"/>
    </row>
    <row r="7207" spans="2:2">
      <c r="B7207" s="24"/>
    </row>
    <row r="7208" spans="2:2">
      <c r="B7208" s="24"/>
    </row>
    <row r="7209" spans="2:2">
      <c r="B7209" s="24"/>
    </row>
    <row r="7210" spans="2:2">
      <c r="B7210" s="24"/>
    </row>
    <row r="7211" spans="2:2">
      <c r="B7211" s="24"/>
    </row>
    <row r="7212" spans="2:2">
      <c r="B7212" s="24"/>
    </row>
    <row r="7213" spans="2:2">
      <c r="B7213" s="24"/>
    </row>
    <row r="7214" spans="2:2">
      <c r="B7214" s="24"/>
    </row>
    <row r="7215" spans="2:2">
      <c r="B7215" s="24"/>
    </row>
    <row r="7216" spans="2:2">
      <c r="B7216" s="24"/>
    </row>
    <row r="7217" spans="2:2">
      <c r="B7217" s="24"/>
    </row>
    <row r="7218" spans="2:2">
      <c r="B7218" s="24"/>
    </row>
    <row r="7219" spans="2:2">
      <c r="B7219" s="24"/>
    </row>
    <row r="7220" spans="2:2">
      <c r="B7220" s="24"/>
    </row>
    <row r="7221" spans="2:2">
      <c r="B7221" s="24"/>
    </row>
    <row r="7222" spans="2:2">
      <c r="B7222" s="24"/>
    </row>
    <row r="7223" spans="2:2">
      <c r="B7223" s="24"/>
    </row>
    <row r="7224" spans="2:2">
      <c r="B7224" s="24"/>
    </row>
    <row r="7225" spans="2:2">
      <c r="B7225" s="24"/>
    </row>
    <row r="7226" spans="2:2">
      <c r="B7226" s="24"/>
    </row>
    <row r="7227" spans="2:2">
      <c r="B7227" s="24"/>
    </row>
    <row r="7228" spans="2:2">
      <c r="B7228" s="24"/>
    </row>
    <row r="7229" spans="2:2">
      <c r="B7229" s="24"/>
    </row>
    <row r="7230" spans="2:2">
      <c r="B7230" s="24"/>
    </row>
    <row r="7231" spans="2:2">
      <c r="B7231" s="24"/>
    </row>
    <row r="7232" spans="2:2">
      <c r="B7232" s="24"/>
    </row>
    <row r="7233" spans="2:2">
      <c r="B7233" s="24"/>
    </row>
    <row r="7234" spans="2:2">
      <c r="B7234" s="24"/>
    </row>
    <row r="7235" spans="2:2">
      <c r="B7235" s="24"/>
    </row>
    <row r="7236" spans="2:2">
      <c r="B7236" s="24"/>
    </row>
    <row r="7237" spans="2:2">
      <c r="B7237" s="24"/>
    </row>
    <row r="7238" spans="2:2">
      <c r="B7238" s="24"/>
    </row>
    <row r="7239" spans="2:2">
      <c r="B7239" s="24"/>
    </row>
    <row r="7240" spans="2:2">
      <c r="B7240" s="24"/>
    </row>
    <row r="7241" spans="2:2">
      <c r="B7241" s="24"/>
    </row>
    <row r="7242" spans="2:2">
      <c r="B7242" s="24"/>
    </row>
    <row r="7243" spans="2:2">
      <c r="B7243" s="24"/>
    </row>
    <row r="7244" spans="2:2">
      <c r="B7244" s="24"/>
    </row>
    <row r="7245" spans="2:2">
      <c r="B7245" s="24"/>
    </row>
    <row r="7246" spans="2:2">
      <c r="B7246" s="24"/>
    </row>
    <row r="7247" spans="2:2">
      <c r="B7247" s="24"/>
    </row>
    <row r="7248" spans="2:2">
      <c r="B7248" s="24"/>
    </row>
    <row r="7249" spans="2:2">
      <c r="B7249" s="24"/>
    </row>
    <row r="7250" spans="2:2">
      <c r="B7250" s="24"/>
    </row>
    <row r="7251" spans="2:2">
      <c r="B7251" s="24"/>
    </row>
    <row r="7252" spans="2:2">
      <c r="B7252" s="24"/>
    </row>
    <row r="7253" spans="2:2">
      <c r="B7253" s="24"/>
    </row>
    <row r="7254" spans="2:2">
      <c r="B7254" s="24"/>
    </row>
    <row r="7255" spans="2:2">
      <c r="B7255" s="24"/>
    </row>
    <row r="7256" spans="2:2">
      <c r="B7256" s="24"/>
    </row>
    <row r="7257" spans="2:2">
      <c r="B7257" s="24"/>
    </row>
    <row r="7258" spans="2:2">
      <c r="B7258" s="24"/>
    </row>
    <row r="7259" spans="2:2">
      <c r="B7259" s="24"/>
    </row>
    <row r="7260" spans="2:2">
      <c r="B7260" s="24"/>
    </row>
    <row r="7261" spans="2:2">
      <c r="B7261" s="24"/>
    </row>
    <row r="7262" spans="2:2">
      <c r="B7262" s="24"/>
    </row>
    <row r="7263" spans="2:2">
      <c r="B7263" s="24"/>
    </row>
    <row r="7264" spans="2:2">
      <c r="B7264" s="24"/>
    </row>
    <row r="7265" spans="2:2">
      <c r="B7265" s="24"/>
    </row>
    <row r="7266" spans="2:2">
      <c r="B7266" s="24"/>
    </row>
    <row r="7267" spans="2:2">
      <c r="B7267" s="24"/>
    </row>
    <row r="7268" spans="2:2">
      <c r="B7268" s="24"/>
    </row>
    <row r="7269" spans="2:2">
      <c r="B7269" s="24"/>
    </row>
    <row r="7270" spans="2:2">
      <c r="B7270" s="24"/>
    </row>
    <row r="7271" spans="2:2">
      <c r="B7271" s="24"/>
    </row>
    <row r="7272" spans="2:2">
      <c r="B7272" s="24"/>
    </row>
    <row r="7273" spans="2:2">
      <c r="B7273" s="24"/>
    </row>
    <row r="7274" spans="2:2">
      <c r="B7274" s="24"/>
    </row>
    <row r="7275" spans="2:2">
      <c r="B7275" s="24"/>
    </row>
    <row r="7276" spans="2:2">
      <c r="B7276" s="24"/>
    </row>
    <row r="7277" spans="2:2">
      <c r="B7277" s="24"/>
    </row>
    <row r="7278" spans="2:2">
      <c r="B7278" s="24"/>
    </row>
    <row r="7279" spans="2:2">
      <c r="B7279" s="24"/>
    </row>
    <row r="7280" spans="2:2">
      <c r="B7280" s="24"/>
    </row>
    <row r="7281" spans="2:2">
      <c r="B7281" s="24"/>
    </row>
    <row r="7282" spans="2:2">
      <c r="B7282" s="24"/>
    </row>
    <row r="7283" spans="2:2">
      <c r="B7283" s="24"/>
    </row>
    <row r="7284" spans="2:2">
      <c r="B7284" s="24"/>
    </row>
    <row r="7285" spans="2:2">
      <c r="B7285" s="24"/>
    </row>
    <row r="7286" spans="2:2">
      <c r="B7286" s="24"/>
    </row>
    <row r="7287" spans="2:2">
      <c r="B7287" s="24"/>
    </row>
    <row r="7288" spans="2:2">
      <c r="B7288" s="24"/>
    </row>
    <row r="7289" spans="2:2">
      <c r="B7289" s="24"/>
    </row>
    <row r="7290" spans="2:2">
      <c r="B7290" s="24"/>
    </row>
    <row r="7291" spans="2:2">
      <c r="B7291" s="24"/>
    </row>
    <row r="7292" spans="2:2">
      <c r="B7292" s="24"/>
    </row>
    <row r="7293" spans="2:2">
      <c r="B7293" s="24"/>
    </row>
    <row r="7294" spans="2:2">
      <c r="B7294" s="24"/>
    </row>
    <row r="7295" spans="2:2">
      <c r="B7295" s="24"/>
    </row>
    <row r="7296" spans="2:2">
      <c r="B7296" s="24"/>
    </row>
    <row r="7297" spans="2:2">
      <c r="B7297" s="24"/>
    </row>
    <row r="7298" spans="2:2">
      <c r="B7298" s="24"/>
    </row>
    <row r="7299" spans="2:2">
      <c r="B7299" s="24"/>
    </row>
    <row r="7300" spans="2:2">
      <c r="B7300" s="24"/>
    </row>
    <row r="7301" spans="2:2">
      <c r="B7301" s="24"/>
    </row>
    <row r="7302" spans="2:2">
      <c r="B7302" s="24"/>
    </row>
    <row r="7303" spans="2:2">
      <c r="B7303" s="24"/>
    </row>
    <row r="7304" spans="2:2">
      <c r="B7304" s="24"/>
    </row>
    <row r="7305" spans="2:2">
      <c r="B7305" s="24"/>
    </row>
    <row r="7306" spans="2:2">
      <c r="B7306" s="24"/>
    </row>
    <row r="7307" spans="2:2">
      <c r="B7307" s="24"/>
    </row>
    <row r="7308" spans="2:2">
      <c r="B7308" s="24"/>
    </row>
    <row r="7309" spans="2:2">
      <c r="B7309" s="24"/>
    </row>
    <row r="7310" spans="2:2">
      <c r="B7310" s="24"/>
    </row>
    <row r="7311" spans="2:2">
      <c r="B7311" s="24"/>
    </row>
    <row r="7312" spans="2:2">
      <c r="B7312" s="24"/>
    </row>
    <row r="7313" spans="2:2">
      <c r="B7313" s="24"/>
    </row>
    <row r="7314" spans="2:2">
      <c r="B7314" s="24"/>
    </row>
    <row r="7315" spans="2:2">
      <c r="B7315" s="24"/>
    </row>
    <row r="7316" spans="2:2">
      <c r="B7316" s="24"/>
    </row>
    <row r="7317" spans="2:2">
      <c r="B7317" s="24"/>
    </row>
    <row r="7318" spans="2:2">
      <c r="B7318" s="24"/>
    </row>
    <row r="7319" spans="2:2">
      <c r="B7319" s="24"/>
    </row>
    <row r="7320" spans="2:2">
      <c r="B7320" s="24"/>
    </row>
    <row r="7321" spans="2:2">
      <c r="B7321" s="24"/>
    </row>
    <row r="7322" spans="2:2">
      <c r="B7322" s="24"/>
    </row>
    <row r="7323" spans="2:2">
      <c r="B7323" s="24"/>
    </row>
    <row r="7324" spans="2:2">
      <c r="B7324" s="24"/>
    </row>
    <row r="7325" spans="2:2">
      <c r="B7325" s="24"/>
    </row>
    <row r="7326" spans="2:2">
      <c r="B7326" s="24"/>
    </row>
    <row r="7327" spans="2:2">
      <c r="B7327" s="24"/>
    </row>
    <row r="7328" spans="2:2">
      <c r="B7328" s="24"/>
    </row>
    <row r="7329" spans="2:2">
      <c r="B7329" s="24"/>
    </row>
    <row r="7330" spans="2:2">
      <c r="B7330" s="24"/>
    </row>
    <row r="7331" spans="2:2">
      <c r="B7331" s="24"/>
    </row>
    <row r="7332" spans="2:2">
      <c r="B7332" s="24"/>
    </row>
    <row r="7333" spans="2:2">
      <c r="B7333" s="24"/>
    </row>
    <row r="7334" spans="2:2">
      <c r="B7334" s="24"/>
    </row>
    <row r="7335" spans="2:2">
      <c r="B7335" s="24"/>
    </row>
    <row r="7336" spans="2:2">
      <c r="B7336" s="24"/>
    </row>
    <row r="7337" spans="2:2">
      <c r="B7337" s="24"/>
    </row>
    <row r="7338" spans="2:2">
      <c r="B7338" s="24"/>
    </row>
    <row r="7339" spans="2:2">
      <c r="B7339" s="24"/>
    </row>
    <row r="7340" spans="2:2">
      <c r="B7340" s="24"/>
    </row>
    <row r="7341" spans="2:2">
      <c r="B7341" s="24"/>
    </row>
    <row r="7342" spans="2:2">
      <c r="B7342" s="24"/>
    </row>
    <row r="7343" spans="2:2">
      <c r="B7343" s="24"/>
    </row>
    <row r="7344" spans="2:2">
      <c r="B7344" s="24"/>
    </row>
    <row r="7345" spans="2:2">
      <c r="B7345" s="24"/>
    </row>
    <row r="7346" spans="2:2">
      <c r="B7346" s="24"/>
    </row>
    <row r="7347" spans="2:2">
      <c r="B7347" s="24"/>
    </row>
    <row r="7348" spans="2:2">
      <c r="B7348" s="24"/>
    </row>
    <row r="7349" spans="2:2">
      <c r="B7349" s="24"/>
    </row>
    <row r="7350" spans="2:2">
      <c r="B7350" s="24"/>
    </row>
    <row r="7351" spans="2:2">
      <c r="B7351" s="24"/>
    </row>
    <row r="7352" spans="2:2">
      <c r="B7352" s="24"/>
    </row>
    <row r="7353" spans="2:2">
      <c r="B7353" s="24"/>
    </row>
    <row r="7354" spans="2:2">
      <c r="B7354" s="24"/>
    </row>
    <row r="7355" spans="2:2">
      <c r="B7355" s="24"/>
    </row>
    <row r="7356" spans="2:2">
      <c r="B7356" s="24"/>
    </row>
    <row r="7357" spans="2:2">
      <c r="B7357" s="24"/>
    </row>
    <row r="7358" spans="2:2">
      <c r="B7358" s="24"/>
    </row>
    <row r="7359" spans="2:2">
      <c r="B7359" s="24"/>
    </row>
    <row r="7360" spans="2:2">
      <c r="B7360" s="24"/>
    </row>
    <row r="7361" spans="2:2">
      <c r="B7361" s="24"/>
    </row>
    <row r="7362" spans="2:2">
      <c r="B7362" s="24"/>
    </row>
    <row r="7363" spans="2:2">
      <c r="B7363" s="24"/>
    </row>
    <row r="7364" spans="2:2">
      <c r="B7364" s="24"/>
    </row>
    <row r="7365" spans="2:2">
      <c r="B7365" s="24"/>
    </row>
    <row r="7366" spans="2:2">
      <c r="B7366" s="24"/>
    </row>
    <row r="7367" spans="2:2">
      <c r="B7367" s="24"/>
    </row>
    <row r="7368" spans="2:2">
      <c r="B7368" s="24"/>
    </row>
    <row r="7369" spans="2:2">
      <c r="B7369" s="24"/>
    </row>
    <row r="7370" spans="2:2">
      <c r="B7370" s="24"/>
    </row>
    <row r="7371" spans="2:2">
      <c r="B7371" s="24"/>
    </row>
    <row r="7372" spans="2:2">
      <c r="B7372" s="24"/>
    </row>
    <row r="7373" spans="2:2">
      <c r="B7373" s="24"/>
    </row>
    <row r="7374" spans="2:2">
      <c r="B7374" s="24"/>
    </row>
    <row r="7375" spans="2:2">
      <c r="B7375" s="24"/>
    </row>
    <row r="7376" spans="2:2">
      <c r="B7376" s="24"/>
    </row>
    <row r="7377" spans="2:2">
      <c r="B7377" s="24"/>
    </row>
    <row r="7378" spans="2:2">
      <c r="B7378" s="24"/>
    </row>
    <row r="7379" spans="2:2">
      <c r="B7379" s="24"/>
    </row>
    <row r="7380" spans="2:2">
      <c r="B7380" s="24"/>
    </row>
    <row r="7381" spans="2:2">
      <c r="B7381" s="24"/>
    </row>
    <row r="7382" spans="2:2">
      <c r="B7382" s="24"/>
    </row>
    <row r="7383" spans="2:2">
      <c r="B7383" s="24"/>
    </row>
    <row r="7384" spans="2:2">
      <c r="B7384" s="24"/>
    </row>
    <row r="7385" spans="2:2">
      <c r="B7385" s="24"/>
    </row>
    <row r="7386" spans="2:2">
      <c r="B7386" s="24"/>
    </row>
    <row r="7387" spans="2:2">
      <c r="B7387" s="24"/>
    </row>
    <row r="7388" spans="2:2">
      <c r="B7388" s="24"/>
    </row>
    <row r="7389" spans="2:2">
      <c r="B7389" s="24"/>
    </row>
    <row r="7390" spans="2:2">
      <c r="B7390" s="24"/>
    </row>
    <row r="7391" spans="2:2">
      <c r="B7391" s="24"/>
    </row>
    <row r="7392" spans="2:2">
      <c r="B7392" s="24"/>
    </row>
    <row r="7393" spans="2:2">
      <c r="B7393" s="24"/>
    </row>
    <row r="7394" spans="2:2">
      <c r="B7394" s="24"/>
    </row>
    <row r="7395" spans="2:2">
      <c r="B7395" s="24"/>
    </row>
    <row r="7396" spans="2:2">
      <c r="B7396" s="24"/>
    </row>
    <row r="7397" spans="2:2">
      <c r="B7397" s="24"/>
    </row>
    <row r="7398" spans="2:2">
      <c r="B7398" s="24"/>
    </row>
    <row r="7399" spans="2:2">
      <c r="B7399" s="24"/>
    </row>
    <row r="7400" spans="2:2">
      <c r="B7400" s="24"/>
    </row>
    <row r="7401" spans="2:2">
      <c r="B7401" s="24"/>
    </row>
    <row r="7402" spans="2:2">
      <c r="B7402" s="24"/>
    </row>
    <row r="7403" spans="2:2">
      <c r="B7403" s="24"/>
    </row>
    <row r="7404" spans="2:2">
      <c r="B7404" s="24"/>
    </row>
    <row r="7405" spans="2:2">
      <c r="B7405" s="24"/>
    </row>
    <row r="7406" spans="2:2">
      <c r="B7406" s="24"/>
    </row>
    <row r="7407" spans="2:2">
      <c r="B7407" s="24"/>
    </row>
    <row r="7408" spans="2:2">
      <c r="B7408" s="24"/>
    </row>
    <row r="7409" spans="2:2">
      <c r="B7409" s="24"/>
    </row>
    <row r="7410" spans="2:2">
      <c r="B7410" s="24"/>
    </row>
    <row r="7411" spans="2:2">
      <c r="B7411" s="24"/>
    </row>
    <row r="7412" spans="2:2">
      <c r="B7412" s="24"/>
    </row>
    <row r="7413" spans="2:2">
      <c r="B7413" s="24"/>
    </row>
    <row r="7414" spans="2:2">
      <c r="B7414" s="24"/>
    </row>
    <row r="7415" spans="2:2">
      <c r="B7415" s="24"/>
    </row>
    <row r="7416" spans="2:2">
      <c r="B7416" s="24"/>
    </row>
    <row r="7417" spans="2:2">
      <c r="B7417" s="24"/>
    </row>
    <row r="7418" spans="2:2">
      <c r="B7418" s="24"/>
    </row>
    <row r="7419" spans="2:2">
      <c r="B7419" s="24"/>
    </row>
    <row r="7420" spans="2:2">
      <c r="B7420" s="24"/>
    </row>
    <row r="7421" spans="2:2">
      <c r="B7421" s="24"/>
    </row>
    <row r="7422" spans="2:2">
      <c r="B7422" s="24"/>
    </row>
    <row r="7423" spans="2:2">
      <c r="B7423" s="24"/>
    </row>
    <row r="7424" spans="2:2">
      <c r="B7424" s="24"/>
    </row>
    <row r="7425" spans="2:2">
      <c r="B7425" s="24"/>
    </row>
    <row r="7426" spans="2:2">
      <c r="B7426" s="24"/>
    </row>
    <row r="7427" spans="2:2">
      <c r="B7427" s="24"/>
    </row>
    <row r="7428" spans="2:2">
      <c r="B7428" s="24"/>
    </row>
    <row r="7429" spans="2:2">
      <c r="B7429" s="24"/>
    </row>
    <row r="7430" spans="2:2">
      <c r="B7430" s="24"/>
    </row>
    <row r="7431" spans="2:2">
      <c r="B7431" s="24"/>
    </row>
    <row r="7432" spans="2:2">
      <c r="B7432" s="24"/>
    </row>
    <row r="7433" spans="2:2">
      <c r="B7433" s="24"/>
    </row>
    <row r="7434" spans="2:2">
      <c r="B7434" s="24"/>
    </row>
    <row r="7435" spans="2:2">
      <c r="B7435" s="24"/>
    </row>
    <row r="7436" spans="2:2">
      <c r="B7436" s="24"/>
    </row>
    <row r="7437" spans="2:2">
      <c r="B7437" s="24"/>
    </row>
    <row r="7438" spans="2:2">
      <c r="B7438" s="24"/>
    </row>
    <row r="7439" spans="2:2">
      <c r="B7439" s="24"/>
    </row>
    <row r="7440" spans="2:2">
      <c r="B7440" s="24"/>
    </row>
    <row r="7441" spans="2:2">
      <c r="B7441" s="24"/>
    </row>
    <row r="7442" spans="2:2">
      <c r="B7442" s="24"/>
    </row>
    <row r="7443" spans="2:2">
      <c r="B7443" s="24"/>
    </row>
    <row r="7444" spans="2:2">
      <c r="B7444" s="24"/>
    </row>
    <row r="7445" spans="2:2">
      <c r="B7445" s="24"/>
    </row>
    <row r="7446" spans="2:2">
      <c r="B7446" s="24"/>
    </row>
    <row r="7447" spans="2:2">
      <c r="B7447" s="24"/>
    </row>
    <row r="7448" spans="2:2">
      <c r="B7448" s="24"/>
    </row>
    <row r="7449" spans="2:2">
      <c r="B7449" s="24"/>
    </row>
    <row r="7450" spans="2:2">
      <c r="B7450" s="24"/>
    </row>
    <row r="7451" spans="2:2">
      <c r="B7451" s="24"/>
    </row>
    <row r="7452" spans="2:2">
      <c r="B7452" s="24"/>
    </row>
    <row r="7453" spans="2:2">
      <c r="B7453" s="24"/>
    </row>
    <row r="7454" spans="2:2">
      <c r="B7454" s="24"/>
    </row>
    <row r="7455" spans="2:2">
      <c r="B7455" s="24"/>
    </row>
    <row r="7456" spans="2:2">
      <c r="B7456" s="24"/>
    </row>
    <row r="7457" spans="2:2">
      <c r="B7457" s="24"/>
    </row>
    <row r="7458" spans="2:2">
      <c r="B7458" s="24"/>
    </row>
    <row r="7459" spans="2:2">
      <c r="B7459" s="24"/>
    </row>
    <row r="7460" spans="2:2">
      <c r="B7460" s="24"/>
    </row>
    <row r="7461" spans="2:2">
      <c r="B7461" s="24"/>
    </row>
    <row r="7462" spans="2:2">
      <c r="B7462" s="24"/>
    </row>
    <row r="7463" spans="2:2">
      <c r="B7463" s="24"/>
    </row>
    <row r="7464" spans="2:2">
      <c r="B7464" s="24"/>
    </row>
    <row r="7465" spans="2:2">
      <c r="B7465" s="24"/>
    </row>
    <row r="7466" spans="2:2">
      <c r="B7466" s="24"/>
    </row>
    <row r="7467" spans="2:2">
      <c r="B7467" s="24"/>
    </row>
    <row r="7468" spans="2:2">
      <c r="B7468" s="24"/>
    </row>
    <row r="7469" spans="2:2">
      <c r="B7469" s="24"/>
    </row>
    <row r="7470" spans="2:2">
      <c r="B7470" s="24"/>
    </row>
    <row r="7471" spans="2:2">
      <c r="B7471" s="24"/>
    </row>
    <row r="7472" spans="2:2">
      <c r="B7472" s="24"/>
    </row>
    <row r="7473" spans="2:2">
      <c r="B7473" s="24"/>
    </row>
    <row r="7474" spans="2:2">
      <c r="B7474" s="24"/>
    </row>
    <row r="7475" spans="2:2">
      <c r="B7475" s="24"/>
    </row>
    <row r="7476" spans="2:2">
      <c r="B7476" s="24"/>
    </row>
    <row r="7477" spans="2:2">
      <c r="B7477" s="24"/>
    </row>
    <row r="7478" spans="2:2">
      <c r="B7478" s="24"/>
    </row>
    <row r="7479" spans="2:2">
      <c r="B7479" s="24"/>
    </row>
    <row r="7480" spans="2:2">
      <c r="B7480" s="24"/>
    </row>
    <row r="7481" spans="2:2">
      <c r="B7481" s="24"/>
    </row>
    <row r="7482" spans="2:2">
      <c r="B7482" s="24"/>
    </row>
    <row r="7483" spans="2:2">
      <c r="B7483" s="24"/>
    </row>
    <row r="7484" spans="2:2">
      <c r="B7484" s="24"/>
    </row>
    <row r="7485" spans="2:2">
      <c r="B7485" s="24"/>
    </row>
    <row r="7486" spans="2:2">
      <c r="B7486" s="24"/>
    </row>
    <row r="7487" spans="2:2">
      <c r="B7487" s="24"/>
    </row>
    <row r="7488" spans="2:2">
      <c r="B7488" s="24"/>
    </row>
    <row r="7489" spans="2:2">
      <c r="B7489" s="24"/>
    </row>
    <row r="7490" spans="2:2">
      <c r="B7490" s="24"/>
    </row>
    <row r="7491" spans="2:2">
      <c r="B7491" s="24"/>
    </row>
    <row r="7492" spans="2:2">
      <c r="B7492" s="24"/>
    </row>
    <row r="7493" spans="2:2">
      <c r="B7493" s="24"/>
    </row>
    <row r="7494" spans="2:2">
      <c r="B7494" s="24"/>
    </row>
    <row r="7495" spans="2:2">
      <c r="B7495" s="24"/>
    </row>
    <row r="7496" spans="2:2">
      <c r="B7496" s="24"/>
    </row>
    <row r="7497" spans="2:2">
      <c r="B7497" s="24"/>
    </row>
    <row r="7498" spans="2:2">
      <c r="B7498" s="24"/>
    </row>
    <row r="7499" spans="2:2">
      <c r="B7499" s="24"/>
    </row>
    <row r="7500" spans="2:2">
      <c r="B7500" s="24"/>
    </row>
    <row r="7501" spans="2:2">
      <c r="B7501" s="24"/>
    </row>
    <row r="7502" spans="2:2">
      <c r="B7502" s="24"/>
    </row>
    <row r="7503" spans="2:2">
      <c r="B7503" s="24"/>
    </row>
    <row r="7504" spans="2:2">
      <c r="B7504" s="24"/>
    </row>
    <row r="7505" spans="2:2">
      <c r="B7505" s="24"/>
    </row>
    <row r="7506" spans="2:2">
      <c r="B7506" s="24"/>
    </row>
    <row r="7507" spans="2:2">
      <c r="B7507" s="24"/>
    </row>
    <row r="7508" spans="2:2">
      <c r="B7508" s="24"/>
    </row>
    <row r="7509" spans="2:2">
      <c r="B7509" s="24"/>
    </row>
    <row r="7510" spans="2:2">
      <c r="B7510" s="24"/>
    </row>
    <row r="7511" spans="2:2">
      <c r="B7511" s="24"/>
    </row>
    <row r="7512" spans="2:2">
      <c r="B7512" s="24"/>
    </row>
    <row r="7513" spans="2:2">
      <c r="B7513" s="24"/>
    </row>
    <row r="7514" spans="2:2">
      <c r="B7514" s="24"/>
    </row>
    <row r="7515" spans="2:2">
      <c r="B7515" s="24"/>
    </row>
    <row r="7516" spans="2:2">
      <c r="B7516" s="24"/>
    </row>
    <row r="7517" spans="2:2">
      <c r="B7517" s="24"/>
    </row>
    <row r="7518" spans="2:2">
      <c r="B7518" s="24"/>
    </row>
    <row r="7519" spans="2:2">
      <c r="B7519" s="24"/>
    </row>
    <row r="7520" spans="2:2">
      <c r="B7520" s="24"/>
    </row>
    <row r="7521" spans="2:2">
      <c r="B7521" s="24"/>
    </row>
    <row r="7522" spans="2:2">
      <c r="B7522" s="24"/>
    </row>
    <row r="7523" spans="2:2">
      <c r="B7523" s="24"/>
    </row>
    <row r="7524" spans="2:2">
      <c r="B7524" s="24"/>
    </row>
    <row r="7525" spans="2:2">
      <c r="B7525" s="24"/>
    </row>
    <row r="7526" spans="2:2">
      <c r="B7526" s="24"/>
    </row>
    <row r="7527" spans="2:2">
      <c r="B7527" s="24"/>
    </row>
    <row r="7528" spans="2:2">
      <c r="B7528" s="24"/>
    </row>
    <row r="7529" spans="2:2">
      <c r="B7529" s="24"/>
    </row>
    <row r="7530" spans="2:2">
      <c r="B7530" s="24"/>
    </row>
    <row r="7531" spans="2:2">
      <c r="B7531" s="24"/>
    </row>
    <row r="7532" spans="2:2">
      <c r="B7532" s="24"/>
    </row>
    <row r="7533" spans="2:2">
      <c r="B7533" s="24"/>
    </row>
    <row r="7534" spans="2:2">
      <c r="B7534" s="24"/>
    </row>
    <row r="7535" spans="2:2">
      <c r="B7535" s="24"/>
    </row>
    <row r="7536" spans="2:2">
      <c r="B7536" s="24"/>
    </row>
    <row r="7537" spans="2:2">
      <c r="B7537" s="24"/>
    </row>
    <row r="7538" spans="2:2">
      <c r="B7538" s="24"/>
    </row>
    <row r="7539" spans="2:2">
      <c r="B7539" s="24"/>
    </row>
    <row r="7540" spans="2:2">
      <c r="B7540" s="24"/>
    </row>
    <row r="7541" spans="2:2">
      <c r="B7541" s="24"/>
    </row>
    <row r="7542" spans="2:2">
      <c r="B7542" s="24"/>
    </row>
    <row r="7543" spans="2:2">
      <c r="B7543" s="24"/>
    </row>
    <row r="7544" spans="2:2">
      <c r="B7544" s="24"/>
    </row>
    <row r="7545" spans="2:2">
      <c r="B7545" s="24"/>
    </row>
    <row r="7546" spans="2:2">
      <c r="B7546" s="24"/>
    </row>
    <row r="7547" spans="2:2">
      <c r="B7547" s="24"/>
    </row>
    <row r="7548" spans="2:2">
      <c r="B7548" s="24"/>
    </row>
    <row r="7549" spans="2:2">
      <c r="B7549" s="24"/>
    </row>
    <row r="7550" spans="2:2">
      <c r="B7550" s="24"/>
    </row>
    <row r="7551" spans="2:2">
      <c r="B7551" s="24"/>
    </row>
    <row r="7552" spans="2:2">
      <c r="B7552" s="24"/>
    </row>
    <row r="7553" spans="2:2">
      <c r="B7553" s="24"/>
    </row>
    <row r="7554" spans="2:2">
      <c r="B7554" s="24"/>
    </row>
    <row r="7555" spans="2:2">
      <c r="B7555" s="24"/>
    </row>
    <row r="7556" spans="2:2">
      <c r="B7556" s="24"/>
    </row>
    <row r="7557" spans="2:2">
      <c r="B7557" s="24"/>
    </row>
    <row r="7558" spans="2:2">
      <c r="B7558" s="24"/>
    </row>
    <row r="7559" spans="2:2">
      <c r="B7559" s="24"/>
    </row>
    <row r="7560" spans="2:2">
      <c r="B7560" s="24"/>
    </row>
    <row r="7561" spans="2:2">
      <c r="B7561" s="24"/>
    </row>
    <row r="7562" spans="2:2">
      <c r="B7562" s="24"/>
    </row>
    <row r="7563" spans="2:2">
      <c r="B7563" s="24"/>
    </row>
    <row r="7564" spans="2:2">
      <c r="B7564" s="24"/>
    </row>
    <row r="7565" spans="2:2">
      <c r="B7565" s="24"/>
    </row>
    <row r="7566" spans="2:2">
      <c r="B7566" s="24"/>
    </row>
    <row r="7567" spans="2:2">
      <c r="B7567" s="24"/>
    </row>
    <row r="7568" spans="2:2">
      <c r="B7568" s="24"/>
    </row>
    <row r="7569" spans="2:2">
      <c r="B7569" s="24"/>
    </row>
    <row r="7570" spans="2:2">
      <c r="B7570" s="24"/>
    </row>
    <row r="7571" spans="2:2">
      <c r="B7571" s="24"/>
    </row>
    <row r="7572" spans="2:2">
      <c r="B7572" s="24"/>
    </row>
    <row r="7573" spans="2:2">
      <c r="B7573" s="24"/>
    </row>
    <row r="7574" spans="2:2">
      <c r="B7574" s="24"/>
    </row>
    <row r="7575" spans="2:2">
      <c r="B7575" s="24"/>
    </row>
    <row r="7576" spans="2:2">
      <c r="B7576" s="24"/>
    </row>
    <row r="7577" spans="2:2">
      <c r="B7577" s="24"/>
    </row>
    <row r="7578" spans="2:2">
      <c r="B7578" s="24"/>
    </row>
    <row r="7579" spans="2:2">
      <c r="B7579" s="24"/>
    </row>
    <row r="7580" spans="2:2">
      <c r="B7580" s="24"/>
    </row>
    <row r="7581" spans="2:2">
      <c r="B7581" s="24"/>
    </row>
    <row r="7582" spans="2:2">
      <c r="B7582" s="24"/>
    </row>
    <row r="7583" spans="2:2">
      <c r="B7583" s="24"/>
    </row>
    <row r="7584" spans="2:2">
      <c r="B7584" s="24"/>
    </row>
    <row r="7585" spans="2:2">
      <c r="B7585" s="24"/>
    </row>
    <row r="7586" spans="2:2">
      <c r="B7586" s="24"/>
    </row>
    <row r="7587" spans="2:2">
      <c r="B7587" s="24"/>
    </row>
    <row r="7588" spans="2:2">
      <c r="B7588" s="24"/>
    </row>
    <row r="7589" spans="2:2">
      <c r="B7589" s="24"/>
    </row>
    <row r="7590" spans="2:2">
      <c r="B7590" s="24"/>
    </row>
    <row r="7591" spans="2:2">
      <c r="B7591" s="24"/>
    </row>
    <row r="7592" spans="2:2">
      <c r="B7592" s="24"/>
    </row>
    <row r="7593" spans="2:2">
      <c r="B7593" s="24"/>
    </row>
    <row r="7594" spans="2:2">
      <c r="B7594" s="24"/>
    </row>
    <row r="7595" spans="2:2">
      <c r="B7595" s="24"/>
    </row>
    <row r="7596" spans="2:2">
      <c r="B7596" s="24"/>
    </row>
    <row r="7597" spans="2:2">
      <c r="B7597" s="24"/>
    </row>
    <row r="7598" spans="2:2">
      <c r="B7598" s="24"/>
    </row>
    <row r="7599" spans="2:2">
      <c r="B7599" s="24"/>
    </row>
    <row r="7600" spans="2:2">
      <c r="B7600" s="24"/>
    </row>
    <row r="7601" spans="2:2">
      <c r="B7601" s="24"/>
    </row>
    <row r="7602" spans="2:2">
      <c r="B7602" s="24"/>
    </row>
    <row r="7603" spans="2:2">
      <c r="B7603" s="24"/>
    </row>
    <row r="7604" spans="2:2">
      <c r="B7604" s="24"/>
    </row>
    <row r="7605" spans="2:2">
      <c r="B7605" s="24"/>
    </row>
    <row r="7606" spans="2:2">
      <c r="B7606" s="24"/>
    </row>
    <row r="7607" spans="2:2">
      <c r="B7607" s="24"/>
    </row>
    <row r="7608" spans="2:2">
      <c r="B7608" s="24"/>
    </row>
    <row r="7609" spans="2:2">
      <c r="B7609" s="24"/>
    </row>
    <row r="7610" spans="2:2">
      <c r="B7610" s="24"/>
    </row>
    <row r="7611" spans="2:2">
      <c r="B7611" s="24"/>
    </row>
    <row r="7612" spans="2:2">
      <c r="B7612" s="24"/>
    </row>
    <row r="7613" spans="2:2">
      <c r="B7613" s="24"/>
    </row>
    <row r="7614" spans="2:2">
      <c r="B7614" s="24"/>
    </row>
    <row r="7615" spans="2:2">
      <c r="B7615" s="24"/>
    </row>
    <row r="7616" spans="2:2">
      <c r="B7616" s="24"/>
    </row>
    <row r="7617" spans="2:2">
      <c r="B7617" s="24"/>
    </row>
    <row r="7618" spans="2:2">
      <c r="B7618" s="24"/>
    </row>
    <row r="7619" spans="2:2">
      <c r="B7619" s="24"/>
    </row>
    <row r="7620" spans="2:2">
      <c r="B7620" s="24"/>
    </row>
    <row r="7621" spans="2:2">
      <c r="B7621" s="24"/>
    </row>
    <row r="7622" spans="2:2">
      <c r="B7622" s="24"/>
    </row>
    <row r="7623" spans="2:2">
      <c r="B7623" s="24"/>
    </row>
    <row r="7624" spans="2:2">
      <c r="B7624" s="24"/>
    </row>
    <row r="7625" spans="2:2">
      <c r="B7625" s="24"/>
    </row>
    <row r="7626" spans="2:2">
      <c r="B7626" s="24"/>
    </row>
    <row r="7627" spans="2:2">
      <c r="B7627" s="24"/>
    </row>
    <row r="7628" spans="2:2">
      <c r="B7628" s="24"/>
    </row>
    <row r="7629" spans="2:2">
      <c r="B7629" s="24"/>
    </row>
    <row r="7630" spans="2:2">
      <c r="B7630" s="24"/>
    </row>
    <row r="7631" spans="2:2">
      <c r="B7631" s="24"/>
    </row>
    <row r="7632" spans="2:2">
      <c r="B7632" s="24"/>
    </row>
    <row r="7633" spans="2:2">
      <c r="B7633" s="24"/>
    </row>
    <row r="7634" spans="2:2">
      <c r="B7634" s="24"/>
    </row>
    <row r="7635" spans="2:2">
      <c r="B7635" s="24"/>
    </row>
    <row r="7636" spans="2:2">
      <c r="B7636" s="24"/>
    </row>
    <row r="7637" spans="2:2">
      <c r="B7637" s="24"/>
    </row>
    <row r="7638" spans="2:2">
      <c r="B7638" s="24"/>
    </row>
    <row r="7639" spans="2:2">
      <c r="B7639" s="24"/>
    </row>
    <row r="7640" spans="2:2">
      <c r="B7640" s="24"/>
    </row>
    <row r="7641" spans="2:2">
      <c r="B7641" s="24"/>
    </row>
    <row r="7642" spans="2:2">
      <c r="B7642" s="24"/>
    </row>
    <row r="7643" spans="2:2">
      <c r="B7643" s="24"/>
    </row>
    <row r="7644" spans="2:2">
      <c r="B7644" s="24"/>
    </row>
    <row r="7645" spans="2:2">
      <c r="B7645" s="24"/>
    </row>
    <row r="7646" spans="2:2">
      <c r="B7646" s="24"/>
    </row>
    <row r="7647" spans="2:2">
      <c r="B7647" s="24"/>
    </row>
    <row r="7648" spans="2:2">
      <c r="B7648" s="24"/>
    </row>
    <row r="7649" spans="2:2">
      <c r="B7649" s="24"/>
    </row>
    <row r="7650" spans="2:2">
      <c r="B7650" s="24"/>
    </row>
    <row r="7651" spans="2:2">
      <c r="B7651" s="24"/>
    </row>
    <row r="7652" spans="2:2">
      <c r="B7652" s="24"/>
    </row>
    <row r="7653" spans="2:2">
      <c r="B7653" s="24"/>
    </row>
    <row r="7654" spans="2:2">
      <c r="B7654" s="24"/>
    </row>
    <row r="7655" spans="2:2">
      <c r="B7655" s="24"/>
    </row>
    <row r="7656" spans="2:2">
      <c r="B7656" s="24"/>
    </row>
    <row r="7657" spans="2:2">
      <c r="B7657" s="24"/>
    </row>
    <row r="7658" spans="2:2">
      <c r="B7658" s="24"/>
    </row>
    <row r="7659" spans="2:2">
      <c r="B7659" s="24"/>
    </row>
    <row r="7660" spans="2:2">
      <c r="B7660" s="24"/>
    </row>
    <row r="7661" spans="2:2">
      <c r="B7661" s="24"/>
    </row>
    <row r="7662" spans="2:2">
      <c r="B7662" s="24"/>
    </row>
    <row r="7663" spans="2:2">
      <c r="B7663" s="24"/>
    </row>
    <row r="7664" spans="2:2">
      <c r="B7664" s="24"/>
    </row>
    <row r="7665" spans="2:2">
      <c r="B7665" s="24"/>
    </row>
    <row r="7666" spans="2:2">
      <c r="B7666" s="24"/>
    </row>
    <row r="7667" spans="2:2">
      <c r="B7667" s="24"/>
    </row>
    <row r="7668" spans="2:2">
      <c r="B7668" s="24"/>
    </row>
    <row r="7669" spans="2:2">
      <c r="B7669" s="24"/>
    </row>
    <row r="7670" spans="2:2">
      <c r="B7670" s="24"/>
    </row>
    <row r="7671" spans="2:2">
      <c r="B7671" s="24"/>
    </row>
    <row r="7672" spans="2:2">
      <c r="B7672" s="24"/>
    </row>
    <row r="7673" spans="2:2">
      <c r="B7673" s="24"/>
    </row>
    <row r="7674" spans="2:2">
      <c r="B7674" s="24"/>
    </row>
    <row r="7675" spans="2:2">
      <c r="B7675" s="24"/>
    </row>
    <row r="7676" spans="2:2">
      <c r="B7676" s="24"/>
    </row>
    <row r="7677" spans="2:2">
      <c r="B7677" s="24"/>
    </row>
    <row r="7678" spans="2:2">
      <c r="B7678" s="24"/>
    </row>
    <row r="7679" spans="2:2">
      <c r="B7679" s="24"/>
    </row>
    <row r="7680" spans="2:2">
      <c r="B7680" s="24"/>
    </row>
    <row r="7681" spans="2:2">
      <c r="B7681" s="24"/>
    </row>
    <row r="7682" spans="2:2">
      <c r="B7682" s="24"/>
    </row>
    <row r="7683" spans="2:2">
      <c r="B7683" s="24"/>
    </row>
    <row r="7684" spans="2:2">
      <c r="B7684" s="24"/>
    </row>
    <row r="7685" spans="2:2">
      <c r="B7685" s="24"/>
    </row>
    <row r="7686" spans="2:2">
      <c r="B7686" s="24"/>
    </row>
    <row r="7687" spans="2:2">
      <c r="B7687" s="24"/>
    </row>
    <row r="7688" spans="2:2">
      <c r="B7688" s="24"/>
    </row>
    <row r="7689" spans="2:2">
      <c r="B7689" s="24"/>
    </row>
    <row r="7690" spans="2:2">
      <c r="B7690" s="24"/>
    </row>
    <row r="7691" spans="2:2">
      <c r="B7691" s="24"/>
    </row>
    <row r="7692" spans="2:2">
      <c r="B7692" s="24"/>
    </row>
    <row r="7693" spans="2:2">
      <c r="B7693" s="24"/>
    </row>
    <row r="7694" spans="2:2">
      <c r="B7694" s="24"/>
    </row>
    <row r="7695" spans="2:2">
      <c r="B7695" s="24"/>
    </row>
    <row r="7696" spans="2:2">
      <c r="B7696" s="24"/>
    </row>
    <row r="7697" spans="2:2">
      <c r="B7697" s="24"/>
    </row>
    <row r="7698" spans="2:2">
      <c r="B7698" s="24"/>
    </row>
    <row r="7699" spans="2:2">
      <c r="B7699" s="24"/>
    </row>
    <row r="7700" spans="2:2">
      <c r="B7700" s="24"/>
    </row>
    <row r="7701" spans="2:2">
      <c r="B7701" s="24"/>
    </row>
    <row r="7702" spans="2:2">
      <c r="B7702" s="24"/>
    </row>
    <row r="7703" spans="2:2">
      <c r="B7703" s="24"/>
    </row>
    <row r="7704" spans="2:2">
      <c r="B7704" s="24"/>
    </row>
    <row r="7705" spans="2:2">
      <c r="B7705" s="24"/>
    </row>
    <row r="7706" spans="2:2">
      <c r="B7706" s="24"/>
    </row>
    <row r="7707" spans="2:2">
      <c r="B7707" s="24"/>
    </row>
    <row r="7708" spans="2:2">
      <c r="B7708" s="24"/>
    </row>
    <row r="7709" spans="2:2">
      <c r="B7709" s="24"/>
    </row>
    <row r="7710" spans="2:2">
      <c r="B7710" s="24"/>
    </row>
    <row r="7711" spans="2:2">
      <c r="B7711" s="24"/>
    </row>
    <row r="7712" spans="2:2">
      <c r="B7712" s="24"/>
    </row>
    <row r="7713" spans="2:2">
      <c r="B7713" s="24"/>
    </row>
    <row r="7714" spans="2:2">
      <c r="B7714" s="24"/>
    </row>
    <row r="7715" spans="2:2">
      <c r="B7715" s="24"/>
    </row>
    <row r="7716" spans="2:2">
      <c r="B7716" s="24"/>
    </row>
    <row r="7717" spans="2:2">
      <c r="B7717" s="24"/>
    </row>
    <row r="7718" spans="2:2">
      <c r="B7718" s="24"/>
    </row>
    <row r="7719" spans="2:2">
      <c r="B7719" s="24"/>
    </row>
    <row r="7720" spans="2:2">
      <c r="B7720" s="24"/>
    </row>
    <row r="7721" spans="2:2">
      <c r="B7721" s="24"/>
    </row>
    <row r="7722" spans="2:2">
      <c r="B7722" s="24"/>
    </row>
    <row r="7723" spans="2:2">
      <c r="B7723" s="24"/>
    </row>
    <row r="7724" spans="2:2">
      <c r="B7724" s="24"/>
    </row>
    <row r="7725" spans="2:2">
      <c r="B7725" s="24"/>
    </row>
    <row r="7726" spans="2:2">
      <c r="B7726" s="24"/>
    </row>
    <row r="7727" spans="2:2">
      <c r="B7727" s="24"/>
    </row>
    <row r="7728" spans="2:2">
      <c r="B7728" s="24"/>
    </row>
    <row r="7729" spans="2:2">
      <c r="B7729" s="24"/>
    </row>
    <row r="7730" spans="2:2">
      <c r="B7730" s="24"/>
    </row>
    <row r="7731" spans="2:2">
      <c r="B7731" s="24"/>
    </row>
    <row r="7732" spans="2:2">
      <c r="B7732" s="24"/>
    </row>
    <row r="7733" spans="2:2">
      <c r="B7733" s="24"/>
    </row>
    <row r="7734" spans="2:2">
      <c r="B7734" s="24"/>
    </row>
    <row r="7735" spans="2:2">
      <c r="B7735" s="24"/>
    </row>
    <row r="7736" spans="2:2">
      <c r="B7736" s="24"/>
    </row>
    <row r="7737" spans="2:2">
      <c r="B7737" s="24"/>
    </row>
    <row r="7738" spans="2:2">
      <c r="B7738" s="24"/>
    </row>
    <row r="7739" spans="2:2">
      <c r="B7739" s="24"/>
    </row>
    <row r="7740" spans="2:2">
      <c r="B7740" s="24"/>
    </row>
    <row r="7741" spans="2:2">
      <c r="B7741" s="24"/>
    </row>
    <row r="7742" spans="2:2">
      <c r="B7742" s="24"/>
    </row>
    <row r="7743" spans="2:2">
      <c r="B7743" s="24"/>
    </row>
    <row r="7744" spans="2:2">
      <c r="B7744" s="24"/>
    </row>
    <row r="7745" spans="2:2">
      <c r="B7745" s="24"/>
    </row>
    <row r="7746" spans="2:2">
      <c r="B7746" s="24"/>
    </row>
    <row r="7747" spans="2:2">
      <c r="B7747" s="24"/>
    </row>
    <row r="7748" spans="2:2">
      <c r="B7748" s="24"/>
    </row>
    <row r="7749" spans="2:2">
      <c r="B7749" s="24"/>
    </row>
    <row r="7750" spans="2:2">
      <c r="B7750" s="24"/>
    </row>
    <row r="7751" spans="2:2">
      <c r="B7751" s="24"/>
    </row>
    <row r="7752" spans="2:2">
      <c r="B7752" s="24"/>
    </row>
    <row r="7753" spans="2:2">
      <c r="B7753" s="24"/>
    </row>
    <row r="7754" spans="2:2">
      <c r="B7754" s="24"/>
    </row>
    <row r="7755" spans="2:2">
      <c r="B7755" s="24"/>
    </row>
    <row r="7756" spans="2:2">
      <c r="B7756" s="24"/>
    </row>
    <row r="7757" spans="2:2">
      <c r="B7757" s="24"/>
    </row>
    <row r="7758" spans="2:2">
      <c r="B7758" s="24"/>
    </row>
    <row r="7759" spans="2:2">
      <c r="B7759" s="24"/>
    </row>
    <row r="7760" spans="2:2">
      <c r="B7760" s="24"/>
    </row>
    <row r="7761" spans="2:2">
      <c r="B7761" s="24"/>
    </row>
    <row r="7762" spans="2:2">
      <c r="B7762" s="24"/>
    </row>
    <row r="7763" spans="2:2">
      <c r="B7763" s="24"/>
    </row>
    <row r="7764" spans="2:2">
      <c r="B7764" s="24"/>
    </row>
    <row r="7765" spans="2:2">
      <c r="B7765" s="24"/>
    </row>
    <row r="7766" spans="2:2">
      <c r="B7766" s="24"/>
    </row>
    <row r="7767" spans="2:2">
      <c r="B7767" s="24"/>
    </row>
    <row r="7768" spans="2:2">
      <c r="B7768" s="24"/>
    </row>
    <row r="7769" spans="2:2">
      <c r="B7769" s="24"/>
    </row>
    <row r="7770" spans="2:2">
      <c r="B7770" s="24"/>
    </row>
    <row r="7771" spans="2:2">
      <c r="B7771" s="24"/>
    </row>
    <row r="7772" spans="2:2">
      <c r="B7772" s="24"/>
    </row>
    <row r="7773" spans="2:2">
      <c r="B7773" s="24"/>
    </row>
    <row r="7774" spans="2:2">
      <c r="B7774" s="24"/>
    </row>
    <row r="7775" spans="2:2">
      <c r="B7775" s="24"/>
    </row>
    <row r="7776" spans="2:2">
      <c r="B7776" s="24"/>
    </row>
    <row r="7777" spans="2:2">
      <c r="B7777" s="24"/>
    </row>
    <row r="7778" spans="2:2">
      <c r="B7778" s="24"/>
    </row>
    <row r="7779" spans="2:2">
      <c r="B7779" s="24"/>
    </row>
    <row r="7780" spans="2:2">
      <c r="B7780" s="24"/>
    </row>
    <row r="7781" spans="2:2">
      <c r="B7781" s="24"/>
    </row>
    <row r="7782" spans="2:2">
      <c r="B7782" s="24"/>
    </row>
    <row r="7783" spans="2:2">
      <c r="B7783" s="24"/>
    </row>
    <row r="7784" spans="2:2">
      <c r="B7784" s="24"/>
    </row>
    <row r="7785" spans="2:2">
      <c r="B7785" s="24"/>
    </row>
    <row r="7786" spans="2:2">
      <c r="B7786" s="24"/>
    </row>
    <row r="7787" spans="2:2">
      <c r="B7787" s="24"/>
    </row>
    <row r="7788" spans="2:2">
      <c r="B7788" s="24"/>
    </row>
    <row r="7789" spans="2:2">
      <c r="B7789" s="24"/>
    </row>
    <row r="7790" spans="2:2">
      <c r="B7790" s="24"/>
    </row>
    <row r="7791" spans="2:2">
      <c r="B7791" s="24"/>
    </row>
    <row r="7792" spans="2:2">
      <c r="B7792" s="24"/>
    </row>
    <row r="7793" spans="2:2">
      <c r="B7793" s="24"/>
    </row>
    <row r="7794" spans="2:2">
      <c r="B7794" s="24"/>
    </row>
    <row r="7795" spans="2:2">
      <c r="B7795" s="24"/>
    </row>
    <row r="7796" spans="2:2">
      <c r="B7796" s="24"/>
    </row>
    <row r="7797" spans="2:2">
      <c r="B7797" s="24"/>
    </row>
    <row r="7798" spans="2:2">
      <c r="B7798" s="24"/>
    </row>
    <row r="7799" spans="2:2">
      <c r="B7799" s="24"/>
    </row>
    <row r="7800" spans="2:2">
      <c r="B7800" s="24"/>
    </row>
    <row r="7801" spans="2:2">
      <c r="B7801" s="24"/>
    </row>
    <row r="7802" spans="2:2">
      <c r="B7802" s="24"/>
    </row>
    <row r="7803" spans="2:2">
      <c r="B7803" s="24"/>
    </row>
    <row r="7804" spans="2:2">
      <c r="B7804" s="24"/>
    </row>
    <row r="7805" spans="2:2">
      <c r="B7805" s="24"/>
    </row>
    <row r="7806" spans="2:2">
      <c r="B7806" s="24"/>
    </row>
    <row r="7807" spans="2:2">
      <c r="B7807" s="24"/>
    </row>
    <row r="7808" spans="2:2">
      <c r="B7808" s="24"/>
    </row>
    <row r="7809" spans="2:2">
      <c r="B7809" s="24"/>
    </row>
    <row r="7810" spans="2:2">
      <c r="B7810" s="24"/>
    </row>
    <row r="7811" spans="2:2">
      <c r="B7811" s="24"/>
    </row>
    <row r="7812" spans="2:2">
      <c r="B7812" s="24"/>
    </row>
    <row r="7813" spans="2:2">
      <c r="B7813" s="24"/>
    </row>
    <row r="7814" spans="2:2">
      <c r="B7814" s="24"/>
    </row>
    <row r="7815" spans="2:2">
      <c r="B7815" s="24"/>
    </row>
    <row r="7816" spans="2:2">
      <c r="B7816" s="24"/>
    </row>
    <row r="7817" spans="2:2">
      <c r="B7817" s="24"/>
    </row>
    <row r="7818" spans="2:2">
      <c r="B7818" s="24"/>
    </row>
    <row r="7819" spans="2:2">
      <c r="B7819" s="24"/>
    </row>
    <row r="7820" spans="2:2">
      <c r="B7820" s="24"/>
    </row>
    <row r="7821" spans="2:2">
      <c r="B7821" s="24"/>
    </row>
    <row r="7822" spans="2:2">
      <c r="B7822" s="24"/>
    </row>
    <row r="7823" spans="2:2">
      <c r="B7823" s="24"/>
    </row>
    <row r="7824" spans="2:2">
      <c r="B7824" s="24"/>
    </row>
    <row r="7825" spans="2:2">
      <c r="B7825" s="24"/>
    </row>
    <row r="7826" spans="2:2">
      <c r="B7826" s="24"/>
    </row>
    <row r="7827" spans="2:2">
      <c r="B7827" s="24"/>
    </row>
    <row r="7828" spans="2:2">
      <c r="B7828" s="24"/>
    </row>
    <row r="7829" spans="2:2">
      <c r="B7829" s="24"/>
    </row>
    <row r="7830" spans="2:2">
      <c r="B7830" s="24"/>
    </row>
    <row r="7831" spans="2:2">
      <c r="B7831" s="24"/>
    </row>
    <row r="7832" spans="2:2">
      <c r="B7832" s="24"/>
    </row>
    <row r="7833" spans="2:2">
      <c r="B7833" s="24"/>
    </row>
    <row r="7834" spans="2:2">
      <c r="B7834" s="24"/>
    </row>
    <row r="7835" spans="2:2">
      <c r="B7835" s="24"/>
    </row>
    <row r="7836" spans="2:2">
      <c r="B7836" s="24"/>
    </row>
    <row r="7837" spans="2:2">
      <c r="B7837" s="24"/>
    </row>
    <row r="7838" spans="2:2">
      <c r="B7838" s="24"/>
    </row>
    <row r="7839" spans="2:2">
      <c r="B7839" s="24"/>
    </row>
    <row r="7840" spans="2:2">
      <c r="B7840" s="24"/>
    </row>
    <row r="7841" spans="2:2">
      <c r="B7841" s="24"/>
    </row>
    <row r="7842" spans="2:2">
      <c r="B7842" s="24"/>
    </row>
    <row r="7843" spans="2:2">
      <c r="B7843" s="24"/>
    </row>
    <row r="7844" spans="2:2">
      <c r="B7844" s="24"/>
    </row>
    <row r="7845" spans="2:2">
      <c r="B7845" s="24"/>
    </row>
    <row r="7846" spans="2:2">
      <c r="B7846" s="24"/>
    </row>
    <row r="7847" spans="2:2">
      <c r="B7847" s="24"/>
    </row>
    <row r="7848" spans="2:2">
      <c r="B7848" s="24"/>
    </row>
    <row r="7849" spans="2:2">
      <c r="B7849" s="24"/>
    </row>
    <row r="7850" spans="2:2">
      <c r="B7850" s="24"/>
    </row>
    <row r="7851" spans="2:2">
      <c r="B7851" s="24"/>
    </row>
    <row r="7852" spans="2:2">
      <c r="B7852" s="24"/>
    </row>
    <row r="7853" spans="2:2">
      <c r="B7853" s="24"/>
    </row>
    <row r="7854" spans="2:2">
      <c r="B7854" s="24"/>
    </row>
    <row r="7855" spans="2:2">
      <c r="B7855" s="24"/>
    </row>
    <row r="7856" spans="2:2">
      <c r="B7856" s="24"/>
    </row>
    <row r="7857" spans="2:2">
      <c r="B7857" s="24"/>
    </row>
    <row r="7858" spans="2:2">
      <c r="B7858" s="24"/>
    </row>
    <row r="7859" spans="2:2">
      <c r="B7859" s="24"/>
    </row>
    <row r="7860" spans="2:2">
      <c r="B7860" s="24"/>
    </row>
    <row r="7861" spans="2:2">
      <c r="B7861" s="24"/>
    </row>
    <row r="7862" spans="2:2">
      <c r="B7862" s="24"/>
    </row>
    <row r="7863" spans="2:2">
      <c r="B7863" s="24"/>
    </row>
    <row r="7864" spans="2:2">
      <c r="B7864" s="24"/>
    </row>
    <row r="7865" spans="2:2">
      <c r="B7865" s="24"/>
    </row>
    <row r="7866" spans="2:2">
      <c r="B7866" s="24"/>
    </row>
    <row r="7867" spans="2:2">
      <c r="B7867" s="24"/>
    </row>
    <row r="7868" spans="2:2">
      <c r="B7868" s="24"/>
    </row>
    <row r="7869" spans="2:2">
      <c r="B7869" s="24"/>
    </row>
    <row r="7870" spans="2:2">
      <c r="B7870" s="24"/>
    </row>
    <row r="7871" spans="2:2">
      <c r="B7871" s="24"/>
    </row>
    <row r="7872" spans="2:2">
      <c r="B7872" s="24"/>
    </row>
    <row r="7873" spans="2:2">
      <c r="B7873" s="24"/>
    </row>
    <row r="7874" spans="2:2">
      <c r="B7874" s="24"/>
    </row>
    <row r="7875" spans="2:2">
      <c r="B7875" s="24"/>
    </row>
    <row r="7876" spans="2:2">
      <c r="B7876" s="24"/>
    </row>
    <row r="7877" spans="2:2">
      <c r="B7877" s="24"/>
    </row>
    <row r="7878" spans="2:2">
      <c r="B7878" s="24"/>
    </row>
    <row r="7879" spans="2:2">
      <c r="B7879" s="24"/>
    </row>
    <row r="7880" spans="2:2">
      <c r="B7880" s="24"/>
    </row>
    <row r="7881" spans="2:2">
      <c r="B7881" s="24"/>
    </row>
    <row r="7882" spans="2:2">
      <c r="B7882" s="24"/>
    </row>
    <row r="7883" spans="2:2">
      <c r="B7883" s="24"/>
    </row>
    <row r="7884" spans="2:2">
      <c r="B7884" s="24"/>
    </row>
    <row r="7885" spans="2:2">
      <c r="B7885" s="24"/>
    </row>
    <row r="7886" spans="2:2">
      <c r="B7886" s="24"/>
    </row>
    <row r="7887" spans="2:2">
      <c r="B7887" s="24"/>
    </row>
    <row r="7888" spans="2:2">
      <c r="B7888" s="24"/>
    </row>
    <row r="7889" spans="2:2">
      <c r="B7889" s="24"/>
    </row>
    <row r="7890" spans="2:2">
      <c r="B7890" s="24"/>
    </row>
    <row r="7891" spans="2:2">
      <c r="B7891" s="24"/>
    </row>
    <row r="7892" spans="2:2">
      <c r="B7892" s="24"/>
    </row>
    <row r="7893" spans="2:2">
      <c r="B7893" s="24"/>
    </row>
    <row r="7894" spans="2:2">
      <c r="B7894" s="24"/>
    </row>
    <row r="7895" spans="2:2">
      <c r="B7895" s="24"/>
    </row>
    <row r="7896" spans="2:2">
      <c r="B7896" s="24"/>
    </row>
    <row r="7897" spans="2:2">
      <c r="B7897" s="24"/>
    </row>
    <row r="7898" spans="2:2">
      <c r="B7898" s="24"/>
    </row>
    <row r="7899" spans="2:2">
      <c r="B7899" s="24"/>
    </row>
    <row r="7900" spans="2:2">
      <c r="B7900" s="24"/>
    </row>
    <row r="7901" spans="2:2">
      <c r="B7901" s="24"/>
    </row>
    <row r="7902" spans="2:2">
      <c r="B7902" s="24"/>
    </row>
    <row r="7903" spans="2:2">
      <c r="B7903" s="24"/>
    </row>
    <row r="7904" spans="2:2">
      <c r="B7904" s="24"/>
    </row>
    <row r="7905" spans="2:2">
      <c r="B7905" s="24"/>
    </row>
    <row r="7906" spans="2:2">
      <c r="B7906" s="24"/>
    </row>
    <row r="7907" spans="2:2">
      <c r="B7907" s="24"/>
    </row>
    <row r="7908" spans="2:2">
      <c r="B7908" s="24"/>
    </row>
    <row r="7909" spans="2:2">
      <c r="B7909" s="24"/>
    </row>
    <row r="7910" spans="2:2">
      <c r="B7910" s="24"/>
    </row>
    <row r="7911" spans="2:2">
      <c r="B7911" s="24"/>
    </row>
    <row r="7912" spans="2:2">
      <c r="B7912" s="24"/>
    </row>
    <row r="7913" spans="2:2">
      <c r="B7913" s="24"/>
    </row>
    <row r="7914" spans="2:2">
      <c r="B7914" s="24"/>
    </row>
    <row r="7915" spans="2:2">
      <c r="B7915" s="24"/>
    </row>
    <row r="7916" spans="2:2">
      <c r="B7916" s="24"/>
    </row>
    <row r="7917" spans="2:2">
      <c r="B7917" s="24"/>
    </row>
    <row r="7918" spans="2:2">
      <c r="B7918" s="24"/>
    </row>
    <row r="7919" spans="2:2">
      <c r="B7919" s="24"/>
    </row>
    <row r="7920" spans="2:2">
      <c r="B7920" s="24"/>
    </row>
    <row r="7921" spans="2:2">
      <c r="B7921" s="24"/>
    </row>
    <row r="7922" spans="2:2">
      <c r="B7922" s="24"/>
    </row>
    <row r="7923" spans="2:2">
      <c r="B7923" s="24"/>
    </row>
    <row r="7924" spans="2:2">
      <c r="B7924" s="24"/>
    </row>
    <row r="7925" spans="2:2">
      <c r="B7925" s="24"/>
    </row>
    <row r="7926" spans="2:2">
      <c r="B7926" s="24"/>
    </row>
    <row r="7927" spans="2:2">
      <c r="B7927" s="24"/>
    </row>
    <row r="7928" spans="2:2">
      <c r="B7928" s="24"/>
    </row>
    <row r="7929" spans="2:2">
      <c r="B7929" s="24"/>
    </row>
    <row r="7930" spans="2:2">
      <c r="B7930" s="24"/>
    </row>
    <row r="7931" spans="2:2">
      <c r="B7931" s="24"/>
    </row>
    <row r="7932" spans="2:2">
      <c r="B7932" s="24"/>
    </row>
    <row r="7933" spans="2:2">
      <c r="B7933" s="24"/>
    </row>
    <row r="7934" spans="2:2">
      <c r="B7934" s="24"/>
    </row>
    <row r="7935" spans="2:2">
      <c r="B7935" s="24"/>
    </row>
    <row r="7936" spans="2:2">
      <c r="B7936" s="24"/>
    </row>
    <row r="7937" spans="2:2">
      <c r="B7937" s="24"/>
    </row>
    <row r="7938" spans="2:2">
      <c r="B7938" s="24"/>
    </row>
    <row r="7939" spans="2:2">
      <c r="B7939" s="24"/>
    </row>
    <row r="7940" spans="2:2">
      <c r="B7940" s="24"/>
    </row>
    <row r="7941" spans="2:2">
      <c r="B7941" s="24"/>
    </row>
    <row r="7942" spans="2:2">
      <c r="B7942" s="24"/>
    </row>
    <row r="7943" spans="2:2">
      <c r="B7943" s="24"/>
    </row>
    <row r="7944" spans="2:2">
      <c r="B7944" s="24"/>
    </row>
    <row r="7945" spans="2:2">
      <c r="B7945" s="24"/>
    </row>
    <row r="7946" spans="2:2">
      <c r="B7946" s="24"/>
    </row>
    <row r="7947" spans="2:2">
      <c r="B7947" s="24"/>
    </row>
    <row r="7948" spans="2:2">
      <c r="B7948" s="24"/>
    </row>
    <row r="7949" spans="2:2">
      <c r="B7949" s="24"/>
    </row>
    <row r="7950" spans="2:2">
      <c r="B7950" s="24"/>
    </row>
    <row r="7951" spans="2:2">
      <c r="B7951" s="24"/>
    </row>
    <row r="7952" spans="2:2">
      <c r="B7952" s="24"/>
    </row>
    <row r="7953" spans="2:2">
      <c r="B7953" s="24"/>
    </row>
    <row r="7954" spans="2:2">
      <c r="B7954" s="24"/>
    </row>
    <row r="7955" spans="2:2">
      <c r="B7955" s="24"/>
    </row>
    <row r="7956" spans="2:2">
      <c r="B7956" s="24"/>
    </row>
    <row r="7957" spans="2:2">
      <c r="B7957" s="24"/>
    </row>
    <row r="7958" spans="2:2">
      <c r="B7958" s="24"/>
    </row>
    <row r="7959" spans="2:2">
      <c r="B7959" s="24"/>
    </row>
    <row r="7960" spans="2:2">
      <c r="B7960" s="24"/>
    </row>
    <row r="7961" spans="2:2">
      <c r="B7961" s="24"/>
    </row>
    <row r="7962" spans="2:2">
      <c r="B7962" s="24"/>
    </row>
    <row r="7963" spans="2:2">
      <c r="B7963" s="24"/>
    </row>
    <row r="7964" spans="2:2">
      <c r="B7964" s="24"/>
    </row>
    <row r="7965" spans="2:2">
      <c r="B7965" s="24"/>
    </row>
    <row r="7966" spans="2:2">
      <c r="B7966" s="24"/>
    </row>
    <row r="7967" spans="2:2">
      <c r="B7967" s="24"/>
    </row>
    <row r="7968" spans="2:2">
      <c r="B7968" s="24"/>
    </row>
    <row r="7969" spans="2:2">
      <c r="B7969" s="24"/>
    </row>
    <row r="7970" spans="2:2">
      <c r="B7970" s="24"/>
    </row>
    <row r="7971" spans="2:2">
      <c r="B7971" s="24"/>
    </row>
    <row r="7972" spans="2:2">
      <c r="B7972" s="24"/>
    </row>
    <row r="7973" spans="2:2">
      <c r="B7973" s="24"/>
    </row>
    <row r="7974" spans="2:2">
      <c r="B7974" s="24"/>
    </row>
    <row r="7975" spans="2:2">
      <c r="B7975" s="24"/>
    </row>
    <row r="7976" spans="2:2">
      <c r="B7976" s="24"/>
    </row>
    <row r="7977" spans="2:2">
      <c r="B7977" s="24"/>
    </row>
    <row r="7978" spans="2:2">
      <c r="B7978" s="24"/>
    </row>
    <row r="7979" spans="2:2">
      <c r="B7979" s="24"/>
    </row>
    <row r="7980" spans="2:2">
      <c r="B7980" s="24"/>
    </row>
    <row r="7981" spans="2:2">
      <c r="B7981" s="24"/>
    </row>
    <row r="7982" spans="2:2">
      <c r="B7982" s="24"/>
    </row>
    <row r="7983" spans="2:2">
      <c r="B7983" s="24"/>
    </row>
    <row r="7984" spans="2:2">
      <c r="B7984" s="24"/>
    </row>
    <row r="7985" spans="2:2">
      <c r="B7985" s="24"/>
    </row>
    <row r="7986" spans="2:2">
      <c r="B7986" s="24"/>
    </row>
    <row r="7987" spans="2:2">
      <c r="B7987" s="24"/>
    </row>
    <row r="7988" spans="2:2">
      <c r="B7988" s="24"/>
    </row>
    <row r="7989" spans="2:2">
      <c r="B7989" s="24"/>
    </row>
    <row r="7990" spans="2:2">
      <c r="B7990" s="24"/>
    </row>
    <row r="7991" spans="2:2">
      <c r="B7991" s="24"/>
    </row>
    <row r="7992" spans="2:2">
      <c r="B7992" s="24"/>
    </row>
    <row r="7993" spans="2:2">
      <c r="B7993" s="24"/>
    </row>
    <row r="7994" spans="2:2">
      <c r="B7994" s="24"/>
    </row>
    <row r="7995" spans="2:2">
      <c r="B7995" s="24"/>
    </row>
    <row r="7996" spans="2:2">
      <c r="B7996" s="24"/>
    </row>
    <row r="7997" spans="2:2">
      <c r="B7997" s="24"/>
    </row>
    <row r="7998" spans="2:2">
      <c r="B7998" s="24"/>
    </row>
    <row r="7999" spans="2:2">
      <c r="B7999" s="24"/>
    </row>
    <row r="8000" spans="2:2">
      <c r="B8000" s="24"/>
    </row>
    <row r="8001" spans="2:2">
      <c r="B8001" s="24"/>
    </row>
    <row r="8002" spans="2:2">
      <c r="B8002" s="24"/>
    </row>
    <row r="8003" spans="2:2">
      <c r="B8003" s="24"/>
    </row>
    <row r="8004" spans="2:2">
      <c r="B8004" s="24"/>
    </row>
    <row r="8005" spans="2:2">
      <c r="B8005" s="24"/>
    </row>
    <row r="8006" spans="2:2">
      <c r="B8006" s="24"/>
    </row>
    <row r="8007" spans="2:2">
      <c r="B8007" s="24"/>
    </row>
    <row r="8008" spans="2:2">
      <c r="B8008" s="24"/>
    </row>
    <row r="8009" spans="2:2">
      <c r="B8009" s="24"/>
    </row>
    <row r="8010" spans="2:2">
      <c r="B8010" s="24"/>
    </row>
    <row r="8011" spans="2:2">
      <c r="B8011" s="24"/>
    </row>
    <row r="8012" spans="2:2">
      <c r="B8012" s="24"/>
    </row>
    <row r="8013" spans="2:2">
      <c r="B8013" s="24"/>
    </row>
    <row r="8014" spans="2:2">
      <c r="B8014" s="24"/>
    </row>
    <row r="8015" spans="2:2">
      <c r="B8015" s="24"/>
    </row>
    <row r="8016" spans="2:2">
      <c r="B8016" s="24"/>
    </row>
    <row r="8017" spans="2:2">
      <c r="B8017" s="24"/>
    </row>
    <row r="8018" spans="2:2">
      <c r="B8018" s="24"/>
    </row>
    <row r="8019" spans="2:2">
      <c r="B8019" s="24"/>
    </row>
    <row r="8020" spans="2:2">
      <c r="B8020" s="24"/>
    </row>
    <row r="8021" spans="2:2">
      <c r="B8021" s="24"/>
    </row>
    <row r="8022" spans="2:2">
      <c r="B8022" s="24"/>
    </row>
    <row r="8023" spans="2:2">
      <c r="B8023" s="24"/>
    </row>
    <row r="8024" spans="2:2">
      <c r="B8024" s="24"/>
    </row>
    <row r="8025" spans="2:2">
      <c r="B8025" s="24"/>
    </row>
    <row r="8026" spans="2:2">
      <c r="B8026" s="24"/>
    </row>
    <row r="8027" spans="2:2">
      <c r="B8027" s="24"/>
    </row>
    <row r="8028" spans="2:2">
      <c r="B8028" s="24"/>
    </row>
    <row r="8029" spans="2:2">
      <c r="B8029" s="24"/>
    </row>
    <row r="8030" spans="2:2">
      <c r="B8030" s="24"/>
    </row>
    <row r="8031" spans="2:2">
      <c r="B8031" s="24"/>
    </row>
    <row r="8032" spans="2:2">
      <c r="B8032" s="24"/>
    </row>
    <row r="8033" spans="2:2">
      <c r="B8033" s="24"/>
    </row>
    <row r="8034" spans="2:2">
      <c r="B8034" s="24"/>
    </row>
    <row r="8035" spans="2:2">
      <c r="B8035" s="24"/>
    </row>
    <row r="8036" spans="2:2">
      <c r="B8036" s="24"/>
    </row>
    <row r="8037" spans="2:2">
      <c r="B8037" s="24"/>
    </row>
    <row r="8038" spans="2:2">
      <c r="B8038" s="24"/>
    </row>
    <row r="8039" spans="2:2">
      <c r="B8039" s="24"/>
    </row>
    <row r="8040" spans="2:2">
      <c r="B8040" s="24"/>
    </row>
    <row r="8041" spans="2:2">
      <c r="B8041" s="24"/>
    </row>
    <row r="8042" spans="2:2">
      <c r="B8042" s="24"/>
    </row>
    <row r="8043" spans="2:2">
      <c r="B8043" s="24"/>
    </row>
    <row r="8044" spans="2:2">
      <c r="B8044" s="24"/>
    </row>
    <row r="8045" spans="2:2">
      <c r="B8045" s="24"/>
    </row>
    <row r="8046" spans="2:2">
      <c r="B8046" s="24"/>
    </row>
    <row r="8047" spans="2:2">
      <c r="B8047" s="24"/>
    </row>
    <row r="8048" spans="2:2">
      <c r="B8048" s="24"/>
    </row>
    <row r="8049" spans="2:2">
      <c r="B8049" s="24"/>
    </row>
    <row r="8050" spans="2:2">
      <c r="B8050" s="24"/>
    </row>
    <row r="8051" spans="2:2">
      <c r="B8051" s="24"/>
    </row>
    <row r="8052" spans="2:2">
      <c r="B8052" s="24"/>
    </row>
    <row r="8053" spans="2:2">
      <c r="B8053" s="24"/>
    </row>
    <row r="8054" spans="2:2">
      <c r="B8054" s="24"/>
    </row>
    <row r="8055" spans="2:2">
      <c r="B8055" s="24"/>
    </row>
    <row r="8056" spans="2:2">
      <c r="B8056" s="24"/>
    </row>
    <row r="8057" spans="2:2">
      <c r="B8057" s="24"/>
    </row>
    <row r="8058" spans="2:2">
      <c r="B8058" s="24"/>
    </row>
    <row r="8059" spans="2:2">
      <c r="B8059" s="24"/>
    </row>
    <row r="8060" spans="2:2">
      <c r="B8060" s="24"/>
    </row>
    <row r="8061" spans="2:2">
      <c r="B8061" s="24"/>
    </row>
    <row r="8062" spans="2:2">
      <c r="B8062" s="24"/>
    </row>
    <row r="8063" spans="2:2">
      <c r="B8063" s="24"/>
    </row>
    <row r="8064" spans="2:2">
      <c r="B8064" s="24"/>
    </row>
    <row r="8065" spans="2:2">
      <c r="B8065" s="24"/>
    </row>
    <row r="8066" spans="2:2">
      <c r="B8066" s="24"/>
    </row>
    <row r="8067" spans="2:2">
      <c r="B8067" s="24"/>
    </row>
    <row r="8068" spans="2:2">
      <c r="B8068" s="24"/>
    </row>
    <row r="8069" spans="2:2">
      <c r="B8069" s="24"/>
    </row>
    <row r="8070" spans="2:2">
      <c r="B8070" s="24"/>
    </row>
    <row r="8071" spans="2:2">
      <c r="B8071" s="24"/>
    </row>
    <row r="8072" spans="2:2">
      <c r="B8072" s="24"/>
    </row>
    <row r="8073" spans="2:2">
      <c r="B8073" s="24"/>
    </row>
    <row r="8074" spans="2:2">
      <c r="B8074" s="24"/>
    </row>
    <row r="8075" spans="2:2">
      <c r="B8075" s="24"/>
    </row>
    <row r="8076" spans="2:2">
      <c r="B8076" s="24"/>
    </row>
    <row r="8077" spans="2:2">
      <c r="B8077" s="24"/>
    </row>
    <row r="8078" spans="2:2">
      <c r="B8078" s="24"/>
    </row>
    <row r="8079" spans="2:2">
      <c r="B8079" s="24"/>
    </row>
    <row r="8080" spans="2:2">
      <c r="B8080" s="24"/>
    </row>
    <row r="8081" spans="2:2">
      <c r="B8081" s="24"/>
    </row>
    <row r="8082" spans="2:2">
      <c r="B8082" s="24"/>
    </row>
    <row r="8083" spans="2:2">
      <c r="B8083" s="24"/>
    </row>
    <row r="8084" spans="2:2">
      <c r="B8084" s="24"/>
    </row>
    <row r="8085" spans="2:2">
      <c r="B8085" s="24"/>
    </row>
    <row r="8086" spans="2:2">
      <c r="B8086" s="24"/>
    </row>
    <row r="8087" spans="2:2">
      <c r="B8087" s="24"/>
    </row>
    <row r="8088" spans="2:2">
      <c r="B8088" s="24"/>
    </row>
    <row r="8089" spans="2:2">
      <c r="B8089" s="24"/>
    </row>
    <row r="8090" spans="2:2">
      <c r="B8090" s="24"/>
    </row>
    <row r="8091" spans="2:2">
      <c r="B8091" s="24"/>
    </row>
    <row r="8092" spans="2:2">
      <c r="B8092" s="24"/>
    </row>
    <row r="8093" spans="2:2">
      <c r="B8093" s="24"/>
    </row>
    <row r="8094" spans="2:2">
      <c r="B8094" s="24"/>
    </row>
    <row r="8095" spans="2:2">
      <c r="B8095" s="24"/>
    </row>
    <row r="8096" spans="2:2">
      <c r="B8096" s="24"/>
    </row>
    <row r="8097" spans="2:2">
      <c r="B8097" s="24"/>
    </row>
    <row r="8098" spans="2:2">
      <c r="B8098" s="24"/>
    </row>
    <row r="8099" spans="2:2">
      <c r="B8099" s="24"/>
    </row>
    <row r="8100" spans="2:2">
      <c r="B8100" s="24"/>
    </row>
    <row r="8101" spans="2:2">
      <c r="B8101" s="24"/>
    </row>
    <row r="8102" spans="2:2">
      <c r="B8102" s="24"/>
    </row>
    <row r="8103" spans="2:2">
      <c r="B8103" s="24"/>
    </row>
    <row r="8104" spans="2:2">
      <c r="B8104" s="24"/>
    </row>
    <row r="8105" spans="2:2">
      <c r="B8105" s="24"/>
    </row>
    <row r="8106" spans="2:2">
      <c r="B8106" s="24"/>
    </row>
    <row r="8107" spans="2:2">
      <c r="B8107" s="24"/>
    </row>
    <row r="8108" spans="2:2">
      <c r="B8108" s="24"/>
    </row>
    <row r="8109" spans="2:2">
      <c r="B8109" s="24"/>
    </row>
    <row r="8110" spans="2:2">
      <c r="B8110" s="24"/>
    </row>
    <row r="8111" spans="2:2">
      <c r="B8111" s="24"/>
    </row>
    <row r="8112" spans="2:2">
      <c r="B8112" s="24"/>
    </row>
    <row r="8113" spans="2:2">
      <c r="B8113" s="24"/>
    </row>
    <row r="8114" spans="2:2">
      <c r="B8114" s="24"/>
    </row>
    <row r="8115" spans="2:2">
      <c r="B8115" s="24"/>
    </row>
    <row r="8116" spans="2:2">
      <c r="B8116" s="24"/>
    </row>
    <row r="8117" spans="2:2">
      <c r="B8117" s="24"/>
    </row>
    <row r="8118" spans="2:2">
      <c r="B8118" s="24"/>
    </row>
    <row r="8119" spans="2:2">
      <c r="B8119" s="24"/>
    </row>
    <row r="8120" spans="2:2">
      <c r="B8120" s="24"/>
    </row>
    <row r="8121" spans="2:2">
      <c r="B8121" s="24"/>
    </row>
    <row r="8122" spans="2:2">
      <c r="B8122" s="24"/>
    </row>
    <row r="8123" spans="2:2">
      <c r="B8123" s="24"/>
    </row>
    <row r="8124" spans="2:2">
      <c r="B8124" s="24"/>
    </row>
    <row r="8125" spans="2:2">
      <c r="B8125" s="24"/>
    </row>
    <row r="8126" spans="2:2">
      <c r="B8126" s="24"/>
    </row>
    <row r="8127" spans="2:2">
      <c r="B8127" s="24"/>
    </row>
    <row r="8128" spans="2:2">
      <c r="B8128" s="24"/>
    </row>
    <row r="8129" spans="2:2">
      <c r="B8129" s="24"/>
    </row>
    <row r="8130" spans="2:2">
      <c r="B8130" s="24"/>
    </row>
    <row r="8131" spans="2:2">
      <c r="B8131" s="24"/>
    </row>
    <row r="8132" spans="2:2">
      <c r="B8132" s="24"/>
    </row>
    <row r="8133" spans="2:2">
      <c r="B8133" s="24"/>
    </row>
    <row r="8134" spans="2:2">
      <c r="B8134" s="24"/>
    </row>
    <row r="8135" spans="2:2">
      <c r="B8135" s="24"/>
    </row>
    <row r="8136" spans="2:2">
      <c r="B8136" s="24"/>
    </row>
    <row r="8137" spans="2:2">
      <c r="B8137" s="24"/>
    </row>
    <row r="8138" spans="2:2">
      <c r="B8138" s="24"/>
    </row>
    <row r="8139" spans="2:2">
      <c r="B8139" s="24"/>
    </row>
    <row r="8140" spans="2:2">
      <c r="B8140" s="24"/>
    </row>
    <row r="8141" spans="2:2">
      <c r="B8141" s="24"/>
    </row>
    <row r="8142" spans="2:2">
      <c r="B8142" s="24"/>
    </row>
    <row r="8143" spans="2:2">
      <c r="B8143" s="24"/>
    </row>
    <row r="8144" spans="2:2">
      <c r="B8144" s="24"/>
    </row>
    <row r="8145" spans="2:2">
      <c r="B8145" s="24"/>
    </row>
    <row r="8146" spans="2:2">
      <c r="B8146" s="24"/>
    </row>
    <row r="8147" spans="2:2">
      <c r="B8147" s="24"/>
    </row>
    <row r="8148" spans="2:2">
      <c r="B8148" s="24"/>
    </row>
    <row r="8149" spans="2:2">
      <c r="B8149" s="24"/>
    </row>
    <row r="8150" spans="2:2">
      <c r="B8150" s="24"/>
    </row>
    <row r="8151" spans="2:2">
      <c r="B8151" s="24"/>
    </row>
    <row r="8152" spans="2:2">
      <c r="B8152" s="24"/>
    </row>
    <row r="8153" spans="2:2">
      <c r="B8153" s="24"/>
    </row>
    <row r="8154" spans="2:2">
      <c r="B8154" s="24"/>
    </row>
    <row r="8155" spans="2:2">
      <c r="B8155" s="24"/>
    </row>
    <row r="8156" spans="2:2">
      <c r="B8156" s="24"/>
    </row>
    <row r="8157" spans="2:2">
      <c r="B8157" s="24"/>
    </row>
    <row r="8158" spans="2:2">
      <c r="B8158" s="24"/>
    </row>
    <row r="8159" spans="2:2">
      <c r="B8159" s="24"/>
    </row>
    <row r="8160" spans="2:2">
      <c r="B8160" s="24"/>
    </row>
    <row r="8161" spans="2:2">
      <c r="B8161" s="24"/>
    </row>
    <row r="8162" spans="2:2">
      <c r="B8162" s="24"/>
    </row>
    <row r="8163" spans="2:2">
      <c r="B8163" s="24"/>
    </row>
    <row r="8164" spans="2:2">
      <c r="B8164" s="24"/>
    </row>
    <row r="8165" spans="2:2">
      <c r="B8165" s="24"/>
    </row>
    <row r="8166" spans="2:2">
      <c r="B8166" s="24"/>
    </row>
    <row r="8167" spans="2:2">
      <c r="B8167" s="24"/>
    </row>
    <row r="8168" spans="2:2">
      <c r="B8168" s="24"/>
    </row>
    <row r="8169" spans="2:2">
      <c r="B8169" s="24"/>
    </row>
    <row r="8170" spans="2:2">
      <c r="B8170" s="24"/>
    </row>
    <row r="8171" spans="2:2">
      <c r="B8171" s="24"/>
    </row>
    <row r="8172" spans="2:2">
      <c r="B8172" s="24"/>
    </row>
    <row r="8173" spans="2:2">
      <c r="B8173" s="24"/>
    </row>
    <row r="8174" spans="2:2">
      <c r="B8174" s="24"/>
    </row>
    <row r="8175" spans="2:2">
      <c r="B8175" s="24"/>
    </row>
    <row r="8176" spans="2:2">
      <c r="B8176" s="24"/>
    </row>
    <row r="8177" spans="2:2">
      <c r="B8177" s="24"/>
    </row>
    <row r="8178" spans="2:2">
      <c r="B8178" s="24"/>
    </row>
    <row r="8179" spans="2:2">
      <c r="B8179" s="24"/>
    </row>
    <row r="8180" spans="2:2">
      <c r="B8180" s="24"/>
    </row>
    <row r="8181" spans="2:2">
      <c r="B8181" s="24"/>
    </row>
    <row r="8182" spans="2:2">
      <c r="B8182" s="24"/>
    </row>
    <row r="8183" spans="2:2">
      <c r="B8183" s="24"/>
    </row>
    <row r="8184" spans="2:2">
      <c r="B8184" s="24"/>
    </row>
    <row r="8185" spans="2:2">
      <c r="B8185" s="24"/>
    </row>
    <row r="8186" spans="2:2">
      <c r="B8186" s="24"/>
    </row>
    <row r="8187" spans="2:2">
      <c r="B8187" s="24"/>
    </row>
    <row r="8188" spans="2:2">
      <c r="B8188" s="24"/>
    </row>
    <row r="8189" spans="2:2">
      <c r="B8189" s="24"/>
    </row>
    <row r="8190" spans="2:2">
      <c r="B8190" s="24"/>
    </row>
    <row r="8191" spans="2:2">
      <c r="B8191" s="24"/>
    </row>
    <row r="8192" spans="2:2">
      <c r="B8192" s="24"/>
    </row>
    <row r="8193" spans="2:2">
      <c r="B8193" s="24"/>
    </row>
    <row r="8194" spans="2:2">
      <c r="B8194" s="24"/>
    </row>
    <row r="8195" spans="2:2">
      <c r="B8195" s="24"/>
    </row>
    <row r="8196" spans="2:2">
      <c r="B8196" s="24"/>
    </row>
    <row r="8197" spans="2:2">
      <c r="B8197" s="24"/>
    </row>
    <row r="8198" spans="2:2">
      <c r="B8198" s="24"/>
    </row>
    <row r="8199" spans="2:2">
      <c r="B8199" s="24"/>
    </row>
    <row r="8200" spans="2:2">
      <c r="B8200" s="24"/>
    </row>
    <row r="8201" spans="2:2">
      <c r="B8201" s="24"/>
    </row>
    <row r="8202" spans="2:2">
      <c r="B8202" s="24"/>
    </row>
    <row r="8203" spans="2:2">
      <c r="B8203" s="24"/>
    </row>
    <row r="8204" spans="2:2">
      <c r="B8204" s="24"/>
    </row>
    <row r="8205" spans="2:2">
      <c r="B8205" s="24"/>
    </row>
    <row r="8206" spans="2:2">
      <c r="B8206" s="24"/>
    </row>
    <row r="8207" spans="2:2">
      <c r="B8207" s="24"/>
    </row>
    <row r="8208" spans="2:2">
      <c r="B8208" s="24"/>
    </row>
    <row r="8209" spans="2:2">
      <c r="B8209" s="24"/>
    </row>
    <row r="8210" spans="2:2">
      <c r="B8210" s="24"/>
    </row>
    <row r="8211" spans="2:2">
      <c r="B8211" s="24"/>
    </row>
    <row r="8212" spans="2:2">
      <c r="B8212" s="24"/>
    </row>
    <row r="8213" spans="2:2">
      <c r="B8213" s="24"/>
    </row>
    <row r="8214" spans="2:2">
      <c r="B8214" s="24"/>
    </row>
    <row r="8215" spans="2:2">
      <c r="B8215" s="24"/>
    </row>
    <row r="8216" spans="2:2">
      <c r="B8216" s="24"/>
    </row>
    <row r="8217" spans="2:2">
      <c r="B8217" s="24"/>
    </row>
    <row r="8218" spans="2:2">
      <c r="B8218" s="24"/>
    </row>
    <row r="8219" spans="2:2">
      <c r="B8219" s="24"/>
    </row>
    <row r="8220" spans="2:2">
      <c r="B8220" s="24"/>
    </row>
    <row r="8221" spans="2:2">
      <c r="B8221" s="24"/>
    </row>
    <row r="8222" spans="2:2">
      <c r="B8222" s="24"/>
    </row>
    <row r="8223" spans="2:2">
      <c r="B8223" s="24"/>
    </row>
    <row r="8224" spans="2:2">
      <c r="B8224" s="24"/>
    </row>
    <row r="8225" spans="2:2">
      <c r="B8225" s="24"/>
    </row>
    <row r="8226" spans="2:2">
      <c r="B8226" s="24"/>
    </row>
    <row r="8227" spans="2:2">
      <c r="B8227" s="24"/>
    </row>
    <row r="8228" spans="2:2">
      <c r="B8228" s="24"/>
    </row>
    <row r="8229" spans="2:2">
      <c r="B8229" s="24"/>
    </row>
    <row r="8230" spans="2:2">
      <c r="B8230" s="24"/>
    </row>
    <row r="8231" spans="2:2">
      <c r="B8231" s="24"/>
    </row>
    <row r="8232" spans="2:2">
      <c r="B8232" s="24"/>
    </row>
    <row r="8233" spans="2:2">
      <c r="B8233" s="24"/>
    </row>
    <row r="8234" spans="2:2">
      <c r="B8234" s="24"/>
    </row>
    <row r="8235" spans="2:2">
      <c r="B8235" s="24"/>
    </row>
    <row r="8236" spans="2:2">
      <c r="B8236" s="24"/>
    </row>
    <row r="8237" spans="2:2">
      <c r="B8237" s="24"/>
    </row>
    <row r="8238" spans="2:2">
      <c r="B8238" s="24"/>
    </row>
    <row r="8239" spans="2:2">
      <c r="B8239" s="24"/>
    </row>
    <row r="8240" spans="2:2">
      <c r="B8240" s="24"/>
    </row>
    <row r="8241" spans="2:2">
      <c r="B8241" s="24"/>
    </row>
    <row r="8242" spans="2:2">
      <c r="B8242" s="24"/>
    </row>
    <row r="8243" spans="2:2">
      <c r="B8243" s="24"/>
    </row>
    <row r="8244" spans="2:2">
      <c r="B8244" s="24"/>
    </row>
    <row r="8245" spans="2:2">
      <c r="B8245" s="24"/>
    </row>
    <row r="8246" spans="2:2">
      <c r="B8246" s="24"/>
    </row>
    <row r="8247" spans="2:2">
      <c r="B8247" s="24"/>
    </row>
    <row r="8248" spans="2:2">
      <c r="B8248" s="24"/>
    </row>
    <row r="8249" spans="2:2">
      <c r="B8249" s="24"/>
    </row>
    <row r="8250" spans="2:2">
      <c r="B8250" s="24"/>
    </row>
    <row r="8251" spans="2:2">
      <c r="B8251" s="24"/>
    </row>
    <row r="8252" spans="2:2">
      <c r="B8252" s="24"/>
    </row>
    <row r="8253" spans="2:2">
      <c r="B8253" s="24"/>
    </row>
    <row r="8254" spans="2:2">
      <c r="B8254" s="24"/>
    </row>
    <row r="8255" spans="2:2">
      <c r="B8255" s="24"/>
    </row>
    <row r="8256" spans="2:2">
      <c r="B8256" s="24"/>
    </row>
    <row r="8257" spans="2:2">
      <c r="B8257" s="24"/>
    </row>
    <row r="8258" spans="2:2">
      <c r="B8258" s="24"/>
    </row>
    <row r="8259" spans="2:2">
      <c r="B8259" s="24"/>
    </row>
    <row r="8260" spans="2:2">
      <c r="B8260" s="24"/>
    </row>
    <row r="8261" spans="2:2">
      <c r="B8261" s="24"/>
    </row>
    <row r="8262" spans="2:2">
      <c r="B8262" s="24"/>
    </row>
    <row r="8263" spans="2:2">
      <c r="B8263" s="24"/>
    </row>
    <row r="8264" spans="2:2">
      <c r="B8264" s="24"/>
    </row>
    <row r="8265" spans="2:2">
      <c r="B8265" s="24"/>
    </row>
    <row r="8266" spans="2:2">
      <c r="B8266" s="24"/>
    </row>
    <row r="8267" spans="2:2">
      <c r="B8267" s="24"/>
    </row>
    <row r="8268" spans="2:2">
      <c r="B8268" s="24"/>
    </row>
    <row r="8269" spans="2:2">
      <c r="B8269" s="24"/>
    </row>
    <row r="8270" spans="2:2">
      <c r="B8270" s="24"/>
    </row>
    <row r="8271" spans="2:2">
      <c r="B8271" s="24"/>
    </row>
    <row r="8272" spans="2:2">
      <c r="B8272" s="24"/>
    </row>
    <row r="8273" spans="2:2">
      <c r="B8273" s="24"/>
    </row>
    <row r="8274" spans="2:2">
      <c r="B8274" s="24"/>
    </row>
    <row r="8275" spans="2:2">
      <c r="B8275" s="24"/>
    </row>
    <row r="8276" spans="2:2">
      <c r="B8276" s="24"/>
    </row>
    <row r="8277" spans="2:2">
      <c r="B8277" s="24"/>
    </row>
    <row r="8278" spans="2:2">
      <c r="B8278" s="24"/>
    </row>
    <row r="8279" spans="2:2">
      <c r="B8279" s="24"/>
    </row>
    <row r="8280" spans="2:2">
      <c r="B8280" s="24"/>
    </row>
    <row r="8281" spans="2:2">
      <c r="B8281" s="24"/>
    </row>
    <row r="8282" spans="2:2">
      <c r="B8282" s="24"/>
    </row>
    <row r="8283" spans="2:2">
      <c r="B8283" s="24"/>
    </row>
    <row r="8284" spans="2:2">
      <c r="B8284" s="24"/>
    </row>
    <row r="8285" spans="2:2">
      <c r="B8285" s="24"/>
    </row>
    <row r="8286" spans="2:2">
      <c r="B8286" s="24"/>
    </row>
    <row r="8287" spans="2:2">
      <c r="B8287" s="24"/>
    </row>
    <row r="8288" spans="2:2">
      <c r="B8288" s="24"/>
    </row>
    <row r="8289" spans="2:2">
      <c r="B8289" s="24"/>
    </row>
    <row r="8290" spans="2:2">
      <c r="B8290" s="24"/>
    </row>
    <row r="8291" spans="2:2">
      <c r="B8291" s="24"/>
    </row>
    <row r="8292" spans="2:2">
      <c r="B8292" s="24"/>
    </row>
    <row r="8293" spans="2:2">
      <c r="B8293" s="24"/>
    </row>
    <row r="8294" spans="2:2">
      <c r="B8294" s="24"/>
    </row>
    <row r="8295" spans="2:2">
      <c r="B8295" s="24"/>
    </row>
    <row r="8296" spans="2:2">
      <c r="B8296" s="24"/>
    </row>
    <row r="8297" spans="2:2">
      <c r="B8297" s="24"/>
    </row>
    <row r="8298" spans="2:2">
      <c r="B8298" s="24"/>
    </row>
    <row r="8299" spans="2:2">
      <c r="B8299" s="24"/>
    </row>
    <row r="8300" spans="2:2">
      <c r="B8300" s="24"/>
    </row>
    <row r="8301" spans="2:2">
      <c r="B8301" s="24"/>
    </row>
    <row r="8302" spans="2:2">
      <c r="B8302" s="24"/>
    </row>
    <row r="8303" spans="2:2">
      <c r="B8303" s="24"/>
    </row>
    <row r="8304" spans="2:2">
      <c r="B8304" s="24"/>
    </row>
    <row r="8305" spans="2:2">
      <c r="B8305" s="24"/>
    </row>
    <row r="8306" spans="2:2">
      <c r="B8306" s="24"/>
    </row>
    <row r="8307" spans="2:2">
      <c r="B8307" s="24"/>
    </row>
    <row r="8308" spans="2:2">
      <c r="B8308" s="24"/>
    </row>
    <row r="8309" spans="2:2">
      <c r="B8309" s="24"/>
    </row>
    <row r="8310" spans="2:2">
      <c r="B8310" s="24"/>
    </row>
    <row r="8311" spans="2:2">
      <c r="B8311" s="24"/>
    </row>
    <row r="8312" spans="2:2">
      <c r="B8312" s="24"/>
    </row>
    <row r="8313" spans="2:2">
      <c r="B8313" s="24"/>
    </row>
    <row r="8314" spans="2:2">
      <c r="B8314" s="24"/>
    </row>
    <row r="8315" spans="2:2">
      <c r="B8315" s="24"/>
    </row>
    <row r="8316" spans="2:2">
      <c r="B8316" s="24"/>
    </row>
    <row r="8317" spans="2:2">
      <c r="B8317" s="24"/>
    </row>
    <row r="8318" spans="2:2">
      <c r="B8318" s="24"/>
    </row>
    <row r="8319" spans="2:2">
      <c r="B8319" s="24"/>
    </row>
    <row r="8320" spans="2:2">
      <c r="B8320" s="24"/>
    </row>
    <row r="8321" spans="2:2">
      <c r="B8321" s="24"/>
    </row>
    <row r="8322" spans="2:2">
      <c r="B8322" s="24"/>
    </row>
    <row r="8323" spans="2:2">
      <c r="B8323" s="24"/>
    </row>
    <row r="8324" spans="2:2">
      <c r="B8324" s="24"/>
    </row>
    <row r="8325" spans="2:2">
      <c r="B8325" s="24"/>
    </row>
    <row r="8326" spans="2:2">
      <c r="B8326" s="24"/>
    </row>
    <row r="8327" spans="2:2">
      <c r="B8327" s="24"/>
    </row>
    <row r="8328" spans="2:2">
      <c r="B8328" s="24"/>
    </row>
    <row r="8329" spans="2:2">
      <c r="B8329" s="24"/>
    </row>
    <row r="8330" spans="2:2">
      <c r="B8330" s="24"/>
    </row>
    <row r="8331" spans="2:2">
      <c r="B8331" s="24"/>
    </row>
    <row r="8332" spans="2:2">
      <c r="B8332" s="24"/>
    </row>
    <row r="8333" spans="2:2">
      <c r="B8333" s="24"/>
    </row>
    <row r="8334" spans="2:2">
      <c r="B8334" s="24"/>
    </row>
    <row r="8335" spans="2:2">
      <c r="B8335" s="24"/>
    </row>
    <row r="8336" spans="2:2">
      <c r="B8336" s="24"/>
    </row>
    <row r="8337" spans="2:2">
      <c r="B8337" s="24"/>
    </row>
    <row r="8338" spans="2:2">
      <c r="B8338" s="24"/>
    </row>
    <row r="8339" spans="2:2">
      <c r="B8339" s="24"/>
    </row>
    <row r="8340" spans="2:2">
      <c r="B8340" s="24"/>
    </row>
    <row r="8341" spans="2:2">
      <c r="B8341" s="24"/>
    </row>
    <row r="8342" spans="2:2">
      <c r="B8342" s="24"/>
    </row>
    <row r="8343" spans="2:2">
      <c r="B8343" s="24"/>
    </row>
    <row r="8344" spans="2:2">
      <c r="B8344" s="24"/>
    </row>
    <row r="8345" spans="2:2">
      <c r="B8345" s="24"/>
    </row>
    <row r="8346" spans="2:2">
      <c r="B8346" s="24"/>
    </row>
    <row r="8347" spans="2:2">
      <c r="B8347" s="24"/>
    </row>
    <row r="8348" spans="2:2">
      <c r="B8348" s="24"/>
    </row>
    <row r="8349" spans="2:2">
      <c r="B8349" s="24"/>
    </row>
    <row r="8350" spans="2:2">
      <c r="B8350" s="24"/>
    </row>
    <row r="8351" spans="2:2">
      <c r="B8351" s="24"/>
    </row>
    <row r="8352" spans="2:2">
      <c r="B8352" s="24"/>
    </row>
    <row r="8353" spans="2:2">
      <c r="B8353" s="24"/>
    </row>
    <row r="8354" spans="2:2">
      <c r="B8354" s="24"/>
    </row>
    <row r="8355" spans="2:2">
      <c r="B8355" s="24"/>
    </row>
    <row r="8356" spans="2:2">
      <c r="B8356" s="24"/>
    </row>
    <row r="8357" spans="2:2">
      <c r="B8357" s="24"/>
    </row>
    <row r="8358" spans="2:2">
      <c r="B8358" s="24"/>
    </row>
    <row r="8359" spans="2:2">
      <c r="B8359" s="24"/>
    </row>
    <row r="8360" spans="2:2">
      <c r="B8360" s="24"/>
    </row>
    <row r="8361" spans="2:2">
      <c r="B8361" s="24"/>
    </row>
    <row r="8362" spans="2:2">
      <c r="B8362" s="24"/>
    </row>
    <row r="8363" spans="2:2">
      <c r="B8363" s="24"/>
    </row>
    <row r="8364" spans="2:2">
      <c r="B8364" s="24"/>
    </row>
    <row r="8365" spans="2:2">
      <c r="B8365" s="24"/>
    </row>
    <row r="8366" spans="2:2">
      <c r="B8366" s="24"/>
    </row>
    <row r="8367" spans="2:2">
      <c r="B8367" s="24"/>
    </row>
    <row r="8368" spans="2:2">
      <c r="B8368" s="24"/>
    </row>
    <row r="8369" spans="2:2">
      <c r="B8369" s="24"/>
    </row>
    <row r="8370" spans="2:2">
      <c r="B8370" s="24"/>
    </row>
    <row r="8371" spans="2:2">
      <c r="B8371" s="24"/>
    </row>
    <row r="8372" spans="2:2">
      <c r="B8372" s="24"/>
    </row>
    <row r="8373" spans="2:2">
      <c r="B8373" s="24"/>
    </row>
    <row r="8374" spans="2:2">
      <c r="B8374" s="24"/>
    </row>
    <row r="8375" spans="2:2">
      <c r="B8375" s="24"/>
    </row>
    <row r="8376" spans="2:2">
      <c r="B8376" s="24"/>
    </row>
    <row r="8377" spans="2:2">
      <c r="B8377" s="24"/>
    </row>
    <row r="8378" spans="2:2">
      <c r="B8378" s="24"/>
    </row>
    <row r="8379" spans="2:2">
      <c r="B8379" s="24"/>
    </row>
    <row r="8380" spans="2:2">
      <c r="B8380" s="24"/>
    </row>
    <row r="8381" spans="2:2">
      <c r="B8381" s="24"/>
    </row>
    <row r="8382" spans="2:2">
      <c r="B8382" s="24"/>
    </row>
    <row r="8383" spans="2:2">
      <c r="B8383" s="24"/>
    </row>
    <row r="8384" spans="2:2">
      <c r="B8384" s="24"/>
    </row>
    <row r="8385" spans="2:2">
      <c r="B8385" s="24"/>
    </row>
    <row r="8386" spans="2:2">
      <c r="B8386" s="24"/>
    </row>
    <row r="8387" spans="2:2">
      <c r="B8387" s="24"/>
    </row>
    <row r="8388" spans="2:2">
      <c r="B8388" s="24"/>
    </row>
    <row r="8389" spans="2:2">
      <c r="B8389" s="24"/>
    </row>
    <row r="8390" spans="2:2">
      <c r="B8390" s="24"/>
    </row>
    <row r="8391" spans="2:2">
      <c r="B8391" s="24"/>
    </row>
    <row r="8392" spans="2:2">
      <c r="B8392" s="24"/>
    </row>
    <row r="8393" spans="2:2">
      <c r="B8393" s="24"/>
    </row>
    <row r="8394" spans="2:2">
      <c r="B8394" s="24"/>
    </row>
    <row r="8395" spans="2:2">
      <c r="B8395" s="24"/>
    </row>
    <row r="8396" spans="2:2">
      <c r="B8396" s="24"/>
    </row>
    <row r="8397" spans="2:2">
      <c r="B8397" s="24"/>
    </row>
    <row r="8398" spans="2:2">
      <c r="B8398" s="24"/>
    </row>
    <row r="8399" spans="2:2">
      <c r="B8399" s="24"/>
    </row>
    <row r="8400" spans="2:2">
      <c r="B8400" s="24"/>
    </row>
    <row r="8401" spans="2:2">
      <c r="B8401" s="24"/>
    </row>
    <row r="8402" spans="2:2">
      <c r="B8402" s="24"/>
    </row>
    <row r="8403" spans="2:2">
      <c r="B8403" s="24"/>
    </row>
    <row r="8404" spans="2:2">
      <c r="B8404" s="24"/>
    </row>
    <row r="8405" spans="2:2">
      <c r="B8405" s="24"/>
    </row>
    <row r="8406" spans="2:2">
      <c r="B8406" s="24"/>
    </row>
    <row r="8407" spans="2:2">
      <c r="B8407" s="24"/>
    </row>
    <row r="8408" spans="2:2">
      <c r="B8408" s="24"/>
    </row>
    <row r="8409" spans="2:2">
      <c r="B8409" s="24"/>
    </row>
    <row r="8410" spans="2:2">
      <c r="B8410" s="24"/>
    </row>
    <row r="8411" spans="2:2">
      <c r="B8411" s="24"/>
    </row>
    <row r="8412" spans="2:2">
      <c r="B8412" s="24"/>
    </row>
    <row r="8413" spans="2:2">
      <c r="B8413" s="24"/>
    </row>
    <row r="8414" spans="2:2">
      <c r="B8414" s="24"/>
    </row>
    <row r="8415" spans="2:2">
      <c r="B8415" s="24"/>
    </row>
    <row r="8416" spans="2:2">
      <c r="B8416" s="24"/>
    </row>
    <row r="8417" spans="2:2">
      <c r="B8417" s="24"/>
    </row>
    <row r="8418" spans="2:2">
      <c r="B8418" s="24"/>
    </row>
    <row r="8419" spans="2:2">
      <c r="B8419" s="24"/>
    </row>
    <row r="8420" spans="2:2">
      <c r="B8420" s="24"/>
    </row>
    <row r="8421" spans="2:2">
      <c r="B8421" s="24"/>
    </row>
    <row r="8422" spans="2:2">
      <c r="B8422" s="24"/>
    </row>
    <row r="8423" spans="2:2">
      <c r="B8423" s="24"/>
    </row>
    <row r="8424" spans="2:2">
      <c r="B8424" s="24"/>
    </row>
    <row r="8425" spans="2:2">
      <c r="B8425" s="24"/>
    </row>
    <row r="8426" spans="2:2">
      <c r="B8426" s="24"/>
    </row>
    <row r="8427" spans="2:2">
      <c r="B8427" s="24"/>
    </row>
    <row r="8428" spans="2:2">
      <c r="B8428" s="24"/>
    </row>
    <row r="8429" spans="2:2">
      <c r="B8429" s="24"/>
    </row>
    <row r="8430" spans="2:2">
      <c r="B8430" s="24"/>
    </row>
    <row r="8431" spans="2:2">
      <c r="B8431" s="24"/>
    </row>
    <row r="8432" spans="2:2">
      <c r="B8432" s="24"/>
    </row>
    <row r="8433" spans="2:2">
      <c r="B8433" s="24"/>
    </row>
    <row r="8434" spans="2:2">
      <c r="B8434" s="24"/>
    </row>
    <row r="8435" spans="2:2">
      <c r="B8435" s="24"/>
    </row>
    <row r="8436" spans="2:2">
      <c r="B8436" s="24"/>
    </row>
    <row r="8437" spans="2:2">
      <c r="B8437" s="24"/>
    </row>
    <row r="8438" spans="2:2">
      <c r="B8438" s="24"/>
    </row>
    <row r="8439" spans="2:2">
      <c r="B8439" s="24"/>
    </row>
    <row r="8440" spans="2:2">
      <c r="B8440" s="24"/>
    </row>
    <row r="8441" spans="2:2">
      <c r="B8441" s="24"/>
    </row>
    <row r="8442" spans="2:2">
      <c r="B8442" s="24"/>
    </row>
    <row r="8443" spans="2:2">
      <c r="B8443" s="24"/>
    </row>
    <row r="8444" spans="2:2">
      <c r="B8444" s="24"/>
    </row>
    <row r="8445" spans="2:2">
      <c r="B8445" s="24"/>
    </row>
    <row r="8446" spans="2:2">
      <c r="B8446" s="24"/>
    </row>
    <row r="8447" spans="2:2">
      <c r="B8447" s="24"/>
    </row>
    <row r="8448" spans="2:2">
      <c r="B8448" s="24"/>
    </row>
    <row r="8449" spans="2:2">
      <c r="B8449" s="24"/>
    </row>
    <row r="8450" spans="2:2">
      <c r="B8450" s="24"/>
    </row>
    <row r="8451" spans="2:2">
      <c r="B8451" s="24"/>
    </row>
    <row r="8452" spans="2:2">
      <c r="B8452" s="24"/>
    </row>
    <row r="8453" spans="2:2">
      <c r="B8453" s="24"/>
    </row>
    <row r="8454" spans="2:2">
      <c r="B8454" s="24"/>
    </row>
    <row r="8455" spans="2:2">
      <c r="B8455" s="24"/>
    </row>
    <row r="8456" spans="2:2">
      <c r="B8456" s="24"/>
    </row>
    <row r="8457" spans="2:2">
      <c r="B8457" s="24"/>
    </row>
    <row r="8458" spans="2:2">
      <c r="B8458" s="24"/>
    </row>
    <row r="8459" spans="2:2">
      <c r="B8459" s="24"/>
    </row>
    <row r="8460" spans="2:2">
      <c r="B8460" s="24"/>
    </row>
    <row r="8461" spans="2:2">
      <c r="B8461" s="24"/>
    </row>
    <row r="8462" spans="2:2">
      <c r="B8462" s="24"/>
    </row>
    <row r="8463" spans="2:2">
      <c r="B8463" s="24"/>
    </row>
    <row r="8464" spans="2:2">
      <c r="B8464" s="24"/>
    </row>
    <row r="8465" spans="2:2">
      <c r="B8465" s="24"/>
    </row>
    <row r="8466" spans="2:2">
      <c r="B8466" s="24"/>
    </row>
    <row r="8467" spans="2:2">
      <c r="B8467" s="24"/>
    </row>
    <row r="8468" spans="2:2">
      <c r="B8468" s="24"/>
    </row>
    <row r="8469" spans="2:2">
      <c r="B8469" s="24"/>
    </row>
    <row r="8470" spans="2:2">
      <c r="B8470" s="24"/>
    </row>
    <row r="8471" spans="2:2">
      <c r="B8471" s="24"/>
    </row>
    <row r="8472" spans="2:2">
      <c r="B8472" s="24"/>
    </row>
    <row r="8473" spans="2:2">
      <c r="B8473" s="24"/>
    </row>
    <row r="8474" spans="2:2">
      <c r="B8474" s="24"/>
    </row>
    <row r="8475" spans="2:2">
      <c r="B8475" s="24"/>
    </row>
    <row r="8476" spans="2:2">
      <c r="B8476" s="24"/>
    </row>
    <row r="8477" spans="2:2">
      <c r="B8477" s="24"/>
    </row>
    <row r="8478" spans="2:2">
      <c r="B8478" s="24"/>
    </row>
    <row r="8479" spans="2:2">
      <c r="B8479" s="24"/>
    </row>
    <row r="8480" spans="2:2">
      <c r="B8480" s="24"/>
    </row>
    <row r="8481" spans="2:2">
      <c r="B8481" s="24"/>
    </row>
    <row r="8482" spans="2:2">
      <c r="B8482" s="24"/>
    </row>
    <row r="8483" spans="2:2">
      <c r="B8483" s="24"/>
    </row>
    <row r="8484" spans="2:2">
      <c r="B8484" s="24"/>
    </row>
    <row r="8485" spans="2:2">
      <c r="B8485" s="24"/>
    </row>
    <row r="8486" spans="2:2">
      <c r="B8486" s="24"/>
    </row>
    <row r="8487" spans="2:2">
      <c r="B8487" s="24"/>
    </row>
    <row r="8488" spans="2:2">
      <c r="B8488" s="24"/>
    </row>
    <row r="8489" spans="2:2">
      <c r="B8489" s="24"/>
    </row>
    <row r="8490" spans="2:2">
      <c r="B8490" s="24"/>
    </row>
    <row r="8491" spans="2:2">
      <c r="B8491" s="24"/>
    </row>
    <row r="8492" spans="2:2">
      <c r="B8492" s="24"/>
    </row>
    <row r="8493" spans="2:2">
      <c r="B8493" s="24"/>
    </row>
    <row r="8494" spans="2:2">
      <c r="B8494" s="24"/>
    </row>
    <row r="8495" spans="2:2">
      <c r="B8495" s="24"/>
    </row>
    <row r="8496" spans="2:2">
      <c r="B8496" s="24"/>
    </row>
    <row r="8497" spans="2:2">
      <c r="B8497" s="24"/>
    </row>
    <row r="8498" spans="2:2">
      <c r="B8498" s="24"/>
    </row>
    <row r="8499" spans="2:2">
      <c r="B8499" s="24"/>
    </row>
    <row r="8500" spans="2:2">
      <c r="B8500" s="24"/>
    </row>
    <row r="8501" spans="2:2">
      <c r="B8501" s="24"/>
    </row>
    <row r="8502" spans="2:2">
      <c r="B8502" s="24"/>
    </row>
    <row r="8503" spans="2:2">
      <c r="B8503" s="24"/>
    </row>
    <row r="8504" spans="2:2">
      <c r="B8504" s="24"/>
    </row>
    <row r="8505" spans="2:2">
      <c r="B8505" s="24"/>
    </row>
    <row r="8506" spans="2:2">
      <c r="B8506" s="24"/>
    </row>
    <row r="8507" spans="2:2">
      <c r="B8507" s="24"/>
    </row>
    <row r="8508" spans="2:2">
      <c r="B8508" s="24"/>
    </row>
    <row r="8509" spans="2:2">
      <c r="B8509" s="24"/>
    </row>
    <row r="8510" spans="2:2">
      <c r="B8510" s="24"/>
    </row>
    <row r="8511" spans="2:2">
      <c r="B8511" s="24"/>
    </row>
    <row r="8512" spans="2:2">
      <c r="B8512" s="24"/>
    </row>
    <row r="8513" spans="2:2">
      <c r="B8513" s="24"/>
    </row>
    <row r="8514" spans="2:2">
      <c r="B8514" s="24"/>
    </row>
    <row r="8515" spans="2:2">
      <c r="B8515" s="24"/>
    </row>
    <row r="8516" spans="2:2">
      <c r="B8516" s="24"/>
    </row>
    <row r="8517" spans="2:2">
      <c r="B8517" s="24"/>
    </row>
    <row r="8518" spans="2:2">
      <c r="B8518" s="24"/>
    </row>
    <row r="8519" spans="2:2">
      <c r="B8519" s="24"/>
    </row>
    <row r="8520" spans="2:2">
      <c r="B8520" s="24"/>
    </row>
    <row r="8521" spans="2:2">
      <c r="B8521" s="24"/>
    </row>
    <row r="8522" spans="2:2">
      <c r="B8522" s="24"/>
    </row>
    <row r="8523" spans="2:2">
      <c r="B8523" s="24"/>
    </row>
    <row r="8524" spans="2:2">
      <c r="B8524" s="24"/>
    </row>
    <row r="8525" spans="2:2">
      <c r="B8525" s="24"/>
    </row>
    <row r="8526" spans="2:2">
      <c r="B8526" s="24"/>
    </row>
    <row r="8527" spans="2:2">
      <c r="B8527" s="24"/>
    </row>
    <row r="8528" spans="2:2">
      <c r="B8528" s="24"/>
    </row>
    <row r="8529" spans="2:2">
      <c r="B8529" s="24"/>
    </row>
    <row r="8530" spans="2:2">
      <c r="B8530" s="24"/>
    </row>
    <row r="8531" spans="2:2">
      <c r="B8531" s="24"/>
    </row>
    <row r="8532" spans="2:2">
      <c r="B8532" s="24"/>
    </row>
    <row r="8533" spans="2:2">
      <c r="B8533" s="24"/>
    </row>
    <row r="8534" spans="2:2">
      <c r="B8534" s="24"/>
    </row>
    <row r="8535" spans="2:2">
      <c r="B8535" s="24"/>
    </row>
    <row r="8536" spans="2:2">
      <c r="B8536" s="24"/>
    </row>
    <row r="8537" spans="2:2">
      <c r="B8537" s="24"/>
    </row>
    <row r="8538" spans="2:2">
      <c r="B8538" s="24"/>
    </row>
    <row r="8539" spans="2:2">
      <c r="B8539" s="24"/>
    </row>
    <row r="8540" spans="2:2">
      <c r="B8540" s="24"/>
    </row>
    <row r="8541" spans="2:2">
      <c r="B8541" s="24"/>
    </row>
    <row r="8542" spans="2:2">
      <c r="B8542" s="24"/>
    </row>
    <row r="8543" spans="2:2">
      <c r="B8543" s="24"/>
    </row>
    <row r="8544" spans="2:2">
      <c r="B8544" s="24"/>
    </row>
    <row r="8545" spans="2:2">
      <c r="B8545" s="24"/>
    </row>
    <row r="8546" spans="2:2">
      <c r="B8546" s="24"/>
    </row>
    <row r="8547" spans="2:2">
      <c r="B8547" s="24"/>
    </row>
    <row r="8548" spans="2:2">
      <c r="B8548" s="24"/>
    </row>
    <row r="8549" spans="2:2">
      <c r="B8549" s="24"/>
    </row>
    <row r="8550" spans="2:2">
      <c r="B8550" s="24"/>
    </row>
    <row r="8551" spans="2:2">
      <c r="B8551" s="24"/>
    </row>
    <row r="8552" spans="2:2">
      <c r="B8552" s="24"/>
    </row>
    <row r="8553" spans="2:2">
      <c r="B8553" s="24"/>
    </row>
    <row r="8554" spans="2:2">
      <c r="B8554" s="24"/>
    </row>
    <row r="8555" spans="2:2">
      <c r="B8555" s="24"/>
    </row>
    <row r="8556" spans="2:2">
      <c r="B8556" s="24"/>
    </row>
    <row r="8557" spans="2:2">
      <c r="B8557" s="24"/>
    </row>
    <row r="8558" spans="2:2">
      <c r="B8558" s="24"/>
    </row>
    <row r="8559" spans="2:2">
      <c r="B8559" s="24"/>
    </row>
    <row r="8560" spans="2:2">
      <c r="B8560" s="24"/>
    </row>
    <row r="8561" spans="2:2">
      <c r="B8561" s="24"/>
    </row>
    <row r="8562" spans="2:2">
      <c r="B8562" s="24"/>
    </row>
    <row r="8563" spans="2:2">
      <c r="B8563" s="24"/>
    </row>
    <row r="8564" spans="2:2">
      <c r="B8564" s="24"/>
    </row>
    <row r="8565" spans="2:2">
      <c r="B8565" s="24"/>
    </row>
    <row r="8566" spans="2:2">
      <c r="B8566" s="24"/>
    </row>
    <row r="8567" spans="2:2">
      <c r="B8567" s="24"/>
    </row>
    <row r="8568" spans="2:2">
      <c r="B8568" s="24"/>
    </row>
    <row r="8569" spans="2:2">
      <c r="B8569" s="24"/>
    </row>
    <row r="8570" spans="2:2">
      <c r="B8570" s="24"/>
    </row>
    <row r="8571" spans="2:2">
      <c r="B8571" s="24"/>
    </row>
    <row r="8572" spans="2:2">
      <c r="B8572" s="24"/>
    </row>
    <row r="8573" spans="2:2">
      <c r="B8573" s="24"/>
    </row>
    <row r="8574" spans="2:2">
      <c r="B8574" s="24"/>
    </row>
    <row r="8575" spans="2:2">
      <c r="B8575" s="24"/>
    </row>
    <row r="8576" spans="2:2">
      <c r="B8576" s="24"/>
    </row>
    <row r="8577" spans="2:2">
      <c r="B8577" s="24"/>
    </row>
    <row r="8578" spans="2:2">
      <c r="B8578" s="24"/>
    </row>
    <row r="8579" spans="2:2">
      <c r="B8579" s="24"/>
    </row>
    <row r="8580" spans="2:2">
      <c r="B8580" s="24"/>
    </row>
    <row r="8581" spans="2:2">
      <c r="B8581" s="24"/>
    </row>
    <row r="8582" spans="2:2">
      <c r="B8582" s="24"/>
    </row>
    <row r="8583" spans="2:2">
      <c r="B8583" s="24"/>
    </row>
    <row r="8584" spans="2:2">
      <c r="B8584" s="24"/>
    </row>
    <row r="8585" spans="2:2">
      <c r="B8585" s="24"/>
    </row>
    <row r="8586" spans="2:2">
      <c r="B8586" s="24"/>
    </row>
    <row r="8587" spans="2:2">
      <c r="B8587" s="24"/>
    </row>
    <row r="8588" spans="2:2">
      <c r="B8588" s="24"/>
    </row>
    <row r="8589" spans="2:2">
      <c r="B8589" s="24"/>
    </row>
    <row r="8590" spans="2:2">
      <c r="B8590" s="24"/>
    </row>
    <row r="8591" spans="2:2">
      <c r="B8591" s="24"/>
    </row>
    <row r="8592" spans="2:2">
      <c r="B8592" s="24"/>
    </row>
    <row r="8593" spans="2:2">
      <c r="B8593" s="24"/>
    </row>
    <row r="8594" spans="2:2">
      <c r="B8594" s="24"/>
    </row>
    <row r="8595" spans="2:2">
      <c r="B8595" s="24"/>
    </row>
    <row r="8596" spans="2:2">
      <c r="B8596" s="24"/>
    </row>
    <row r="8597" spans="2:2">
      <c r="B8597" s="24"/>
    </row>
    <row r="8598" spans="2:2">
      <c r="B8598" s="24"/>
    </row>
    <row r="8599" spans="2:2">
      <c r="B8599" s="24"/>
    </row>
    <row r="8600" spans="2:2">
      <c r="B8600" s="24"/>
    </row>
    <row r="8601" spans="2:2">
      <c r="B8601" s="24"/>
    </row>
    <row r="8602" spans="2:2">
      <c r="B8602" s="24"/>
    </row>
    <row r="8603" spans="2:2">
      <c r="B8603" s="24"/>
    </row>
    <row r="8604" spans="2:2">
      <c r="B8604" s="24"/>
    </row>
    <row r="8605" spans="2:2">
      <c r="B8605" s="24"/>
    </row>
    <row r="8606" spans="2:2">
      <c r="B8606" s="24"/>
    </row>
    <row r="8607" spans="2:2">
      <c r="B8607" s="24"/>
    </row>
    <row r="8608" spans="2:2">
      <c r="B8608" s="24"/>
    </row>
    <row r="8609" spans="2:2">
      <c r="B8609" s="24"/>
    </row>
    <row r="8610" spans="2:2">
      <c r="B8610" s="24"/>
    </row>
    <row r="8611" spans="2:2">
      <c r="B8611" s="24"/>
    </row>
    <row r="8612" spans="2:2">
      <c r="B8612" s="24"/>
    </row>
    <row r="8613" spans="2:2">
      <c r="B8613" s="24"/>
    </row>
    <row r="8614" spans="2:2">
      <c r="B8614" s="24"/>
    </row>
    <row r="8615" spans="2:2">
      <c r="B8615" s="24"/>
    </row>
    <row r="8616" spans="2:2">
      <c r="B8616" s="24"/>
    </row>
    <row r="8617" spans="2:2">
      <c r="B8617" s="24"/>
    </row>
    <row r="8618" spans="2:2">
      <c r="B8618" s="24"/>
    </row>
    <row r="8619" spans="2:2">
      <c r="B8619" s="24"/>
    </row>
    <row r="8620" spans="2:2">
      <c r="B8620" s="24"/>
    </row>
    <row r="8621" spans="2:2">
      <c r="B8621" s="24"/>
    </row>
    <row r="8622" spans="2:2">
      <c r="B8622" s="24"/>
    </row>
    <row r="8623" spans="2:2">
      <c r="B8623" s="24"/>
    </row>
    <row r="8624" spans="2:2">
      <c r="B8624" s="24"/>
    </row>
    <row r="8625" spans="2:2">
      <c r="B8625" s="24"/>
    </row>
    <row r="8626" spans="2:2">
      <c r="B8626" s="24"/>
    </row>
    <row r="8627" spans="2:2">
      <c r="B8627" s="24"/>
    </row>
    <row r="8628" spans="2:2">
      <c r="B8628" s="24"/>
    </row>
    <row r="8629" spans="2:2">
      <c r="B8629" s="24"/>
    </row>
    <row r="8630" spans="2:2">
      <c r="B8630" s="24"/>
    </row>
    <row r="8631" spans="2:2">
      <c r="B8631" s="24"/>
    </row>
    <row r="8632" spans="2:2">
      <c r="B8632" s="24"/>
    </row>
    <row r="8633" spans="2:2">
      <c r="B8633" s="24"/>
    </row>
    <row r="8634" spans="2:2">
      <c r="B8634" s="24"/>
    </row>
    <row r="8635" spans="2:2">
      <c r="B8635" s="24"/>
    </row>
    <row r="8636" spans="2:2">
      <c r="B8636" s="24"/>
    </row>
    <row r="8637" spans="2:2">
      <c r="B8637" s="24"/>
    </row>
    <row r="8638" spans="2:2">
      <c r="B8638" s="24"/>
    </row>
    <row r="8639" spans="2:2">
      <c r="B8639" s="24"/>
    </row>
    <row r="8640" spans="2:2">
      <c r="B8640" s="24"/>
    </row>
    <row r="8641" spans="2:2">
      <c r="B8641" s="24"/>
    </row>
    <row r="8642" spans="2:2">
      <c r="B8642" s="24"/>
    </row>
    <row r="8643" spans="2:2">
      <c r="B8643" s="24"/>
    </row>
    <row r="8644" spans="2:2">
      <c r="B8644" s="24"/>
    </row>
    <row r="8645" spans="2:2">
      <c r="B8645" s="24"/>
    </row>
    <row r="8646" spans="2:2">
      <c r="B8646" s="24"/>
    </row>
    <row r="8647" spans="2:2">
      <c r="B8647" s="24"/>
    </row>
    <row r="8648" spans="2:2">
      <c r="B8648" s="24"/>
    </row>
    <row r="8649" spans="2:2">
      <c r="B8649" s="24"/>
    </row>
    <row r="8650" spans="2:2">
      <c r="B8650" s="24"/>
    </row>
    <row r="8651" spans="2:2">
      <c r="B8651" s="24"/>
    </row>
    <row r="8652" spans="2:2">
      <c r="B8652" s="24"/>
    </row>
    <row r="8653" spans="2:2">
      <c r="B8653" s="24"/>
    </row>
    <row r="8654" spans="2:2">
      <c r="B8654" s="24"/>
    </row>
    <row r="8655" spans="2:2">
      <c r="B8655" s="24"/>
    </row>
    <row r="8656" spans="2:2">
      <c r="B8656" s="24"/>
    </row>
    <row r="8657" spans="2:2">
      <c r="B8657" s="24"/>
    </row>
    <row r="8658" spans="2:2">
      <c r="B8658" s="24"/>
    </row>
    <row r="8659" spans="2:2">
      <c r="B8659" s="24"/>
    </row>
    <row r="8660" spans="2:2">
      <c r="B8660" s="24"/>
    </row>
    <row r="8661" spans="2:2">
      <c r="B8661" s="24"/>
    </row>
    <row r="8662" spans="2:2">
      <c r="B8662" s="24"/>
    </row>
    <row r="8663" spans="2:2">
      <c r="B8663" s="24"/>
    </row>
    <row r="8664" spans="2:2">
      <c r="B8664" s="24"/>
    </row>
    <row r="8665" spans="2:2">
      <c r="B8665" s="24"/>
    </row>
    <row r="8666" spans="2:2">
      <c r="B8666" s="24"/>
    </row>
    <row r="8667" spans="2:2">
      <c r="B8667" s="24"/>
    </row>
    <row r="8668" spans="2:2">
      <c r="B8668" s="24"/>
    </row>
    <row r="8669" spans="2:2">
      <c r="B8669" s="24"/>
    </row>
    <row r="8670" spans="2:2">
      <c r="B8670" s="24"/>
    </row>
    <row r="8671" spans="2:2">
      <c r="B8671" s="24"/>
    </row>
    <row r="8672" spans="2:2">
      <c r="B8672" s="24"/>
    </row>
    <row r="8673" spans="2:2">
      <c r="B8673" s="24"/>
    </row>
    <row r="8674" spans="2:2">
      <c r="B8674" s="24"/>
    </row>
    <row r="8675" spans="2:2">
      <c r="B8675" s="24"/>
    </row>
    <row r="8676" spans="2:2">
      <c r="B8676" s="24"/>
    </row>
    <row r="8677" spans="2:2">
      <c r="B8677" s="24"/>
    </row>
    <row r="8678" spans="2:2">
      <c r="B8678" s="24"/>
    </row>
    <row r="8679" spans="2:2">
      <c r="B8679" s="24"/>
    </row>
    <row r="8680" spans="2:2">
      <c r="B8680" s="24"/>
    </row>
    <row r="8681" spans="2:2">
      <c r="B8681" s="24"/>
    </row>
    <row r="8682" spans="2:2">
      <c r="B8682" s="24"/>
    </row>
    <row r="8683" spans="2:2">
      <c r="B8683" s="24"/>
    </row>
    <row r="8684" spans="2:2">
      <c r="B8684" s="24"/>
    </row>
    <row r="8685" spans="2:2">
      <c r="B8685" s="24"/>
    </row>
    <row r="8686" spans="2:2">
      <c r="B8686" s="24"/>
    </row>
    <row r="8687" spans="2:2">
      <c r="B8687" s="24"/>
    </row>
    <row r="8688" spans="2:2">
      <c r="B8688" s="24"/>
    </row>
    <row r="8689" spans="2:2">
      <c r="B8689" s="24"/>
    </row>
    <row r="8690" spans="2:2">
      <c r="B8690" s="24"/>
    </row>
    <row r="8691" spans="2:2">
      <c r="B8691" s="24"/>
    </row>
    <row r="8692" spans="2:2">
      <c r="B8692" s="24"/>
    </row>
    <row r="8693" spans="2:2">
      <c r="B8693" s="24"/>
    </row>
    <row r="8694" spans="2:2">
      <c r="B8694" s="24"/>
    </row>
    <row r="8695" spans="2:2">
      <c r="B8695" s="24"/>
    </row>
    <row r="8696" spans="2:2">
      <c r="B8696" s="24"/>
    </row>
    <row r="8697" spans="2:2">
      <c r="B8697" s="24"/>
    </row>
    <row r="8698" spans="2:2">
      <c r="B8698" s="24"/>
    </row>
    <row r="8699" spans="2:2">
      <c r="B8699" s="24"/>
    </row>
    <row r="8700" spans="2:2">
      <c r="B8700" s="24"/>
    </row>
    <row r="8701" spans="2:2">
      <c r="B8701" s="24"/>
    </row>
    <row r="8702" spans="2:2">
      <c r="B8702" s="24"/>
    </row>
    <row r="8703" spans="2:2">
      <c r="B8703" s="24"/>
    </row>
    <row r="8704" spans="2:2">
      <c r="B8704" s="24"/>
    </row>
    <row r="8705" spans="2:2">
      <c r="B8705" s="24"/>
    </row>
    <row r="8706" spans="2:2">
      <c r="B8706" s="24"/>
    </row>
    <row r="8707" spans="2:2">
      <c r="B8707" s="24"/>
    </row>
    <row r="8708" spans="2:2">
      <c r="B8708" s="24"/>
    </row>
    <row r="8709" spans="2:2">
      <c r="B8709" s="24"/>
    </row>
    <row r="8710" spans="2:2">
      <c r="B8710" s="24"/>
    </row>
    <row r="8711" spans="2:2">
      <c r="B8711" s="24"/>
    </row>
    <row r="8712" spans="2:2">
      <c r="B8712" s="24"/>
    </row>
    <row r="8713" spans="2:2">
      <c r="B8713" s="24"/>
    </row>
    <row r="8714" spans="2:2">
      <c r="B8714" s="24"/>
    </row>
    <row r="8715" spans="2:2">
      <c r="B8715" s="24"/>
    </row>
    <row r="8716" spans="2:2">
      <c r="B8716" s="24"/>
    </row>
    <row r="8717" spans="2:2">
      <c r="B8717" s="24"/>
    </row>
    <row r="8718" spans="2:2">
      <c r="B8718" s="24"/>
    </row>
    <row r="8719" spans="2:2">
      <c r="B8719" s="24"/>
    </row>
    <row r="8720" spans="2:2">
      <c r="B8720" s="24"/>
    </row>
    <row r="8721" spans="2:2">
      <c r="B8721" s="24"/>
    </row>
    <row r="8722" spans="2:2">
      <c r="B8722" s="24"/>
    </row>
    <row r="8723" spans="2:2">
      <c r="B8723" s="24"/>
    </row>
    <row r="8724" spans="2:2">
      <c r="B8724" s="24"/>
    </row>
    <row r="8725" spans="2:2">
      <c r="B8725" s="24"/>
    </row>
    <row r="8726" spans="2:2">
      <c r="B8726" s="24"/>
    </row>
    <row r="8727" spans="2:2">
      <c r="B8727" s="24"/>
    </row>
    <row r="8728" spans="2:2">
      <c r="B8728" s="24"/>
    </row>
    <row r="8729" spans="2:2">
      <c r="B8729" s="24"/>
    </row>
    <row r="8730" spans="2:2">
      <c r="B8730" s="24"/>
    </row>
    <row r="8731" spans="2:2">
      <c r="B8731" s="24"/>
    </row>
    <row r="8732" spans="2:2">
      <c r="B8732" s="24"/>
    </row>
    <row r="8733" spans="2:2">
      <c r="B8733" s="24"/>
    </row>
    <row r="8734" spans="2:2">
      <c r="B8734" s="24"/>
    </row>
    <row r="8735" spans="2:2">
      <c r="B8735" s="24"/>
    </row>
    <row r="8736" spans="2:2">
      <c r="B8736" s="24"/>
    </row>
    <row r="8737" spans="2:2">
      <c r="B8737" s="24"/>
    </row>
    <row r="8738" spans="2:2">
      <c r="B8738" s="24"/>
    </row>
    <row r="8739" spans="2:2">
      <c r="B8739" s="24"/>
    </row>
    <row r="8740" spans="2:2">
      <c r="B8740" s="24"/>
    </row>
    <row r="8741" spans="2:2">
      <c r="B8741" s="24"/>
    </row>
    <row r="8742" spans="2:2">
      <c r="B8742" s="24"/>
    </row>
    <row r="8743" spans="2:2">
      <c r="B8743" s="24"/>
    </row>
    <row r="8744" spans="2:2">
      <c r="B8744" s="24"/>
    </row>
    <row r="8745" spans="2:2">
      <c r="B8745" s="24"/>
    </row>
    <row r="8746" spans="2:2">
      <c r="B8746" s="24"/>
    </row>
    <row r="8747" spans="2:2">
      <c r="B8747" s="24"/>
    </row>
    <row r="8748" spans="2:2">
      <c r="B8748" s="24"/>
    </row>
    <row r="8749" spans="2:2">
      <c r="B8749" s="24"/>
    </row>
    <row r="8750" spans="2:2">
      <c r="B8750" s="24"/>
    </row>
    <row r="8751" spans="2:2">
      <c r="B8751" s="24"/>
    </row>
    <row r="8752" spans="2:2">
      <c r="B8752" s="24"/>
    </row>
    <row r="8753" spans="2:2">
      <c r="B8753" s="24"/>
    </row>
    <row r="8754" spans="2:2">
      <c r="B8754" s="24"/>
    </row>
    <row r="8755" spans="2:2">
      <c r="B8755" s="24"/>
    </row>
    <row r="8756" spans="2:2">
      <c r="B8756" s="24"/>
    </row>
    <row r="8757" spans="2:2">
      <c r="B8757" s="24"/>
    </row>
    <row r="8758" spans="2:2">
      <c r="B8758" s="24"/>
    </row>
    <row r="8759" spans="2:2">
      <c r="B8759" s="24"/>
    </row>
    <row r="8760" spans="2:2">
      <c r="B8760" s="24"/>
    </row>
    <row r="8761" spans="2:2">
      <c r="B8761" s="24"/>
    </row>
    <row r="8762" spans="2:2">
      <c r="B8762" s="24"/>
    </row>
    <row r="8763" spans="2:2">
      <c r="B8763" s="24"/>
    </row>
    <row r="8764" spans="2:2">
      <c r="B8764" s="24"/>
    </row>
    <row r="8765" spans="2:2">
      <c r="B8765" s="24"/>
    </row>
    <row r="8766" spans="2:2">
      <c r="B8766" s="24"/>
    </row>
    <row r="8767" spans="2:2">
      <c r="B8767" s="24"/>
    </row>
    <row r="8768" spans="2:2">
      <c r="B8768" s="24"/>
    </row>
    <row r="8769" spans="2:2">
      <c r="B8769" s="24"/>
    </row>
    <row r="8770" spans="2:2">
      <c r="B8770" s="24"/>
    </row>
    <row r="8771" spans="2:2">
      <c r="B8771" s="24"/>
    </row>
    <row r="8772" spans="2:2">
      <c r="B8772" s="24"/>
    </row>
    <row r="8773" spans="2:2">
      <c r="B8773" s="24"/>
    </row>
    <row r="8774" spans="2:2">
      <c r="B8774" s="24"/>
    </row>
    <row r="8775" spans="2:2">
      <c r="B8775" s="24"/>
    </row>
    <row r="8776" spans="2:2">
      <c r="B8776" s="24"/>
    </row>
    <row r="8777" spans="2:2">
      <c r="B8777" s="24"/>
    </row>
    <row r="8778" spans="2:2">
      <c r="B8778" s="24"/>
    </row>
    <row r="8779" spans="2:2">
      <c r="B8779" s="24"/>
    </row>
    <row r="8780" spans="2:2">
      <c r="B8780" s="24"/>
    </row>
    <row r="8781" spans="2:2">
      <c r="B8781" s="24"/>
    </row>
    <row r="8782" spans="2:2">
      <c r="B8782" s="24"/>
    </row>
    <row r="8783" spans="2:2">
      <c r="B8783" s="24"/>
    </row>
    <row r="8784" spans="2:2">
      <c r="B8784" s="24"/>
    </row>
    <row r="8785" spans="2:2">
      <c r="B8785" s="24"/>
    </row>
    <row r="8786" spans="2:2">
      <c r="B8786" s="24"/>
    </row>
    <row r="8787" spans="2:2">
      <c r="B8787" s="24"/>
    </row>
    <row r="8788" spans="2:2">
      <c r="B8788" s="24"/>
    </row>
    <row r="8789" spans="2:2">
      <c r="B8789" s="24"/>
    </row>
    <row r="8790" spans="2:2">
      <c r="B8790" s="24"/>
    </row>
    <row r="8791" spans="2:2">
      <c r="B8791" s="24"/>
    </row>
    <row r="8792" spans="2:2">
      <c r="B8792" s="24"/>
    </row>
    <row r="8793" spans="2:2">
      <c r="B8793" s="24"/>
    </row>
    <row r="8794" spans="2:2">
      <c r="B8794" s="24"/>
    </row>
    <row r="8795" spans="2:2">
      <c r="B8795" s="24"/>
    </row>
    <row r="8796" spans="2:2">
      <c r="B8796" s="24"/>
    </row>
    <row r="8797" spans="2:2">
      <c r="B8797" s="24"/>
    </row>
    <row r="8798" spans="2:2">
      <c r="B8798" s="24"/>
    </row>
    <row r="8799" spans="2:2">
      <c r="B8799" s="24"/>
    </row>
    <row r="8800" spans="2:2">
      <c r="B8800" s="24"/>
    </row>
    <row r="8801" spans="2:2">
      <c r="B8801" s="24"/>
    </row>
    <row r="8802" spans="2:2">
      <c r="B8802" s="24"/>
    </row>
    <row r="8803" spans="2:2">
      <c r="B8803" s="24"/>
    </row>
    <row r="8804" spans="2:2">
      <c r="B8804" s="24"/>
    </row>
    <row r="8805" spans="2:2">
      <c r="B8805" s="24"/>
    </row>
    <row r="8806" spans="2:2">
      <c r="B8806" s="24"/>
    </row>
    <row r="8807" spans="2:2">
      <c r="B8807" s="24"/>
    </row>
    <row r="8808" spans="2:2">
      <c r="B8808" s="24"/>
    </row>
    <row r="8809" spans="2:2">
      <c r="B8809" s="24"/>
    </row>
    <row r="8810" spans="2:2">
      <c r="B8810" s="24"/>
    </row>
    <row r="8811" spans="2:2">
      <c r="B8811" s="24"/>
    </row>
    <row r="8812" spans="2:2">
      <c r="B8812" s="24"/>
    </row>
    <row r="8813" spans="2:2">
      <c r="B8813" s="24"/>
    </row>
    <row r="8814" spans="2:2">
      <c r="B8814" s="24"/>
    </row>
    <row r="8815" spans="2:2">
      <c r="B8815" s="24"/>
    </row>
    <row r="8816" spans="2:2">
      <c r="B8816" s="24"/>
    </row>
    <row r="8817" spans="2:2">
      <c r="B8817" s="24"/>
    </row>
    <row r="8818" spans="2:2">
      <c r="B8818" s="24"/>
    </row>
    <row r="8819" spans="2:2">
      <c r="B8819" s="24"/>
    </row>
    <row r="8820" spans="2:2">
      <c r="B8820" s="24"/>
    </row>
    <row r="8821" spans="2:2">
      <c r="B8821" s="24"/>
    </row>
    <row r="8822" spans="2:2">
      <c r="B8822" s="24"/>
    </row>
    <row r="8823" spans="2:2">
      <c r="B8823" s="24"/>
    </row>
    <row r="8824" spans="2:2">
      <c r="B8824" s="24"/>
    </row>
    <row r="8825" spans="2:2">
      <c r="B8825" s="24"/>
    </row>
    <row r="8826" spans="2:2">
      <c r="B8826" s="24"/>
    </row>
    <row r="8827" spans="2:2">
      <c r="B8827" s="24"/>
    </row>
    <row r="8828" spans="2:2">
      <c r="B8828" s="24"/>
    </row>
    <row r="8829" spans="2:2">
      <c r="B8829" s="24"/>
    </row>
    <row r="8830" spans="2:2">
      <c r="B8830" s="24"/>
    </row>
    <row r="8831" spans="2:2">
      <c r="B8831" s="24"/>
    </row>
    <row r="8832" spans="2:2">
      <c r="B8832" s="24"/>
    </row>
    <row r="8833" spans="2:2">
      <c r="B8833" s="24"/>
    </row>
    <row r="8834" spans="2:2">
      <c r="B8834" s="24"/>
    </row>
    <row r="8835" spans="2:2">
      <c r="B8835" s="24"/>
    </row>
    <row r="8836" spans="2:2">
      <c r="B8836" s="24"/>
    </row>
    <row r="8837" spans="2:2">
      <c r="B8837" s="24"/>
    </row>
    <row r="8838" spans="2:2">
      <c r="B8838" s="24"/>
    </row>
    <row r="8839" spans="2:2">
      <c r="B8839" s="24"/>
    </row>
    <row r="8840" spans="2:2">
      <c r="B8840" s="24"/>
    </row>
    <row r="8841" spans="2:2">
      <c r="B8841" s="24"/>
    </row>
    <row r="8842" spans="2:2">
      <c r="B8842" s="24"/>
    </row>
    <row r="8843" spans="2:2">
      <c r="B8843" s="24"/>
    </row>
    <row r="8844" spans="2:2">
      <c r="B8844" s="24"/>
    </row>
    <row r="8845" spans="2:2">
      <c r="B8845" s="24"/>
    </row>
    <row r="8846" spans="2:2">
      <c r="B8846" s="24"/>
    </row>
    <row r="8847" spans="2:2">
      <c r="B8847" s="24"/>
    </row>
    <row r="8848" spans="2:2">
      <c r="B8848" s="24"/>
    </row>
    <row r="8849" spans="2:2">
      <c r="B8849" s="24"/>
    </row>
    <row r="8850" spans="2:2">
      <c r="B8850" s="24"/>
    </row>
    <row r="8851" spans="2:2">
      <c r="B8851" s="24"/>
    </row>
    <row r="8852" spans="2:2">
      <c r="B8852" s="24"/>
    </row>
    <row r="8853" spans="2:2">
      <c r="B8853" s="24"/>
    </row>
    <row r="8854" spans="2:2">
      <c r="B8854" s="24"/>
    </row>
    <row r="8855" spans="2:2">
      <c r="B8855" s="24"/>
    </row>
    <row r="8856" spans="2:2">
      <c r="B8856" s="24"/>
    </row>
    <row r="8857" spans="2:2">
      <c r="B8857" s="24"/>
    </row>
    <row r="8858" spans="2:2">
      <c r="B8858" s="24"/>
    </row>
    <row r="8859" spans="2:2">
      <c r="B8859" s="24"/>
    </row>
    <row r="8860" spans="2:2">
      <c r="B8860" s="24"/>
    </row>
    <row r="8861" spans="2:2">
      <c r="B8861" s="24"/>
    </row>
    <row r="8862" spans="2:2">
      <c r="B8862" s="24"/>
    </row>
    <row r="8863" spans="2:2">
      <c r="B8863" s="24"/>
    </row>
    <row r="8864" spans="2:2">
      <c r="B8864" s="24"/>
    </row>
    <row r="8865" spans="2:2">
      <c r="B8865" s="24"/>
    </row>
    <row r="8866" spans="2:2">
      <c r="B8866" s="24"/>
    </row>
    <row r="8867" spans="2:2">
      <c r="B8867" s="24"/>
    </row>
    <row r="8868" spans="2:2">
      <c r="B8868" s="24"/>
    </row>
    <row r="8869" spans="2:2">
      <c r="B8869" s="24"/>
    </row>
    <row r="8870" spans="2:2">
      <c r="B8870" s="24"/>
    </row>
    <row r="8871" spans="2:2">
      <c r="B8871" s="24"/>
    </row>
    <row r="8872" spans="2:2">
      <c r="B8872" s="24"/>
    </row>
    <row r="8873" spans="2:2">
      <c r="B8873" s="24"/>
    </row>
    <row r="8874" spans="2:2">
      <c r="B8874" s="24"/>
    </row>
    <row r="8875" spans="2:2">
      <c r="B8875" s="24"/>
    </row>
    <row r="8876" spans="2:2">
      <c r="B8876" s="24"/>
    </row>
    <row r="8877" spans="2:2">
      <c r="B8877" s="24"/>
    </row>
    <row r="8878" spans="2:2">
      <c r="B8878" s="24"/>
    </row>
    <row r="8879" spans="2:2">
      <c r="B8879" s="24"/>
    </row>
    <row r="8880" spans="2:2">
      <c r="B8880" s="24"/>
    </row>
    <row r="8881" spans="2:2">
      <c r="B8881" s="24"/>
    </row>
    <row r="8882" spans="2:2">
      <c r="B8882" s="24"/>
    </row>
    <row r="8883" spans="2:2">
      <c r="B8883" s="24"/>
    </row>
    <row r="8884" spans="2:2">
      <c r="B8884" s="24"/>
    </row>
    <row r="8885" spans="2:2">
      <c r="B8885" s="24"/>
    </row>
    <row r="8886" spans="2:2">
      <c r="B8886" s="24"/>
    </row>
    <row r="8887" spans="2:2">
      <c r="B8887" s="24"/>
    </row>
    <row r="8888" spans="2:2">
      <c r="B8888" s="24"/>
    </row>
    <row r="8889" spans="2:2">
      <c r="B8889" s="24"/>
    </row>
    <row r="8890" spans="2:2">
      <c r="B8890" s="24"/>
    </row>
    <row r="8891" spans="2:2">
      <c r="B8891" s="24"/>
    </row>
    <row r="8892" spans="2:2">
      <c r="B8892" s="24"/>
    </row>
    <row r="8893" spans="2:2">
      <c r="B8893" s="24"/>
    </row>
    <row r="8894" spans="2:2">
      <c r="B8894" s="24"/>
    </row>
    <row r="8895" spans="2:2">
      <c r="B8895" s="24"/>
    </row>
    <row r="8896" spans="2:2">
      <c r="B8896" s="24"/>
    </row>
    <row r="8897" spans="2:2">
      <c r="B8897" s="24"/>
    </row>
    <row r="8898" spans="2:2">
      <c r="B8898" s="24"/>
    </row>
    <row r="8899" spans="2:2">
      <c r="B8899" s="24"/>
    </row>
    <row r="8900" spans="2:2">
      <c r="B8900" s="24"/>
    </row>
    <row r="8901" spans="2:2">
      <c r="B8901" s="24"/>
    </row>
    <row r="8902" spans="2:2">
      <c r="B8902" s="24"/>
    </row>
    <row r="8903" spans="2:2">
      <c r="B8903" s="24"/>
    </row>
    <row r="8904" spans="2:2">
      <c r="B8904" s="24"/>
    </row>
    <row r="8905" spans="2:2">
      <c r="B8905" s="24"/>
    </row>
    <row r="8906" spans="2:2">
      <c r="B8906" s="24"/>
    </row>
    <row r="8907" spans="2:2">
      <c r="B8907" s="24"/>
    </row>
    <row r="8908" spans="2:2">
      <c r="B8908" s="24"/>
    </row>
    <row r="8909" spans="2:2">
      <c r="B8909" s="24"/>
    </row>
    <row r="8910" spans="2:2">
      <c r="B8910" s="24"/>
    </row>
    <row r="8911" spans="2:2">
      <c r="B8911" s="24"/>
    </row>
    <row r="8912" spans="2:2">
      <c r="B8912" s="24"/>
    </row>
    <row r="8913" spans="2:2">
      <c r="B8913" s="24"/>
    </row>
    <row r="8914" spans="2:2">
      <c r="B8914" s="24"/>
    </row>
    <row r="8915" spans="2:2">
      <c r="B8915" s="24"/>
    </row>
    <row r="8916" spans="2:2">
      <c r="B8916" s="24"/>
    </row>
    <row r="8917" spans="2:2">
      <c r="B8917" s="24"/>
    </row>
    <row r="8918" spans="2:2">
      <c r="B8918" s="24"/>
    </row>
    <row r="8919" spans="2:2">
      <c r="B8919" s="24"/>
    </row>
    <row r="8920" spans="2:2">
      <c r="B8920" s="24"/>
    </row>
    <row r="8921" spans="2:2">
      <c r="B8921" s="24"/>
    </row>
    <row r="8922" spans="2:2">
      <c r="B8922" s="24"/>
    </row>
    <row r="8923" spans="2:2">
      <c r="B8923" s="24"/>
    </row>
    <row r="8924" spans="2:2">
      <c r="B8924" s="24"/>
    </row>
    <row r="8925" spans="2:2">
      <c r="B8925" s="24"/>
    </row>
    <row r="8926" spans="2:2">
      <c r="B8926" s="24"/>
    </row>
    <row r="8927" spans="2:2">
      <c r="B8927" s="24"/>
    </row>
    <row r="8928" spans="2:2">
      <c r="B8928" s="24"/>
    </row>
    <row r="8929" spans="2:2">
      <c r="B8929" s="24"/>
    </row>
    <row r="8930" spans="2:2">
      <c r="B8930" s="24"/>
    </row>
    <row r="8931" spans="2:2">
      <c r="B8931" s="24"/>
    </row>
    <row r="8932" spans="2:2">
      <c r="B8932" s="24"/>
    </row>
    <row r="8933" spans="2:2">
      <c r="B8933" s="24"/>
    </row>
    <row r="8934" spans="2:2">
      <c r="B8934" s="24"/>
    </row>
    <row r="8935" spans="2:2">
      <c r="B8935" s="24"/>
    </row>
    <row r="8936" spans="2:2">
      <c r="B8936" s="24"/>
    </row>
    <row r="8937" spans="2:2">
      <c r="B8937" s="24"/>
    </row>
    <row r="8938" spans="2:2">
      <c r="B8938" s="24"/>
    </row>
    <row r="8939" spans="2:2">
      <c r="B8939" s="24"/>
    </row>
    <row r="8940" spans="2:2">
      <c r="B8940" s="24"/>
    </row>
    <row r="8941" spans="2:2">
      <c r="B8941" s="24"/>
    </row>
    <row r="8942" spans="2:2">
      <c r="B8942" s="24"/>
    </row>
    <row r="8943" spans="2:2">
      <c r="B8943" s="24"/>
    </row>
    <row r="8944" spans="2:2">
      <c r="B8944" s="24"/>
    </row>
    <row r="8945" spans="2:2">
      <c r="B8945" s="24"/>
    </row>
    <row r="8946" spans="2:2">
      <c r="B8946" s="24"/>
    </row>
    <row r="8947" spans="2:2">
      <c r="B8947" s="24"/>
    </row>
    <row r="8948" spans="2:2">
      <c r="B8948" s="24"/>
    </row>
    <row r="8949" spans="2:2">
      <c r="B8949" s="24"/>
    </row>
    <row r="8950" spans="2:2">
      <c r="B8950" s="24"/>
    </row>
    <row r="8951" spans="2:2">
      <c r="B8951" s="24"/>
    </row>
    <row r="8952" spans="2:2">
      <c r="B8952" s="24"/>
    </row>
    <row r="8953" spans="2:2">
      <c r="B8953" s="24"/>
    </row>
    <row r="8954" spans="2:2">
      <c r="B8954" s="24"/>
    </row>
    <row r="8955" spans="2:2">
      <c r="B8955" s="24"/>
    </row>
    <row r="8956" spans="2:2">
      <c r="B8956" s="24"/>
    </row>
    <row r="8957" spans="2:2">
      <c r="B8957" s="24"/>
    </row>
    <row r="8958" spans="2:2">
      <c r="B8958" s="24"/>
    </row>
    <row r="8959" spans="2:2">
      <c r="B8959" s="24"/>
    </row>
    <row r="8960" spans="2:2">
      <c r="B8960" s="24"/>
    </row>
    <row r="8961" spans="2:2">
      <c r="B8961" s="24"/>
    </row>
    <row r="8962" spans="2:2">
      <c r="B8962" s="24"/>
    </row>
    <row r="8963" spans="2:2">
      <c r="B8963" s="24"/>
    </row>
    <row r="8964" spans="2:2">
      <c r="B8964" s="24"/>
    </row>
    <row r="8965" spans="2:2">
      <c r="B8965" s="24"/>
    </row>
    <row r="8966" spans="2:2">
      <c r="B8966" s="24"/>
    </row>
    <row r="8967" spans="2:2">
      <c r="B8967" s="24"/>
    </row>
    <row r="8968" spans="2:2">
      <c r="B8968" s="24"/>
    </row>
    <row r="8969" spans="2:2">
      <c r="B8969" s="24"/>
    </row>
    <row r="8970" spans="2:2">
      <c r="B8970" s="24"/>
    </row>
    <row r="8971" spans="2:2">
      <c r="B8971" s="24"/>
    </row>
    <row r="8972" spans="2:2">
      <c r="B8972" s="24"/>
    </row>
    <row r="8973" spans="2:2">
      <c r="B8973" s="24"/>
    </row>
    <row r="8974" spans="2:2">
      <c r="B8974" s="24"/>
    </row>
    <row r="8975" spans="2:2">
      <c r="B8975" s="24"/>
    </row>
    <row r="8976" spans="2:2">
      <c r="B8976" s="24"/>
    </row>
    <row r="8977" spans="2:2">
      <c r="B8977" s="24"/>
    </row>
    <row r="8978" spans="2:2">
      <c r="B8978" s="24"/>
    </row>
    <row r="8979" spans="2:2">
      <c r="B8979" s="24"/>
    </row>
    <row r="8980" spans="2:2">
      <c r="B8980" s="24"/>
    </row>
    <row r="8981" spans="2:2">
      <c r="B8981" s="24"/>
    </row>
    <row r="8982" spans="2:2">
      <c r="B8982" s="24"/>
    </row>
    <row r="8983" spans="2:2">
      <c r="B8983" s="24"/>
    </row>
    <row r="8984" spans="2:2">
      <c r="B8984" s="24"/>
    </row>
    <row r="8985" spans="2:2">
      <c r="B8985" s="24"/>
    </row>
    <row r="8986" spans="2:2">
      <c r="B8986" s="24"/>
    </row>
    <row r="8987" spans="2:2">
      <c r="B8987" s="24"/>
    </row>
    <row r="8988" spans="2:2">
      <c r="B8988" s="24"/>
    </row>
    <row r="8989" spans="2:2">
      <c r="B8989" s="24"/>
    </row>
    <row r="8990" spans="2:2">
      <c r="B8990" s="24"/>
    </row>
    <row r="8991" spans="2:2">
      <c r="B8991" s="24"/>
    </row>
    <row r="8992" spans="2:2">
      <c r="B8992" s="24"/>
    </row>
    <row r="8993" spans="2:2">
      <c r="B8993" s="24"/>
    </row>
    <row r="8994" spans="2:2">
      <c r="B8994" s="24"/>
    </row>
    <row r="8995" spans="2:2">
      <c r="B8995" s="24"/>
    </row>
    <row r="8996" spans="2:2">
      <c r="B8996" s="24"/>
    </row>
    <row r="8997" spans="2:2">
      <c r="B8997" s="24"/>
    </row>
    <row r="8998" spans="2:2">
      <c r="B8998" s="24"/>
    </row>
    <row r="8999" spans="2:2">
      <c r="B8999" s="24"/>
    </row>
    <row r="9000" spans="2:2">
      <c r="B9000" s="24"/>
    </row>
    <row r="9001" spans="2:2">
      <c r="B9001" s="24"/>
    </row>
    <row r="9002" spans="2:2">
      <c r="B9002" s="24"/>
    </row>
    <row r="9003" spans="2:2">
      <c r="B9003" s="24"/>
    </row>
    <row r="9004" spans="2:2">
      <c r="B9004" s="24"/>
    </row>
    <row r="9005" spans="2:2">
      <c r="B9005" s="24"/>
    </row>
    <row r="9006" spans="2:2">
      <c r="B9006" s="24"/>
    </row>
    <row r="9007" spans="2:2">
      <c r="B9007" s="24"/>
    </row>
    <row r="9008" spans="2:2">
      <c r="B9008" s="24"/>
    </row>
    <row r="9009" spans="2:2">
      <c r="B9009" s="24"/>
    </row>
    <row r="9010" spans="2:2">
      <c r="B9010" s="24"/>
    </row>
    <row r="9011" spans="2:2">
      <c r="B9011" s="24"/>
    </row>
    <row r="9012" spans="2:2">
      <c r="B9012" s="24"/>
    </row>
    <row r="9013" spans="2:2">
      <c r="B9013" s="24"/>
    </row>
    <row r="9014" spans="2:2">
      <c r="B9014" s="24"/>
    </row>
    <row r="9015" spans="2:2">
      <c r="B9015" s="24"/>
    </row>
    <row r="9016" spans="2:2">
      <c r="B9016" s="24"/>
    </row>
    <row r="9017" spans="2:2">
      <c r="B9017" s="24"/>
    </row>
    <row r="9018" spans="2:2">
      <c r="B9018" s="24"/>
    </row>
    <row r="9019" spans="2:2">
      <c r="B9019" s="24"/>
    </row>
    <row r="9020" spans="2:2">
      <c r="B9020" s="24"/>
    </row>
    <row r="9021" spans="2:2">
      <c r="B9021" s="24"/>
    </row>
    <row r="9022" spans="2:2">
      <c r="B9022" s="24"/>
    </row>
    <row r="9023" spans="2:2">
      <c r="B9023" s="24"/>
    </row>
    <row r="9024" spans="2:2">
      <c r="B9024" s="24"/>
    </row>
    <row r="9025" spans="2:2">
      <c r="B9025" s="24"/>
    </row>
    <row r="9026" spans="2:2">
      <c r="B9026" s="24"/>
    </row>
    <row r="9027" spans="2:2">
      <c r="B9027" s="24"/>
    </row>
    <row r="9028" spans="2:2">
      <c r="B9028" s="24"/>
    </row>
    <row r="9029" spans="2:2">
      <c r="B9029" s="24"/>
    </row>
    <row r="9030" spans="2:2">
      <c r="B9030" s="24"/>
    </row>
    <row r="9031" spans="2:2">
      <c r="B9031" s="24"/>
    </row>
    <row r="9032" spans="2:2">
      <c r="B9032" s="24"/>
    </row>
    <row r="9033" spans="2:2">
      <c r="B9033" s="24"/>
    </row>
    <row r="9034" spans="2:2">
      <c r="B9034" s="24"/>
    </row>
    <row r="9035" spans="2:2">
      <c r="B9035" s="24"/>
    </row>
    <row r="9036" spans="2:2">
      <c r="B9036" s="24"/>
    </row>
    <row r="9037" spans="2:2">
      <c r="B9037" s="24"/>
    </row>
    <row r="9038" spans="2:2">
      <c r="B9038" s="24"/>
    </row>
    <row r="9039" spans="2:2">
      <c r="B9039" s="24"/>
    </row>
    <row r="9040" spans="2:2">
      <c r="B9040" s="24"/>
    </row>
    <row r="9041" spans="2:2">
      <c r="B9041" s="24"/>
    </row>
    <row r="9042" spans="2:2">
      <c r="B9042" s="24"/>
    </row>
    <row r="9043" spans="2:2">
      <c r="B9043" s="24"/>
    </row>
    <row r="9044" spans="2:2">
      <c r="B9044" s="24"/>
    </row>
    <row r="9045" spans="2:2">
      <c r="B9045" s="24"/>
    </row>
    <row r="9046" spans="2:2">
      <c r="B9046" s="24"/>
    </row>
    <row r="9047" spans="2:2">
      <c r="B9047" s="24"/>
    </row>
    <row r="9048" spans="2:2">
      <c r="B9048" s="24"/>
    </row>
    <row r="9049" spans="2:2">
      <c r="B9049" s="24"/>
    </row>
    <row r="9050" spans="2:2">
      <c r="B9050" s="24"/>
    </row>
    <row r="9051" spans="2:2">
      <c r="B9051" s="24"/>
    </row>
    <row r="9052" spans="2:2">
      <c r="B9052" s="24"/>
    </row>
    <row r="9053" spans="2:2">
      <c r="B9053" s="24"/>
    </row>
    <row r="9054" spans="2:2">
      <c r="B9054" s="24"/>
    </row>
    <row r="9055" spans="2:2">
      <c r="B9055" s="24"/>
    </row>
    <row r="9056" spans="2:2">
      <c r="B9056" s="24"/>
    </row>
    <row r="9057" spans="2:2">
      <c r="B9057" s="24"/>
    </row>
    <row r="9058" spans="2:2">
      <c r="B9058" s="24"/>
    </row>
    <row r="9059" spans="2:2">
      <c r="B9059" s="24"/>
    </row>
    <row r="9060" spans="2:2">
      <c r="B9060" s="24"/>
    </row>
    <row r="9061" spans="2:2">
      <c r="B9061" s="24"/>
    </row>
    <row r="9062" spans="2:2">
      <c r="B9062" s="24"/>
    </row>
    <row r="9063" spans="2:2">
      <c r="B9063" s="24"/>
    </row>
    <row r="9064" spans="2:2">
      <c r="B9064" s="24"/>
    </row>
    <row r="9065" spans="2:2">
      <c r="B9065" s="24"/>
    </row>
    <row r="9066" spans="2:2">
      <c r="B9066" s="24"/>
    </row>
    <row r="9067" spans="2:2">
      <c r="B9067" s="24"/>
    </row>
    <row r="9068" spans="2:2">
      <c r="B9068" s="24"/>
    </row>
    <row r="9069" spans="2:2">
      <c r="B9069" s="24"/>
    </row>
    <row r="9070" spans="2:2">
      <c r="B9070" s="24"/>
    </row>
    <row r="9071" spans="2:2">
      <c r="B9071" s="24"/>
    </row>
    <row r="9072" spans="2:2">
      <c r="B9072" s="24"/>
    </row>
    <row r="9073" spans="2:2">
      <c r="B9073" s="24"/>
    </row>
    <row r="9074" spans="2:2">
      <c r="B9074" s="24"/>
    </row>
    <row r="9075" spans="2:2">
      <c r="B9075" s="24"/>
    </row>
    <row r="9076" spans="2:2">
      <c r="B9076" s="24"/>
    </row>
    <row r="9077" spans="2:2">
      <c r="B9077" s="24"/>
    </row>
    <row r="9078" spans="2:2">
      <c r="B9078" s="24"/>
    </row>
    <row r="9079" spans="2:2">
      <c r="B9079" s="24"/>
    </row>
    <row r="9080" spans="2:2">
      <c r="B9080" s="24"/>
    </row>
    <row r="9081" spans="2:2">
      <c r="B9081" s="24"/>
    </row>
    <row r="9082" spans="2:2">
      <c r="B9082" s="24"/>
    </row>
    <row r="9083" spans="2:2">
      <c r="B9083" s="24"/>
    </row>
    <row r="9084" spans="2:2">
      <c r="B9084" s="24"/>
    </row>
    <row r="9085" spans="2:2">
      <c r="B9085" s="24"/>
    </row>
    <row r="9086" spans="2:2">
      <c r="B9086" s="24"/>
    </row>
    <row r="9087" spans="2:2">
      <c r="B9087" s="24"/>
    </row>
    <row r="9088" spans="2:2">
      <c r="B9088" s="24"/>
    </row>
    <row r="9089" spans="2:2">
      <c r="B9089" s="24"/>
    </row>
    <row r="9090" spans="2:2">
      <c r="B9090" s="24"/>
    </row>
    <row r="9091" spans="2:2">
      <c r="B9091" s="24"/>
    </row>
    <row r="9092" spans="2:2">
      <c r="B9092" s="24"/>
    </row>
    <row r="9093" spans="2:2">
      <c r="B9093" s="24"/>
    </row>
    <row r="9094" spans="2:2">
      <c r="B9094" s="24"/>
    </row>
    <row r="9095" spans="2:2">
      <c r="B9095" s="24"/>
    </row>
    <row r="9096" spans="2:2">
      <c r="B9096" s="24"/>
    </row>
    <row r="9097" spans="2:2">
      <c r="B9097" s="24"/>
    </row>
    <row r="9098" spans="2:2">
      <c r="B9098" s="24"/>
    </row>
    <row r="9099" spans="2:2">
      <c r="B9099" s="24"/>
    </row>
    <row r="9100" spans="2:2">
      <c r="B9100" s="24"/>
    </row>
    <row r="9101" spans="2:2">
      <c r="B9101" s="24"/>
    </row>
    <row r="9102" spans="2:2">
      <c r="B9102" s="24"/>
    </row>
    <row r="9103" spans="2:2">
      <c r="B9103" s="24"/>
    </row>
    <row r="9104" spans="2:2">
      <c r="B9104" s="24"/>
    </row>
    <row r="9105" spans="2:2">
      <c r="B9105" s="24"/>
    </row>
    <row r="9106" spans="2:2">
      <c r="B9106" s="24"/>
    </row>
    <row r="9107" spans="2:2">
      <c r="B9107" s="24"/>
    </row>
    <row r="9108" spans="2:2">
      <c r="B9108" s="24"/>
    </row>
    <row r="9109" spans="2:2">
      <c r="B9109" s="24"/>
    </row>
    <row r="9110" spans="2:2">
      <c r="B9110" s="24"/>
    </row>
    <row r="9111" spans="2:2">
      <c r="B9111" s="24"/>
    </row>
    <row r="9112" spans="2:2">
      <c r="B9112" s="24"/>
    </row>
    <row r="9113" spans="2:2">
      <c r="B9113" s="24"/>
    </row>
    <row r="9114" spans="2:2">
      <c r="B9114" s="24"/>
    </row>
    <row r="9115" spans="2:2">
      <c r="B9115" s="24"/>
    </row>
    <row r="9116" spans="2:2">
      <c r="B9116" s="24"/>
    </row>
    <row r="9117" spans="2:2">
      <c r="B9117" s="24"/>
    </row>
    <row r="9118" spans="2:2">
      <c r="B9118" s="24"/>
    </row>
    <row r="9119" spans="2:2">
      <c r="B9119" s="24"/>
    </row>
    <row r="9120" spans="2:2">
      <c r="B9120" s="24"/>
    </row>
    <row r="9121" spans="2:2">
      <c r="B9121" s="24"/>
    </row>
    <row r="9122" spans="2:2">
      <c r="B9122" s="24"/>
    </row>
    <row r="9123" spans="2:2">
      <c r="B9123" s="24"/>
    </row>
    <row r="9124" spans="2:2">
      <c r="B9124" s="24"/>
    </row>
    <row r="9125" spans="2:2">
      <c r="B9125" s="24"/>
    </row>
    <row r="9126" spans="2:2">
      <c r="B9126" s="24"/>
    </row>
    <row r="9127" spans="2:2">
      <c r="B9127" s="24"/>
    </row>
    <row r="9128" spans="2:2">
      <c r="B9128" s="24"/>
    </row>
    <row r="9129" spans="2:2">
      <c r="B9129" s="24"/>
    </row>
    <row r="9130" spans="2:2">
      <c r="B9130" s="24"/>
    </row>
    <row r="9131" spans="2:2">
      <c r="B9131" s="24"/>
    </row>
    <row r="9132" spans="2:2">
      <c r="B9132" s="24"/>
    </row>
    <row r="9133" spans="2:2">
      <c r="B9133" s="24"/>
    </row>
    <row r="9134" spans="2:2">
      <c r="B9134" s="24"/>
    </row>
    <row r="9135" spans="2:2">
      <c r="B9135" s="24"/>
    </row>
    <row r="9136" spans="2:2">
      <c r="B9136" s="24"/>
    </row>
    <row r="9137" spans="2:2">
      <c r="B9137" s="24"/>
    </row>
    <row r="9138" spans="2:2">
      <c r="B9138" s="24"/>
    </row>
    <row r="9139" spans="2:2">
      <c r="B9139" s="24"/>
    </row>
    <row r="9140" spans="2:2">
      <c r="B9140" s="24"/>
    </row>
    <row r="9141" spans="2:2">
      <c r="B9141" s="24"/>
    </row>
    <row r="9142" spans="2:2">
      <c r="B9142" s="24"/>
    </row>
    <row r="9143" spans="2:2">
      <c r="B9143" s="24"/>
    </row>
    <row r="9144" spans="2:2">
      <c r="B9144" s="24"/>
    </row>
    <row r="9145" spans="2:2">
      <c r="B9145" s="24"/>
    </row>
    <row r="9146" spans="2:2">
      <c r="B9146" s="24"/>
    </row>
    <row r="9147" spans="2:2">
      <c r="B9147" s="24"/>
    </row>
    <row r="9148" spans="2:2">
      <c r="B9148" s="24"/>
    </row>
    <row r="9149" spans="2:2">
      <c r="B9149" s="24"/>
    </row>
    <row r="9150" spans="2:2">
      <c r="B9150" s="24"/>
    </row>
    <row r="9151" spans="2:2">
      <c r="B9151" s="24"/>
    </row>
    <row r="9152" spans="2:2">
      <c r="B9152" s="24"/>
    </row>
    <row r="9153" spans="2:2">
      <c r="B9153" s="24"/>
    </row>
    <row r="9154" spans="2:2">
      <c r="B9154" s="24"/>
    </row>
    <row r="9155" spans="2:2">
      <c r="B9155" s="24"/>
    </row>
    <row r="9156" spans="2:2">
      <c r="B9156" s="24"/>
    </row>
    <row r="9157" spans="2:2">
      <c r="B9157" s="24"/>
    </row>
    <row r="9158" spans="2:2">
      <c r="B9158" s="24"/>
    </row>
    <row r="9159" spans="2:2">
      <c r="B9159" s="24"/>
    </row>
    <row r="9160" spans="2:2">
      <c r="B9160" s="24"/>
    </row>
    <row r="9161" spans="2:2">
      <c r="B9161" s="24"/>
    </row>
    <row r="9162" spans="2:2">
      <c r="B9162" s="24"/>
    </row>
    <row r="9163" spans="2:2">
      <c r="B9163" s="24"/>
    </row>
    <row r="9164" spans="2:2">
      <c r="B9164" s="24"/>
    </row>
    <row r="9165" spans="2:2">
      <c r="B9165" s="24"/>
    </row>
    <row r="9166" spans="2:2">
      <c r="B9166" s="24"/>
    </row>
    <row r="9167" spans="2:2">
      <c r="B9167" s="24"/>
    </row>
    <row r="9168" spans="2:2">
      <c r="B9168" s="24"/>
    </row>
    <row r="9169" spans="2:2">
      <c r="B9169" s="24"/>
    </row>
    <row r="9170" spans="2:2">
      <c r="B9170" s="24"/>
    </row>
    <row r="9171" spans="2:2">
      <c r="B9171" s="24"/>
    </row>
    <row r="9172" spans="2:2">
      <c r="B9172" s="24"/>
    </row>
    <row r="9173" spans="2:2">
      <c r="B9173" s="24"/>
    </row>
    <row r="9174" spans="2:2">
      <c r="B9174" s="24"/>
    </row>
    <row r="9175" spans="2:2">
      <c r="B9175" s="24"/>
    </row>
    <row r="9176" spans="2:2">
      <c r="B9176" s="24"/>
    </row>
    <row r="9177" spans="2:2">
      <c r="B9177" s="24"/>
    </row>
    <row r="9178" spans="2:2">
      <c r="B9178" s="24"/>
    </row>
    <row r="9179" spans="2:2">
      <c r="B9179" s="24"/>
    </row>
    <row r="9180" spans="2:2">
      <c r="B9180" s="24"/>
    </row>
    <row r="9181" spans="2:2">
      <c r="B9181" s="24"/>
    </row>
    <row r="9182" spans="2:2">
      <c r="B9182" s="24"/>
    </row>
    <row r="9183" spans="2:2">
      <c r="B9183" s="24"/>
    </row>
    <row r="9184" spans="2:2">
      <c r="B9184" s="24"/>
    </row>
    <row r="9185" spans="2:2">
      <c r="B9185" s="24"/>
    </row>
    <row r="9186" spans="2:2">
      <c r="B9186" s="24"/>
    </row>
    <row r="9187" spans="2:2">
      <c r="B9187" s="24"/>
    </row>
    <row r="9188" spans="2:2">
      <c r="B9188" s="24"/>
    </row>
    <row r="9189" spans="2:2">
      <c r="B9189" s="24"/>
    </row>
    <row r="9190" spans="2:2">
      <c r="B9190" s="24"/>
    </row>
    <row r="9191" spans="2:2">
      <c r="B9191" s="24"/>
    </row>
    <row r="9192" spans="2:2">
      <c r="B9192" s="24"/>
    </row>
    <row r="9193" spans="2:2">
      <c r="B9193" s="24"/>
    </row>
    <row r="9194" spans="2:2">
      <c r="B9194" s="24"/>
    </row>
    <row r="9195" spans="2:2">
      <c r="B9195" s="24"/>
    </row>
    <row r="9196" spans="2:2">
      <c r="B9196" s="24"/>
    </row>
    <row r="9197" spans="2:2">
      <c r="B9197" s="24"/>
    </row>
    <row r="9198" spans="2:2">
      <c r="B9198" s="24"/>
    </row>
    <row r="9199" spans="2:2">
      <c r="B9199" s="24"/>
    </row>
    <row r="9200" spans="2:2">
      <c r="B9200" s="24"/>
    </row>
    <row r="9201" spans="2:2">
      <c r="B9201" s="24"/>
    </row>
    <row r="9202" spans="2:2">
      <c r="B9202" s="24"/>
    </row>
    <row r="9203" spans="2:2">
      <c r="B9203" s="24"/>
    </row>
    <row r="9204" spans="2:2">
      <c r="B9204" s="24"/>
    </row>
    <row r="9205" spans="2:2">
      <c r="B9205" s="24"/>
    </row>
    <row r="9206" spans="2:2">
      <c r="B9206" s="24"/>
    </row>
    <row r="9207" spans="2:2">
      <c r="B9207" s="24"/>
    </row>
    <row r="9208" spans="2:2">
      <c r="B9208" s="24"/>
    </row>
    <row r="9209" spans="2:2">
      <c r="B9209" s="24"/>
    </row>
    <row r="9210" spans="2:2">
      <c r="B9210" s="24"/>
    </row>
    <row r="9211" spans="2:2">
      <c r="B9211" s="24"/>
    </row>
    <row r="9212" spans="2:2">
      <c r="B9212" s="24"/>
    </row>
    <row r="9213" spans="2:2">
      <c r="B9213" s="24"/>
    </row>
    <row r="9214" spans="2:2">
      <c r="B9214" s="24"/>
    </row>
    <row r="9215" spans="2:2">
      <c r="B9215" s="24"/>
    </row>
    <row r="9216" spans="2:2">
      <c r="B9216" s="24"/>
    </row>
    <row r="9217" spans="2:2">
      <c r="B9217" s="24"/>
    </row>
    <row r="9218" spans="2:2">
      <c r="B9218" s="24"/>
    </row>
    <row r="9219" spans="2:2">
      <c r="B9219" s="24"/>
    </row>
    <row r="9220" spans="2:2">
      <c r="B9220" s="24"/>
    </row>
    <row r="9221" spans="2:2">
      <c r="B9221" s="24"/>
    </row>
    <row r="9222" spans="2:2">
      <c r="B9222" s="24"/>
    </row>
    <row r="9223" spans="2:2">
      <c r="B9223" s="24"/>
    </row>
    <row r="9224" spans="2:2">
      <c r="B9224" s="24"/>
    </row>
    <row r="9225" spans="2:2">
      <c r="B9225" s="24"/>
    </row>
    <row r="9226" spans="2:2">
      <c r="B9226" s="24"/>
    </row>
    <row r="9227" spans="2:2">
      <c r="B9227" s="24"/>
    </row>
    <row r="9228" spans="2:2">
      <c r="B9228" s="24"/>
    </row>
    <row r="9229" spans="2:2">
      <c r="B9229" s="24"/>
    </row>
    <row r="9230" spans="2:2">
      <c r="B9230" s="24"/>
    </row>
    <row r="9231" spans="2:2">
      <c r="B9231" s="24"/>
    </row>
    <row r="9232" spans="2:2">
      <c r="B9232" s="24"/>
    </row>
    <row r="9233" spans="2:2">
      <c r="B9233" s="24"/>
    </row>
    <row r="9234" spans="2:2">
      <c r="B9234" s="24"/>
    </row>
    <row r="9235" spans="2:2">
      <c r="B9235" s="24"/>
    </row>
    <row r="9236" spans="2:2">
      <c r="B9236" s="24"/>
    </row>
    <row r="9237" spans="2:2">
      <c r="B9237" s="24"/>
    </row>
    <row r="9238" spans="2:2">
      <c r="B9238" s="24"/>
    </row>
    <row r="9239" spans="2:2">
      <c r="B9239" s="24"/>
    </row>
    <row r="9240" spans="2:2">
      <c r="B9240" s="24"/>
    </row>
    <row r="9241" spans="2:2">
      <c r="B9241" s="24"/>
    </row>
    <row r="9242" spans="2:2">
      <c r="B9242" s="24"/>
    </row>
    <row r="9243" spans="2:2">
      <c r="B9243" s="24"/>
    </row>
    <row r="9244" spans="2:2">
      <c r="B9244" s="24"/>
    </row>
    <row r="9245" spans="2:2">
      <c r="B9245" s="24"/>
    </row>
    <row r="9246" spans="2:2">
      <c r="B9246" s="24"/>
    </row>
    <row r="9247" spans="2:2">
      <c r="B9247" s="24"/>
    </row>
    <row r="9248" spans="2:2">
      <c r="B9248" s="24"/>
    </row>
    <row r="9249" spans="2:2">
      <c r="B9249" s="24"/>
    </row>
    <row r="9250" spans="2:2">
      <c r="B9250" s="24"/>
    </row>
    <row r="9251" spans="2:2">
      <c r="B9251" s="24"/>
    </row>
    <row r="9252" spans="2:2">
      <c r="B9252" s="24"/>
    </row>
    <row r="9253" spans="2:2">
      <c r="B9253" s="24"/>
    </row>
    <row r="9254" spans="2:2">
      <c r="B9254" s="24"/>
    </row>
    <row r="9255" spans="2:2">
      <c r="B9255" s="24"/>
    </row>
    <row r="9256" spans="2:2">
      <c r="B9256" s="24"/>
    </row>
    <row r="9257" spans="2:2">
      <c r="B9257" s="24"/>
    </row>
    <row r="9258" spans="2:2">
      <c r="B9258" s="24"/>
    </row>
    <row r="9259" spans="2:2">
      <c r="B9259" s="24"/>
    </row>
    <row r="9260" spans="2:2">
      <c r="B9260" s="24"/>
    </row>
    <row r="9261" spans="2:2">
      <c r="B9261" s="24"/>
    </row>
    <row r="9262" spans="2:2">
      <c r="B9262" s="24"/>
    </row>
    <row r="9263" spans="2:2">
      <c r="B9263" s="24"/>
    </row>
    <row r="9264" spans="2:2">
      <c r="B9264" s="24"/>
    </row>
    <row r="9265" spans="2:2">
      <c r="B9265" s="24"/>
    </row>
    <row r="9266" spans="2:2">
      <c r="B9266" s="24"/>
    </row>
    <row r="9267" spans="2:2">
      <c r="B9267" s="24"/>
    </row>
    <row r="9268" spans="2:2">
      <c r="B9268" s="24"/>
    </row>
    <row r="9269" spans="2:2">
      <c r="B9269" s="24"/>
    </row>
    <row r="9270" spans="2:2">
      <c r="B9270" s="24"/>
    </row>
    <row r="9271" spans="2:2">
      <c r="B9271" s="24"/>
    </row>
    <row r="9272" spans="2:2">
      <c r="B9272" s="24"/>
    </row>
    <row r="9273" spans="2:2">
      <c r="B9273" s="24"/>
    </row>
    <row r="9274" spans="2:2">
      <c r="B9274" s="24"/>
    </row>
    <row r="9275" spans="2:2">
      <c r="B9275" s="24"/>
    </row>
    <row r="9276" spans="2:2">
      <c r="B9276" s="24"/>
    </row>
    <row r="9277" spans="2:2">
      <c r="B9277" s="24"/>
    </row>
    <row r="9278" spans="2:2">
      <c r="B9278" s="24"/>
    </row>
    <row r="9279" spans="2:2">
      <c r="B9279" s="24"/>
    </row>
    <row r="9280" spans="2:2">
      <c r="B9280" s="24"/>
    </row>
    <row r="9281" spans="2:2">
      <c r="B9281" s="24"/>
    </row>
    <row r="9282" spans="2:2">
      <c r="B9282" s="24"/>
    </row>
    <row r="9283" spans="2:2">
      <c r="B9283" s="24"/>
    </row>
    <row r="9284" spans="2:2">
      <c r="B9284" s="24"/>
    </row>
    <row r="9285" spans="2:2">
      <c r="B9285" s="24"/>
    </row>
    <row r="9286" spans="2:2">
      <c r="B9286" s="24"/>
    </row>
    <row r="9287" spans="2:2">
      <c r="B9287" s="24"/>
    </row>
    <row r="9288" spans="2:2">
      <c r="B9288" s="24"/>
    </row>
    <row r="9289" spans="2:2">
      <c r="B9289" s="24"/>
    </row>
    <row r="9290" spans="2:2">
      <c r="B9290" s="24"/>
    </row>
    <row r="9291" spans="2:2">
      <c r="B9291" s="24"/>
    </row>
    <row r="9292" spans="2:2">
      <c r="B9292" s="24"/>
    </row>
    <row r="9293" spans="2:2">
      <c r="B9293" s="24"/>
    </row>
    <row r="9294" spans="2:2">
      <c r="B9294" s="24"/>
    </row>
    <row r="9295" spans="2:2">
      <c r="B9295" s="24"/>
    </row>
    <row r="9296" spans="2:2">
      <c r="B9296" s="24"/>
    </row>
    <row r="9297" spans="2:2">
      <c r="B9297" s="24"/>
    </row>
    <row r="9298" spans="2:2">
      <c r="B9298" s="24"/>
    </row>
    <row r="9299" spans="2:2">
      <c r="B9299" s="24"/>
    </row>
    <row r="9300" spans="2:2">
      <c r="B9300" s="24"/>
    </row>
    <row r="9301" spans="2:2">
      <c r="B9301" s="24"/>
    </row>
    <row r="9302" spans="2:2">
      <c r="B9302" s="24"/>
    </row>
    <row r="9303" spans="2:2">
      <c r="B9303" s="24"/>
    </row>
    <row r="9304" spans="2:2">
      <c r="B9304" s="24"/>
    </row>
    <row r="9305" spans="2:2">
      <c r="B9305" s="24"/>
    </row>
    <row r="9306" spans="2:2">
      <c r="B9306" s="24"/>
    </row>
    <row r="9307" spans="2:2">
      <c r="B9307" s="24"/>
    </row>
    <row r="9308" spans="2:2">
      <c r="B9308" s="24"/>
    </row>
    <row r="9309" spans="2:2">
      <c r="B9309" s="24"/>
    </row>
    <row r="9310" spans="2:2">
      <c r="B9310" s="24"/>
    </row>
    <row r="9311" spans="2:2">
      <c r="B9311" s="24"/>
    </row>
    <row r="9312" spans="2:2">
      <c r="B9312" s="24"/>
    </row>
    <row r="9313" spans="2:2">
      <c r="B9313" s="24"/>
    </row>
    <row r="9314" spans="2:2">
      <c r="B9314" s="24"/>
    </row>
    <row r="9315" spans="2:2">
      <c r="B9315" s="24"/>
    </row>
    <row r="9316" spans="2:2">
      <c r="B9316" s="24"/>
    </row>
    <row r="9317" spans="2:2">
      <c r="B9317" s="24"/>
    </row>
    <row r="9318" spans="2:2">
      <c r="B9318" s="24"/>
    </row>
    <row r="9319" spans="2:2">
      <c r="B9319" s="24"/>
    </row>
    <row r="9320" spans="2:2">
      <c r="B9320" s="24"/>
    </row>
    <row r="9321" spans="2:2">
      <c r="B9321" s="24"/>
    </row>
    <row r="9322" spans="2:2">
      <c r="B9322" s="24"/>
    </row>
    <row r="9323" spans="2:2">
      <c r="B9323" s="24"/>
    </row>
    <row r="9324" spans="2:2">
      <c r="B9324" s="24"/>
    </row>
    <row r="9325" spans="2:2">
      <c r="B9325" s="24"/>
    </row>
    <row r="9326" spans="2:2">
      <c r="B9326" s="24"/>
    </row>
    <row r="9327" spans="2:2">
      <c r="B9327" s="24"/>
    </row>
    <row r="9328" spans="2:2">
      <c r="B9328" s="24"/>
    </row>
    <row r="9329" spans="2:2">
      <c r="B9329" s="24"/>
    </row>
    <row r="9330" spans="2:2">
      <c r="B9330" s="24"/>
    </row>
    <row r="9331" spans="2:2">
      <c r="B9331" s="24"/>
    </row>
    <row r="9332" spans="2:2">
      <c r="B9332" s="24"/>
    </row>
    <row r="9333" spans="2:2">
      <c r="B9333" s="24"/>
    </row>
    <row r="9334" spans="2:2">
      <c r="B9334" s="24"/>
    </row>
    <row r="9335" spans="2:2">
      <c r="B9335" s="24"/>
    </row>
    <row r="9336" spans="2:2">
      <c r="B9336" s="24"/>
    </row>
    <row r="9337" spans="2:2">
      <c r="B9337" s="24"/>
    </row>
    <row r="9338" spans="2:2">
      <c r="B9338" s="24"/>
    </row>
    <row r="9339" spans="2:2">
      <c r="B9339" s="24"/>
    </row>
    <row r="9340" spans="2:2">
      <c r="B9340" s="24"/>
    </row>
    <row r="9341" spans="2:2">
      <c r="B9341" s="24"/>
    </row>
    <row r="9342" spans="2:2">
      <c r="B9342" s="24"/>
    </row>
    <row r="9343" spans="2:2">
      <c r="B9343" s="24"/>
    </row>
    <row r="9344" spans="2:2">
      <c r="B9344" s="24"/>
    </row>
    <row r="9345" spans="2:2">
      <c r="B9345" s="24"/>
    </row>
    <row r="9346" spans="2:2">
      <c r="B9346" s="24"/>
    </row>
    <row r="9347" spans="2:2">
      <c r="B9347" s="24"/>
    </row>
    <row r="9348" spans="2:2">
      <c r="B9348" s="24"/>
    </row>
    <row r="9349" spans="2:2">
      <c r="B9349" s="24"/>
    </row>
    <row r="9350" spans="2:2">
      <c r="B9350" s="24"/>
    </row>
    <row r="9351" spans="2:2">
      <c r="B9351" s="24"/>
    </row>
    <row r="9352" spans="2:2">
      <c r="B9352" s="24"/>
    </row>
    <row r="9353" spans="2:2">
      <c r="B9353" s="24"/>
    </row>
    <row r="9354" spans="2:2">
      <c r="B9354" s="24"/>
    </row>
    <row r="9355" spans="2:2">
      <c r="B9355" s="24"/>
    </row>
    <row r="9356" spans="2:2">
      <c r="B9356" s="24"/>
    </row>
    <row r="9357" spans="2:2">
      <c r="B9357" s="24"/>
    </row>
    <row r="9358" spans="2:2">
      <c r="B9358" s="24"/>
    </row>
    <row r="9359" spans="2:2">
      <c r="B9359" s="24"/>
    </row>
    <row r="9360" spans="2:2">
      <c r="B9360" s="24"/>
    </row>
    <row r="9361" spans="2:2">
      <c r="B9361" s="24"/>
    </row>
    <row r="9362" spans="2:2">
      <c r="B9362" s="24"/>
    </row>
    <row r="9363" spans="2:2">
      <c r="B9363" s="24"/>
    </row>
    <row r="9364" spans="2:2">
      <c r="B9364" s="24"/>
    </row>
    <row r="9365" spans="2:2">
      <c r="B9365" s="24"/>
    </row>
    <row r="9366" spans="2:2">
      <c r="B9366" s="24"/>
    </row>
    <row r="9367" spans="2:2">
      <c r="B9367" s="24"/>
    </row>
    <row r="9368" spans="2:2">
      <c r="B9368" s="24"/>
    </row>
    <row r="9369" spans="2:2">
      <c r="B9369" s="24"/>
    </row>
    <row r="9370" spans="2:2">
      <c r="B9370" s="24"/>
    </row>
    <row r="9371" spans="2:2">
      <c r="B9371" s="24"/>
    </row>
    <row r="9372" spans="2:2">
      <c r="B9372" s="24"/>
    </row>
    <row r="9373" spans="2:2">
      <c r="B9373" s="24"/>
    </row>
    <row r="9374" spans="2:2">
      <c r="B9374" s="24"/>
    </row>
    <row r="9375" spans="2:2">
      <c r="B9375" s="24"/>
    </row>
    <row r="9376" spans="2:2">
      <c r="B9376" s="24"/>
    </row>
    <row r="9377" spans="2:2">
      <c r="B9377" s="24"/>
    </row>
    <row r="9378" spans="2:2">
      <c r="B9378" s="24"/>
    </row>
    <row r="9379" spans="2:2">
      <c r="B9379" s="24"/>
    </row>
    <row r="9380" spans="2:2">
      <c r="B9380" s="24"/>
    </row>
    <row r="9381" spans="2:2">
      <c r="B9381" s="24"/>
    </row>
    <row r="9382" spans="2:2">
      <c r="B9382" s="24"/>
    </row>
    <row r="9383" spans="2:2">
      <c r="B9383" s="24"/>
    </row>
    <row r="9384" spans="2:2">
      <c r="B9384" s="24"/>
    </row>
    <row r="9385" spans="2:2">
      <c r="B9385" s="24"/>
    </row>
    <row r="9386" spans="2:2">
      <c r="B9386" s="24"/>
    </row>
    <row r="9387" spans="2:2">
      <c r="B9387" s="24"/>
    </row>
    <row r="9388" spans="2:2">
      <c r="B9388" s="24"/>
    </row>
    <row r="9389" spans="2:2">
      <c r="B9389" s="24"/>
    </row>
    <row r="9390" spans="2:2">
      <c r="B9390" s="24"/>
    </row>
    <row r="9391" spans="2:2">
      <c r="B9391" s="24"/>
    </row>
    <row r="9392" spans="2:2">
      <c r="B9392" s="24"/>
    </row>
    <row r="9393" spans="2:2">
      <c r="B9393" s="24"/>
    </row>
    <row r="9394" spans="2:2">
      <c r="B9394" s="24"/>
    </row>
    <row r="9395" spans="2:2">
      <c r="B9395" s="24"/>
    </row>
    <row r="9396" spans="2:2">
      <c r="B9396" s="24"/>
    </row>
    <row r="9397" spans="2:2">
      <c r="B9397" s="24"/>
    </row>
    <row r="9398" spans="2:2">
      <c r="B9398" s="24"/>
    </row>
    <row r="9399" spans="2:2">
      <c r="B9399" s="24"/>
    </row>
    <row r="9400" spans="2:2">
      <c r="B9400" s="24"/>
    </row>
    <row r="9401" spans="2:2">
      <c r="B9401" s="24"/>
    </row>
    <row r="9402" spans="2:2">
      <c r="B9402" s="24"/>
    </row>
    <row r="9403" spans="2:2">
      <c r="B9403" s="24"/>
    </row>
    <row r="9404" spans="2:2">
      <c r="B9404" s="24"/>
    </row>
    <row r="9405" spans="2:2">
      <c r="B9405" s="24"/>
    </row>
    <row r="9406" spans="2:2">
      <c r="B9406" s="24"/>
    </row>
    <row r="9407" spans="2:2">
      <c r="B9407" s="24"/>
    </row>
    <row r="9408" spans="2:2">
      <c r="B9408" s="24"/>
    </row>
    <row r="9409" spans="2:2">
      <c r="B9409" s="24"/>
    </row>
    <row r="9410" spans="2:2">
      <c r="B9410" s="24"/>
    </row>
    <row r="9411" spans="2:2">
      <c r="B9411" s="24"/>
    </row>
    <row r="9412" spans="2:2">
      <c r="B9412" s="24"/>
    </row>
    <row r="9413" spans="2:2">
      <c r="B9413" s="24"/>
    </row>
    <row r="9414" spans="2:2">
      <c r="B9414" s="24"/>
    </row>
    <row r="9415" spans="2:2">
      <c r="B9415" s="24"/>
    </row>
    <row r="9416" spans="2:2">
      <c r="B9416" s="24"/>
    </row>
    <row r="9417" spans="2:2">
      <c r="B9417" s="24"/>
    </row>
    <row r="9418" spans="2:2">
      <c r="B9418" s="24"/>
    </row>
    <row r="9419" spans="2:2">
      <c r="B9419" s="24"/>
    </row>
    <row r="9420" spans="2:2">
      <c r="B9420" s="24"/>
    </row>
    <row r="9421" spans="2:2">
      <c r="B9421" s="24"/>
    </row>
    <row r="9422" spans="2:2">
      <c r="B9422" s="24"/>
    </row>
    <row r="9423" spans="2:2">
      <c r="B9423" s="24"/>
    </row>
    <row r="9424" spans="2:2">
      <c r="B9424" s="24"/>
    </row>
    <row r="9425" spans="2:2">
      <c r="B9425" s="24"/>
    </row>
    <row r="9426" spans="2:2">
      <c r="B9426" s="24"/>
    </row>
    <row r="9427" spans="2:2">
      <c r="B9427" s="24"/>
    </row>
    <row r="9428" spans="2:2">
      <c r="B9428" s="24"/>
    </row>
    <row r="9429" spans="2:2">
      <c r="B9429" s="24"/>
    </row>
    <row r="9430" spans="2:2">
      <c r="B9430" s="24"/>
    </row>
    <row r="9431" spans="2:2">
      <c r="B9431" s="24"/>
    </row>
    <row r="9432" spans="2:2">
      <c r="B9432" s="24"/>
    </row>
    <row r="9433" spans="2:2">
      <c r="B9433" s="24"/>
    </row>
    <row r="9434" spans="2:2">
      <c r="B9434" s="24"/>
    </row>
    <row r="9435" spans="2:2">
      <c r="B9435" s="24"/>
    </row>
    <row r="9436" spans="2:2">
      <c r="B9436" s="24"/>
    </row>
    <row r="9437" spans="2:2">
      <c r="B9437" s="24"/>
    </row>
    <row r="9438" spans="2:2">
      <c r="B9438" s="24"/>
    </row>
    <row r="9439" spans="2:2">
      <c r="B9439" s="24"/>
    </row>
    <row r="9440" spans="2:2">
      <c r="B9440" s="24"/>
    </row>
    <row r="9441" spans="2:2">
      <c r="B9441" s="24"/>
    </row>
    <row r="9442" spans="2:2">
      <c r="B9442" s="24"/>
    </row>
    <row r="9443" spans="2:2">
      <c r="B9443" s="24"/>
    </row>
    <row r="9444" spans="2:2">
      <c r="B9444" s="24"/>
    </row>
    <row r="9445" spans="2:2">
      <c r="B9445" s="24"/>
    </row>
    <row r="9446" spans="2:2">
      <c r="B9446" s="24"/>
    </row>
    <row r="9447" spans="2:2">
      <c r="B9447" s="24"/>
    </row>
    <row r="9448" spans="2:2">
      <c r="B9448" s="24"/>
    </row>
    <row r="9449" spans="2:2">
      <c r="B9449" s="24"/>
    </row>
    <row r="9450" spans="2:2">
      <c r="B9450" s="24"/>
    </row>
    <row r="9451" spans="2:2">
      <c r="B9451" s="24"/>
    </row>
    <row r="9452" spans="2:2">
      <c r="B9452" s="24"/>
    </row>
    <row r="9453" spans="2:2">
      <c r="B9453" s="24"/>
    </row>
    <row r="9454" spans="2:2">
      <c r="B9454" s="24"/>
    </row>
    <row r="9455" spans="2:2">
      <c r="B9455" s="24"/>
    </row>
    <row r="9456" spans="2:2">
      <c r="B9456" s="24"/>
    </row>
    <row r="9457" spans="2:2">
      <c r="B9457" s="24"/>
    </row>
    <row r="9458" spans="2:2">
      <c r="B9458" s="24"/>
    </row>
    <row r="9459" spans="2:2">
      <c r="B9459" s="24"/>
    </row>
    <row r="9460" spans="2:2">
      <c r="B9460" s="24"/>
    </row>
    <row r="9461" spans="2:2">
      <c r="B9461" s="24"/>
    </row>
    <row r="9462" spans="2:2">
      <c r="B9462" s="24"/>
    </row>
    <row r="9463" spans="2:2">
      <c r="B9463" s="24"/>
    </row>
    <row r="9464" spans="2:2">
      <c r="B9464" s="24"/>
    </row>
    <row r="9465" spans="2:2">
      <c r="B9465" s="24"/>
    </row>
    <row r="9466" spans="2:2">
      <c r="B9466" s="24"/>
    </row>
    <row r="9467" spans="2:2">
      <c r="B9467" s="24"/>
    </row>
    <row r="9468" spans="2:2">
      <c r="B9468" s="24"/>
    </row>
    <row r="9469" spans="2:2">
      <c r="B9469" s="24"/>
    </row>
    <row r="9470" spans="2:2">
      <c r="B9470" s="24"/>
    </row>
    <row r="9471" spans="2:2">
      <c r="B9471" s="24"/>
    </row>
    <row r="9472" spans="2:2">
      <c r="B9472" s="24"/>
    </row>
    <row r="9473" spans="2:2">
      <c r="B9473" s="24"/>
    </row>
    <row r="9474" spans="2:2">
      <c r="B9474" s="24"/>
    </row>
    <row r="9475" spans="2:2">
      <c r="B9475" s="24"/>
    </row>
    <row r="9476" spans="2:2">
      <c r="B9476" s="24"/>
    </row>
    <row r="9477" spans="2:2">
      <c r="B9477" s="24"/>
    </row>
    <row r="9478" spans="2:2">
      <c r="B9478" s="24"/>
    </row>
    <row r="9479" spans="2:2">
      <c r="B9479" s="24"/>
    </row>
    <row r="9480" spans="2:2">
      <c r="B9480" s="24"/>
    </row>
    <row r="9481" spans="2:2">
      <c r="B9481" s="24"/>
    </row>
    <row r="9482" spans="2:2">
      <c r="B9482" s="24"/>
    </row>
    <row r="9483" spans="2:2">
      <c r="B9483" s="24"/>
    </row>
    <row r="9484" spans="2:2">
      <c r="B9484" s="24"/>
    </row>
    <row r="9485" spans="2:2">
      <c r="B9485" s="24"/>
    </row>
    <row r="9486" spans="2:2">
      <c r="B9486" s="24"/>
    </row>
    <row r="9487" spans="2:2">
      <c r="B9487" s="24"/>
    </row>
    <row r="9488" spans="2:2">
      <c r="B9488" s="24"/>
    </row>
    <row r="9489" spans="2:2">
      <c r="B9489" s="24"/>
    </row>
    <row r="9490" spans="2:2">
      <c r="B9490" s="24"/>
    </row>
    <row r="9491" spans="2:2">
      <c r="B9491" s="24"/>
    </row>
    <row r="9492" spans="2:2">
      <c r="B9492" s="24"/>
    </row>
    <row r="9493" spans="2:2">
      <c r="B9493" s="24"/>
    </row>
    <row r="9494" spans="2:2">
      <c r="B9494" s="24"/>
    </row>
    <row r="9495" spans="2:2">
      <c r="B9495" s="24"/>
    </row>
    <row r="9496" spans="2:2">
      <c r="B9496" s="24"/>
    </row>
    <row r="9497" spans="2:2">
      <c r="B9497" s="24"/>
    </row>
    <row r="9498" spans="2:2">
      <c r="B9498" s="24"/>
    </row>
    <row r="9499" spans="2:2">
      <c r="B9499" s="24"/>
    </row>
    <row r="9500" spans="2:2">
      <c r="B9500" s="24"/>
    </row>
    <row r="9501" spans="2:2">
      <c r="B9501" s="24"/>
    </row>
    <row r="9502" spans="2:2">
      <c r="B9502" s="24"/>
    </row>
    <row r="9503" spans="2:2">
      <c r="B9503" s="24"/>
    </row>
    <row r="9504" spans="2:2">
      <c r="B9504" s="24"/>
    </row>
    <row r="9505" spans="2:2">
      <c r="B9505" s="24"/>
    </row>
    <row r="9506" spans="2:2">
      <c r="B9506" s="24"/>
    </row>
    <row r="9507" spans="2:2">
      <c r="B9507" s="24"/>
    </row>
    <row r="9508" spans="2:2">
      <c r="B9508" s="24"/>
    </row>
    <row r="9509" spans="2:2">
      <c r="B9509" s="24"/>
    </row>
    <row r="9510" spans="2:2">
      <c r="B9510" s="24"/>
    </row>
    <row r="9511" spans="2:2">
      <c r="B9511" s="24"/>
    </row>
    <row r="9512" spans="2:2">
      <c r="B9512" s="24"/>
    </row>
    <row r="9513" spans="2:2">
      <c r="B9513" s="24"/>
    </row>
    <row r="9514" spans="2:2">
      <c r="B9514" s="24"/>
    </row>
    <row r="9515" spans="2:2">
      <c r="B9515" s="24"/>
    </row>
    <row r="9516" spans="2:2">
      <c r="B9516" s="24"/>
    </row>
    <row r="9517" spans="2:2">
      <c r="B9517" s="24"/>
    </row>
    <row r="9518" spans="2:2">
      <c r="B9518" s="24"/>
    </row>
    <row r="9519" spans="2:2">
      <c r="B9519" s="24"/>
    </row>
    <row r="9520" spans="2:2">
      <c r="B9520" s="24"/>
    </row>
    <row r="9521" spans="2:2">
      <c r="B9521" s="24"/>
    </row>
    <row r="9522" spans="2:2">
      <c r="B9522" s="24"/>
    </row>
    <row r="9523" spans="2:2">
      <c r="B9523" s="24"/>
    </row>
    <row r="9524" spans="2:2">
      <c r="B9524" s="24"/>
    </row>
    <row r="9525" spans="2:2">
      <c r="B9525" s="24"/>
    </row>
    <row r="9526" spans="2:2">
      <c r="B9526" s="24"/>
    </row>
    <row r="9527" spans="2:2">
      <c r="B9527" s="24"/>
    </row>
    <row r="9528" spans="2:2">
      <c r="B9528" s="24"/>
    </row>
    <row r="9529" spans="2:2">
      <c r="B9529" s="24"/>
    </row>
    <row r="9530" spans="2:2">
      <c r="B9530" s="24"/>
    </row>
    <row r="9531" spans="2:2">
      <c r="B9531" s="24"/>
    </row>
    <row r="9532" spans="2:2">
      <c r="B9532" s="24"/>
    </row>
    <row r="9533" spans="2:2">
      <c r="B9533" s="24"/>
    </row>
    <row r="9534" spans="2:2">
      <c r="B9534" s="24"/>
    </row>
    <row r="9535" spans="2:2">
      <c r="B9535" s="24"/>
    </row>
    <row r="9536" spans="2:2">
      <c r="B9536" s="24"/>
    </row>
    <row r="9537" spans="2:2">
      <c r="B9537" s="24"/>
    </row>
    <row r="9538" spans="2:2">
      <c r="B9538" s="24"/>
    </row>
    <row r="9539" spans="2:2">
      <c r="B9539" s="24"/>
    </row>
    <row r="9540" spans="2:2">
      <c r="B9540" s="24"/>
    </row>
    <row r="9541" spans="2:2">
      <c r="B9541" s="24"/>
    </row>
    <row r="9542" spans="2:2">
      <c r="B9542" s="24"/>
    </row>
    <row r="9543" spans="2:2">
      <c r="B9543" s="24"/>
    </row>
    <row r="9544" spans="2:2">
      <c r="B9544" s="24"/>
    </row>
    <row r="9545" spans="2:2">
      <c r="B9545" s="24"/>
    </row>
    <row r="9546" spans="2:2">
      <c r="B9546" s="24"/>
    </row>
    <row r="9547" spans="2:2">
      <c r="B9547" s="24"/>
    </row>
    <row r="9548" spans="2:2">
      <c r="B9548" s="24"/>
    </row>
    <row r="9549" spans="2:2">
      <c r="B9549" s="24"/>
    </row>
    <row r="9550" spans="2:2">
      <c r="B9550" s="24"/>
    </row>
    <row r="9551" spans="2:2">
      <c r="B9551" s="24"/>
    </row>
    <row r="9552" spans="2:2">
      <c r="B9552" s="24"/>
    </row>
    <row r="9553" spans="2:2">
      <c r="B9553" s="24"/>
    </row>
    <row r="9554" spans="2:2">
      <c r="B9554" s="24"/>
    </row>
    <row r="9555" spans="2:2">
      <c r="B9555" s="24"/>
    </row>
    <row r="9556" spans="2:2">
      <c r="B9556" s="24"/>
    </row>
    <row r="9557" spans="2:2">
      <c r="B9557" s="24"/>
    </row>
    <row r="9558" spans="2:2">
      <c r="B9558" s="24"/>
    </row>
    <row r="9559" spans="2:2">
      <c r="B9559" s="24"/>
    </row>
    <row r="9560" spans="2:2">
      <c r="B9560" s="24"/>
    </row>
    <row r="9561" spans="2:2">
      <c r="B9561" s="24"/>
    </row>
    <row r="9562" spans="2:2">
      <c r="B9562" s="24"/>
    </row>
    <row r="9563" spans="2:2">
      <c r="B9563" s="24"/>
    </row>
    <row r="9564" spans="2:2">
      <c r="B9564" s="24"/>
    </row>
    <row r="9565" spans="2:2">
      <c r="B9565" s="24"/>
    </row>
    <row r="9566" spans="2:2">
      <c r="B9566" s="24"/>
    </row>
    <row r="9567" spans="2:2">
      <c r="B9567" s="24"/>
    </row>
    <row r="9568" spans="2:2">
      <c r="B9568" s="24"/>
    </row>
    <row r="9569" spans="2:2">
      <c r="B9569" s="24"/>
    </row>
    <row r="9570" spans="2:2">
      <c r="B9570" s="24"/>
    </row>
    <row r="9571" spans="2:2">
      <c r="B9571" s="24"/>
    </row>
    <row r="9572" spans="2:2">
      <c r="B9572" s="24"/>
    </row>
    <row r="9573" spans="2:2">
      <c r="B9573" s="24"/>
    </row>
    <row r="9574" spans="2:2">
      <c r="B9574" s="24"/>
    </row>
    <row r="9575" spans="2:2">
      <c r="B9575" s="24"/>
    </row>
    <row r="9576" spans="2:2">
      <c r="B9576" s="24"/>
    </row>
    <row r="9577" spans="2:2">
      <c r="B9577" s="24"/>
    </row>
    <row r="9578" spans="2:2">
      <c r="B9578" s="24"/>
    </row>
    <row r="9579" spans="2:2">
      <c r="B9579" s="24"/>
    </row>
    <row r="9580" spans="2:2">
      <c r="B9580" s="24"/>
    </row>
    <row r="9581" spans="2:2">
      <c r="B9581" s="24"/>
    </row>
    <row r="9582" spans="2:2">
      <c r="B9582" s="24"/>
    </row>
    <row r="9583" spans="2:2">
      <c r="B9583" s="24"/>
    </row>
    <row r="9584" spans="2:2">
      <c r="B9584" s="24"/>
    </row>
    <row r="9585" spans="2:2">
      <c r="B9585" s="24"/>
    </row>
    <row r="9586" spans="2:2">
      <c r="B9586" s="24"/>
    </row>
    <row r="9587" spans="2:2">
      <c r="B9587" s="24"/>
    </row>
    <row r="9588" spans="2:2">
      <c r="B9588" s="24"/>
    </row>
    <row r="9589" spans="2:2">
      <c r="B9589" s="24"/>
    </row>
    <row r="9590" spans="2:2">
      <c r="B9590" s="24"/>
    </row>
    <row r="9591" spans="2:2">
      <c r="B9591" s="24"/>
    </row>
    <row r="9592" spans="2:2">
      <c r="B9592" s="24"/>
    </row>
    <row r="9593" spans="2:2">
      <c r="B9593" s="24"/>
    </row>
    <row r="9594" spans="2:2">
      <c r="B9594" s="24"/>
    </row>
    <row r="9595" spans="2:2">
      <c r="B9595" s="24"/>
    </row>
    <row r="9596" spans="2:2">
      <c r="B9596" s="24"/>
    </row>
    <row r="9597" spans="2:2">
      <c r="B9597" s="24"/>
    </row>
    <row r="9598" spans="2:2">
      <c r="B9598" s="24"/>
    </row>
    <row r="9599" spans="2:2">
      <c r="B9599" s="24"/>
    </row>
    <row r="9600" spans="2:2">
      <c r="B9600" s="24"/>
    </row>
    <row r="9601" spans="2:2">
      <c r="B9601" s="24"/>
    </row>
    <row r="9602" spans="2:2">
      <c r="B9602" s="24"/>
    </row>
    <row r="9603" spans="2:2">
      <c r="B9603" s="24"/>
    </row>
    <row r="9604" spans="2:2">
      <c r="B9604" s="24"/>
    </row>
    <row r="9605" spans="2:2">
      <c r="B9605" s="24"/>
    </row>
    <row r="9606" spans="2:2">
      <c r="B9606" s="24"/>
    </row>
    <row r="9607" spans="2:2">
      <c r="B9607" s="24"/>
    </row>
    <row r="9608" spans="2:2">
      <c r="B9608" s="24"/>
    </row>
    <row r="9609" spans="2:2">
      <c r="B9609" s="24"/>
    </row>
    <row r="9610" spans="2:2">
      <c r="B9610" s="24"/>
    </row>
    <row r="9611" spans="2:2">
      <c r="B9611" s="24"/>
    </row>
    <row r="9612" spans="2:2">
      <c r="B9612" s="24"/>
    </row>
    <row r="9613" spans="2:2">
      <c r="B9613" s="24"/>
    </row>
    <row r="9614" spans="2:2">
      <c r="B9614" s="24"/>
    </row>
    <row r="9615" spans="2:2">
      <c r="B9615" s="24"/>
    </row>
    <row r="9616" spans="2:2">
      <c r="B9616" s="24"/>
    </row>
    <row r="9617" spans="2:2">
      <c r="B9617" s="24"/>
    </row>
    <row r="9618" spans="2:2">
      <c r="B9618" s="24"/>
    </row>
    <row r="9619" spans="2:2">
      <c r="B9619" s="24"/>
    </row>
    <row r="9620" spans="2:2">
      <c r="B9620" s="24"/>
    </row>
    <row r="9621" spans="2:2">
      <c r="B9621" s="24"/>
    </row>
    <row r="9622" spans="2:2">
      <c r="B9622" s="24"/>
    </row>
    <row r="9623" spans="2:2">
      <c r="B9623" s="24"/>
    </row>
    <row r="9624" spans="2:2">
      <c r="B9624" s="24"/>
    </row>
    <row r="9625" spans="2:2">
      <c r="B9625" s="24"/>
    </row>
    <row r="9626" spans="2:2">
      <c r="B9626" s="24"/>
    </row>
    <row r="9627" spans="2:2">
      <c r="B9627" s="24"/>
    </row>
    <row r="9628" spans="2:2">
      <c r="B9628" s="24"/>
    </row>
    <row r="9629" spans="2:2">
      <c r="B9629" s="24"/>
    </row>
    <row r="9630" spans="2:2">
      <c r="B9630" s="24"/>
    </row>
    <row r="9631" spans="2:2">
      <c r="B9631" s="24"/>
    </row>
    <row r="9632" spans="2:2">
      <c r="B9632" s="24"/>
    </row>
    <row r="9633" spans="2:2">
      <c r="B9633" s="24"/>
    </row>
    <row r="9634" spans="2:2">
      <c r="B9634" s="24"/>
    </row>
    <row r="9635" spans="2:2">
      <c r="B9635" s="24"/>
    </row>
    <row r="9636" spans="2:2">
      <c r="B9636" s="24"/>
    </row>
    <row r="9637" spans="2:2">
      <c r="B9637" s="24"/>
    </row>
    <row r="9638" spans="2:2">
      <c r="B9638" s="24"/>
    </row>
    <row r="9639" spans="2:2">
      <c r="B9639" s="24"/>
    </row>
    <row r="9640" spans="2:2">
      <c r="B9640" s="24"/>
    </row>
    <row r="9641" spans="2:2">
      <c r="B9641" s="24"/>
    </row>
    <row r="9642" spans="2:2">
      <c r="B9642" s="24"/>
    </row>
    <row r="9643" spans="2:2">
      <c r="B9643" s="24"/>
    </row>
    <row r="9644" spans="2:2">
      <c r="B9644" s="24"/>
    </row>
    <row r="9645" spans="2:2">
      <c r="B9645" s="24"/>
    </row>
    <row r="9646" spans="2:2">
      <c r="B9646" s="24"/>
    </row>
    <row r="9647" spans="2:2">
      <c r="B9647" s="24"/>
    </row>
    <row r="9648" spans="2:2">
      <c r="B9648" s="24"/>
    </row>
    <row r="9649" spans="2:2">
      <c r="B9649" s="24"/>
    </row>
    <row r="9650" spans="2:2">
      <c r="B9650" s="24"/>
    </row>
    <row r="9651" spans="2:2">
      <c r="B9651" s="24"/>
    </row>
    <row r="9652" spans="2:2">
      <c r="B9652" s="24"/>
    </row>
    <row r="9653" spans="2:2">
      <c r="B9653" s="24"/>
    </row>
    <row r="9654" spans="2:2">
      <c r="B9654" s="24"/>
    </row>
    <row r="9655" spans="2:2">
      <c r="B9655" s="24"/>
    </row>
    <row r="9656" spans="2:2">
      <c r="B9656" s="24"/>
    </row>
    <row r="9657" spans="2:2">
      <c r="B9657" s="24"/>
    </row>
    <row r="9658" spans="2:2">
      <c r="B9658" s="24"/>
    </row>
    <row r="9659" spans="2:2">
      <c r="B9659" s="24"/>
    </row>
    <row r="9660" spans="2:2">
      <c r="B9660" s="24"/>
    </row>
    <row r="9661" spans="2:2">
      <c r="B9661" s="24"/>
    </row>
    <row r="9662" spans="2:2">
      <c r="B9662" s="24"/>
    </row>
    <row r="9663" spans="2:2">
      <c r="B9663" s="24"/>
    </row>
    <row r="9664" spans="2:2">
      <c r="B9664" s="24"/>
    </row>
    <row r="9665" spans="2:2">
      <c r="B9665" s="24"/>
    </row>
    <row r="9666" spans="2:2">
      <c r="B9666" s="24"/>
    </row>
    <row r="9667" spans="2:2">
      <c r="B9667" s="24"/>
    </row>
    <row r="9668" spans="2:2">
      <c r="B9668" s="24"/>
    </row>
    <row r="9669" spans="2:2">
      <c r="B9669" s="24"/>
    </row>
    <row r="9670" spans="2:2">
      <c r="B9670" s="24"/>
    </row>
    <row r="9671" spans="2:2">
      <c r="B9671" s="24"/>
    </row>
    <row r="9672" spans="2:2">
      <c r="B9672" s="24"/>
    </row>
    <row r="9673" spans="2:2">
      <c r="B9673" s="24"/>
    </row>
    <row r="9674" spans="2:2">
      <c r="B9674" s="24"/>
    </row>
    <row r="9675" spans="2:2">
      <c r="B9675" s="24"/>
    </row>
    <row r="9676" spans="2:2">
      <c r="B9676" s="24"/>
    </row>
    <row r="9677" spans="2:2">
      <c r="B9677" s="24"/>
    </row>
    <row r="9678" spans="2:2">
      <c r="B9678" s="24"/>
    </row>
    <row r="9679" spans="2:2">
      <c r="B9679" s="24"/>
    </row>
    <row r="9680" spans="2:2">
      <c r="B9680" s="24"/>
    </row>
    <row r="9681" spans="2:2">
      <c r="B9681" s="24"/>
    </row>
    <row r="9682" spans="2:2">
      <c r="B9682" s="24"/>
    </row>
    <row r="9683" spans="2:2">
      <c r="B9683" s="24"/>
    </row>
    <row r="9684" spans="2:2">
      <c r="B9684" s="24"/>
    </row>
    <row r="9685" spans="2:2">
      <c r="B9685" s="24"/>
    </row>
    <row r="9686" spans="2:2">
      <c r="B9686" s="24"/>
    </row>
    <row r="9687" spans="2:2">
      <c r="B9687" s="24"/>
    </row>
    <row r="9688" spans="2:2">
      <c r="B9688" s="24"/>
    </row>
    <row r="9689" spans="2:2">
      <c r="B9689" s="24"/>
    </row>
    <row r="9690" spans="2:2">
      <c r="B9690" s="24"/>
    </row>
    <row r="9691" spans="2:2">
      <c r="B9691" s="24"/>
    </row>
    <row r="9692" spans="2:2">
      <c r="B9692" s="24"/>
    </row>
    <row r="9693" spans="2:2">
      <c r="B9693" s="24"/>
    </row>
    <row r="9694" spans="2:2">
      <c r="B9694" s="24"/>
    </row>
    <row r="9695" spans="2:2">
      <c r="B9695" s="24"/>
    </row>
    <row r="9696" spans="2:2">
      <c r="B9696" s="24"/>
    </row>
    <row r="9697" spans="2:2">
      <c r="B9697" s="24"/>
    </row>
    <row r="9698" spans="2:2">
      <c r="B9698" s="24"/>
    </row>
    <row r="9699" spans="2:2">
      <c r="B9699" s="24"/>
    </row>
    <row r="9700" spans="2:2">
      <c r="B9700" s="24"/>
    </row>
    <row r="9701" spans="2:2">
      <c r="B9701" s="24"/>
    </row>
    <row r="9702" spans="2:2">
      <c r="B9702" s="24"/>
    </row>
    <row r="9703" spans="2:2">
      <c r="B9703" s="24"/>
    </row>
    <row r="9704" spans="2:2">
      <c r="B9704" s="24"/>
    </row>
    <row r="9705" spans="2:2">
      <c r="B9705" s="24"/>
    </row>
    <row r="9706" spans="2:2">
      <c r="B9706" s="24"/>
    </row>
    <row r="9707" spans="2:2">
      <c r="B9707" s="24"/>
    </row>
    <row r="9708" spans="2:2">
      <c r="B9708" s="24"/>
    </row>
    <row r="9709" spans="2:2">
      <c r="B9709" s="24"/>
    </row>
    <row r="9710" spans="2:2">
      <c r="B9710" s="24"/>
    </row>
    <row r="9711" spans="2:2">
      <c r="B9711" s="24"/>
    </row>
    <row r="9712" spans="2:2">
      <c r="B9712" s="24"/>
    </row>
    <row r="9713" spans="2:2">
      <c r="B9713" s="24"/>
    </row>
    <row r="9714" spans="2:2">
      <c r="B9714" s="24"/>
    </row>
    <row r="9715" spans="2:2">
      <c r="B9715" s="24"/>
    </row>
    <row r="9716" spans="2:2">
      <c r="B9716" s="24"/>
    </row>
    <row r="9717" spans="2:2">
      <c r="B9717" s="24"/>
    </row>
    <row r="9718" spans="2:2">
      <c r="B9718" s="24"/>
    </row>
    <row r="9719" spans="2:2">
      <c r="B9719" s="24"/>
    </row>
    <row r="9720" spans="2:2">
      <c r="B9720" s="24"/>
    </row>
    <row r="9721" spans="2:2">
      <c r="B9721" s="24"/>
    </row>
    <row r="9722" spans="2:2">
      <c r="B9722" s="24"/>
    </row>
    <row r="9723" spans="2:2">
      <c r="B9723" s="24"/>
    </row>
    <row r="9724" spans="2:2">
      <c r="B9724" s="24"/>
    </row>
    <row r="9725" spans="2:2">
      <c r="B9725" s="24"/>
    </row>
    <row r="9726" spans="2:2">
      <c r="B9726" s="24"/>
    </row>
    <row r="9727" spans="2:2">
      <c r="B9727" s="24"/>
    </row>
    <row r="9728" spans="2:2">
      <c r="B9728" s="24"/>
    </row>
    <row r="9729" spans="2:2">
      <c r="B9729" s="24"/>
    </row>
    <row r="9730" spans="2:2">
      <c r="B9730" s="24"/>
    </row>
    <row r="9731" spans="2:2">
      <c r="B9731" s="24"/>
    </row>
    <row r="9732" spans="2:2">
      <c r="B9732" s="24"/>
    </row>
    <row r="9733" spans="2:2">
      <c r="B9733" s="24"/>
    </row>
    <row r="9734" spans="2:2">
      <c r="B9734" s="24"/>
    </row>
    <row r="9735" spans="2:2">
      <c r="B9735" s="24"/>
    </row>
    <row r="9736" spans="2:2">
      <c r="B9736" s="24"/>
    </row>
    <row r="9737" spans="2:2">
      <c r="B9737" s="24"/>
    </row>
    <row r="9738" spans="2:2">
      <c r="B9738" s="24"/>
    </row>
    <row r="9739" spans="2:2">
      <c r="B9739" s="24"/>
    </row>
    <row r="9740" spans="2:2">
      <c r="B9740" s="24"/>
    </row>
    <row r="9741" spans="2:2">
      <c r="B9741" s="24"/>
    </row>
    <row r="9742" spans="2:2">
      <c r="B9742" s="24"/>
    </row>
    <row r="9743" spans="2:2">
      <c r="B9743" s="24"/>
    </row>
    <row r="9744" spans="2:2">
      <c r="B9744" s="24"/>
    </row>
    <row r="9745" spans="2:2">
      <c r="B9745" s="24"/>
    </row>
    <row r="9746" spans="2:2">
      <c r="B9746" s="24"/>
    </row>
    <row r="9747" spans="2:2">
      <c r="B9747" s="24"/>
    </row>
    <row r="9748" spans="2:2">
      <c r="B9748" s="24"/>
    </row>
    <row r="9749" spans="2:2">
      <c r="B9749" s="24"/>
    </row>
    <row r="9750" spans="2:2">
      <c r="B9750" s="24"/>
    </row>
    <row r="9751" spans="2:2">
      <c r="B9751" s="24"/>
    </row>
    <row r="9752" spans="2:2">
      <c r="B9752" s="24"/>
    </row>
    <row r="9753" spans="2:2">
      <c r="B9753" s="24"/>
    </row>
    <row r="9754" spans="2:2">
      <c r="B9754" s="24"/>
    </row>
    <row r="9755" spans="2:2">
      <c r="B9755" s="24"/>
    </row>
    <row r="9756" spans="2:2">
      <c r="B9756" s="24"/>
    </row>
    <row r="9757" spans="2:2">
      <c r="B9757" s="24"/>
    </row>
    <row r="9758" spans="2:2">
      <c r="B9758" s="24"/>
    </row>
    <row r="9759" spans="2:2">
      <c r="B9759" s="24"/>
    </row>
    <row r="9760" spans="2:2">
      <c r="B9760" s="24"/>
    </row>
    <row r="9761" spans="2:2">
      <c r="B9761" s="24"/>
    </row>
    <row r="9762" spans="2:2">
      <c r="B9762" s="24"/>
    </row>
    <row r="9763" spans="2:2">
      <c r="B9763" s="24"/>
    </row>
    <row r="9764" spans="2:2">
      <c r="B9764" s="24"/>
    </row>
    <row r="9765" spans="2:2">
      <c r="B9765" s="24"/>
    </row>
    <row r="9766" spans="2:2">
      <c r="B9766" s="24"/>
    </row>
    <row r="9767" spans="2:2">
      <c r="B9767" s="24"/>
    </row>
    <row r="9768" spans="2:2">
      <c r="B9768" s="24"/>
    </row>
    <row r="9769" spans="2:2">
      <c r="B9769" s="24"/>
    </row>
    <row r="9770" spans="2:2">
      <c r="B9770" s="24"/>
    </row>
    <row r="9771" spans="2:2">
      <c r="B9771" s="24"/>
    </row>
    <row r="9772" spans="2:2">
      <c r="B9772" s="24"/>
    </row>
    <row r="9773" spans="2:2">
      <c r="B9773" s="24"/>
    </row>
    <row r="9774" spans="2:2">
      <c r="B9774" s="24"/>
    </row>
    <row r="9775" spans="2:2">
      <c r="B9775" s="24"/>
    </row>
    <row r="9776" spans="2:2">
      <c r="B9776" s="24"/>
    </row>
    <row r="9777" spans="2:2">
      <c r="B9777" s="24"/>
    </row>
    <row r="9778" spans="2:2">
      <c r="B9778" s="24"/>
    </row>
    <row r="9779" spans="2:2">
      <c r="B9779" s="24"/>
    </row>
    <row r="9780" spans="2:2">
      <c r="B9780" s="24"/>
    </row>
    <row r="9781" spans="2:2">
      <c r="B9781" s="24"/>
    </row>
    <row r="9782" spans="2:2">
      <c r="B9782" s="24"/>
    </row>
    <row r="9783" spans="2:2">
      <c r="B9783" s="24"/>
    </row>
    <row r="9784" spans="2:2">
      <c r="B9784" s="24"/>
    </row>
    <row r="9785" spans="2:2">
      <c r="B9785" s="24"/>
    </row>
    <row r="9786" spans="2:2">
      <c r="B9786" s="24"/>
    </row>
    <row r="9787" spans="2:2">
      <c r="B9787" s="24"/>
    </row>
    <row r="9788" spans="2:2">
      <c r="B9788" s="24"/>
    </row>
    <row r="9789" spans="2:2">
      <c r="B9789" s="24"/>
    </row>
    <row r="9790" spans="2:2">
      <c r="B9790" s="24"/>
    </row>
    <row r="9791" spans="2:2">
      <c r="B9791" s="24"/>
    </row>
    <row r="9792" spans="2:2">
      <c r="B9792" s="24"/>
    </row>
    <row r="9793" spans="2:2">
      <c r="B9793" s="24"/>
    </row>
    <row r="9794" spans="2:2">
      <c r="B9794" s="24"/>
    </row>
    <row r="9795" spans="2:2">
      <c r="B9795" s="24"/>
    </row>
    <row r="9796" spans="2:2">
      <c r="B9796" s="24"/>
    </row>
    <row r="9797" spans="2:2">
      <c r="B9797" s="24"/>
    </row>
    <row r="9798" spans="2:2">
      <c r="B9798" s="24"/>
    </row>
    <row r="9799" spans="2:2">
      <c r="B9799" s="24"/>
    </row>
    <row r="9800" spans="2:2">
      <c r="B9800" s="24"/>
    </row>
    <row r="9801" spans="2:2">
      <c r="B9801" s="24"/>
    </row>
    <row r="9802" spans="2:2">
      <c r="B9802" s="24"/>
    </row>
    <row r="9803" spans="2:2">
      <c r="B9803" s="24"/>
    </row>
    <row r="9804" spans="2:2">
      <c r="B9804" s="24"/>
    </row>
    <row r="9805" spans="2:2">
      <c r="B9805" s="24"/>
    </row>
    <row r="9806" spans="2:2">
      <c r="B9806" s="24"/>
    </row>
    <row r="9807" spans="2:2">
      <c r="B9807" s="24"/>
    </row>
    <row r="9808" spans="2:2">
      <c r="B9808" s="24"/>
    </row>
    <row r="9809" spans="2:2">
      <c r="B9809" s="24"/>
    </row>
    <row r="9810" spans="2:2">
      <c r="B9810" s="24"/>
    </row>
    <row r="9811" spans="2:2">
      <c r="B9811" s="24"/>
    </row>
    <row r="9812" spans="2:2">
      <c r="B9812" s="24"/>
    </row>
    <row r="9813" spans="2:2">
      <c r="B9813" s="24"/>
    </row>
    <row r="9814" spans="2:2">
      <c r="B9814" s="24"/>
    </row>
    <row r="9815" spans="2:2">
      <c r="B9815" s="24"/>
    </row>
    <row r="9816" spans="2:2">
      <c r="B9816" s="24"/>
    </row>
    <row r="9817" spans="2:2">
      <c r="B9817" s="24"/>
    </row>
    <row r="9818" spans="2:2">
      <c r="B9818" s="24"/>
    </row>
    <row r="9819" spans="2:2">
      <c r="B9819" s="24"/>
    </row>
    <row r="9820" spans="2:2">
      <c r="B9820" s="24"/>
    </row>
    <row r="9821" spans="2:2">
      <c r="B9821" s="24"/>
    </row>
    <row r="9822" spans="2:2">
      <c r="B9822" s="24"/>
    </row>
    <row r="9823" spans="2:2">
      <c r="B9823" s="24"/>
    </row>
    <row r="9824" spans="2:2">
      <c r="B9824" s="24"/>
    </row>
    <row r="9825" spans="2:2">
      <c r="B9825" s="24"/>
    </row>
    <row r="9826" spans="2:2">
      <c r="B9826" s="24"/>
    </row>
    <row r="9827" spans="2:2">
      <c r="B9827" s="24"/>
    </row>
    <row r="9828" spans="2:2">
      <c r="B9828" s="24"/>
    </row>
    <row r="9829" spans="2:2">
      <c r="B9829" s="24"/>
    </row>
    <row r="9830" spans="2:2">
      <c r="B9830" s="24"/>
    </row>
    <row r="9831" spans="2:2">
      <c r="B9831" s="24"/>
    </row>
    <row r="9832" spans="2:2">
      <c r="B9832" s="24"/>
    </row>
    <row r="9833" spans="2:2">
      <c r="B9833" s="24"/>
    </row>
    <row r="9834" spans="2:2">
      <c r="B9834" s="24"/>
    </row>
    <row r="9835" spans="2:2">
      <c r="B9835" s="24"/>
    </row>
    <row r="9836" spans="2:2">
      <c r="B9836" s="24"/>
    </row>
    <row r="9837" spans="2:2">
      <c r="B9837" s="24"/>
    </row>
    <row r="9838" spans="2:2">
      <c r="B9838" s="24"/>
    </row>
    <row r="9839" spans="2:2">
      <c r="B9839" s="24"/>
    </row>
    <row r="9840" spans="2:2">
      <c r="B9840" s="24"/>
    </row>
    <row r="9841" spans="2:2">
      <c r="B9841" s="24"/>
    </row>
    <row r="9842" spans="2:2">
      <c r="B9842" s="24"/>
    </row>
    <row r="9843" spans="2:2">
      <c r="B9843" s="24"/>
    </row>
    <row r="9844" spans="2:2">
      <c r="B9844" s="24"/>
    </row>
    <row r="9845" spans="2:2">
      <c r="B9845" s="24"/>
    </row>
    <row r="9846" spans="2:2">
      <c r="B9846" s="24"/>
    </row>
    <row r="9847" spans="2:2">
      <c r="B9847" s="24"/>
    </row>
    <row r="9848" spans="2:2">
      <c r="B9848" s="24"/>
    </row>
    <row r="9849" spans="2:2">
      <c r="B9849" s="24"/>
    </row>
    <row r="9850" spans="2:2">
      <c r="B9850" s="24"/>
    </row>
    <row r="9851" spans="2:2">
      <c r="B9851" s="24"/>
    </row>
    <row r="9852" spans="2:2">
      <c r="B9852" s="24"/>
    </row>
    <row r="9853" spans="2:2">
      <c r="B9853" s="24"/>
    </row>
    <row r="9854" spans="2:2">
      <c r="B9854" s="24"/>
    </row>
    <row r="9855" spans="2:2">
      <c r="B9855" s="24"/>
    </row>
    <row r="9856" spans="2:2">
      <c r="B9856" s="24"/>
    </row>
    <row r="9857" spans="2:2">
      <c r="B9857" s="24"/>
    </row>
    <row r="9858" spans="2:2">
      <c r="B9858" s="24"/>
    </row>
    <row r="9859" spans="2:2">
      <c r="B9859" s="24"/>
    </row>
    <row r="9860" spans="2:2">
      <c r="B9860" s="24"/>
    </row>
    <row r="9861" spans="2:2">
      <c r="B9861" s="24"/>
    </row>
    <row r="9862" spans="2:2">
      <c r="B9862" s="24"/>
    </row>
    <row r="9863" spans="2:2">
      <c r="B9863" s="24"/>
    </row>
    <row r="9864" spans="2:2">
      <c r="B9864" s="24"/>
    </row>
    <row r="9865" spans="2:2">
      <c r="B9865" s="24"/>
    </row>
    <row r="9866" spans="2:2">
      <c r="B9866" s="24"/>
    </row>
    <row r="9867" spans="2:2">
      <c r="B9867" s="24"/>
    </row>
    <row r="9868" spans="2:2">
      <c r="B9868" s="24"/>
    </row>
    <row r="9869" spans="2:2">
      <c r="B9869" s="24"/>
    </row>
    <row r="9870" spans="2:2">
      <c r="B9870" s="24"/>
    </row>
    <row r="9871" spans="2:2">
      <c r="B9871" s="24"/>
    </row>
    <row r="9872" spans="2:2">
      <c r="B9872" s="24"/>
    </row>
    <row r="9873" spans="2:2">
      <c r="B9873" s="24"/>
    </row>
    <row r="9874" spans="2:2">
      <c r="B9874" s="24"/>
    </row>
    <row r="9875" spans="2:2">
      <c r="B9875" s="24"/>
    </row>
    <row r="9876" spans="2:2">
      <c r="B9876" s="24"/>
    </row>
    <row r="9877" spans="2:2">
      <c r="B9877" s="24"/>
    </row>
    <row r="9878" spans="2:2">
      <c r="B9878" s="24"/>
    </row>
    <row r="9879" spans="2:2">
      <c r="B9879" s="24"/>
    </row>
    <row r="9880" spans="2:2">
      <c r="B9880" s="24"/>
    </row>
    <row r="9881" spans="2:2">
      <c r="B9881" s="24"/>
    </row>
    <row r="9882" spans="2:2">
      <c r="B9882" s="24"/>
    </row>
    <row r="9883" spans="2:2">
      <c r="B9883" s="24"/>
    </row>
    <row r="9884" spans="2:2">
      <c r="B9884" s="24"/>
    </row>
    <row r="9885" spans="2:2">
      <c r="B9885" s="24"/>
    </row>
    <row r="9886" spans="2:2">
      <c r="B9886" s="24"/>
    </row>
    <row r="9887" spans="2:2">
      <c r="B9887" s="24"/>
    </row>
    <row r="9888" spans="2:2">
      <c r="B9888" s="24"/>
    </row>
    <row r="9889" spans="2:2">
      <c r="B9889" s="24"/>
    </row>
    <row r="9890" spans="2:2">
      <c r="B9890" s="24"/>
    </row>
    <row r="9891" spans="2:2">
      <c r="B9891" s="24"/>
    </row>
    <row r="9892" spans="2:2">
      <c r="B9892" s="24"/>
    </row>
    <row r="9893" spans="2:2">
      <c r="B9893" s="24"/>
    </row>
    <row r="9894" spans="2:2">
      <c r="B9894" s="24"/>
    </row>
    <row r="9895" spans="2:2">
      <c r="B9895" s="24"/>
    </row>
    <row r="9896" spans="2:2">
      <c r="B9896" s="24"/>
    </row>
    <row r="9897" spans="2:2">
      <c r="B9897" s="24"/>
    </row>
    <row r="9898" spans="2:2">
      <c r="B9898" s="24"/>
    </row>
    <row r="9899" spans="2:2">
      <c r="B9899" s="24"/>
    </row>
    <row r="9900" spans="2:2">
      <c r="B9900" s="24"/>
    </row>
    <row r="9901" spans="2:2">
      <c r="B9901" s="24"/>
    </row>
    <row r="9902" spans="2:2">
      <c r="B9902" s="24"/>
    </row>
    <row r="9903" spans="2:2">
      <c r="B9903" s="24"/>
    </row>
    <row r="9904" spans="2:2">
      <c r="B9904" s="24"/>
    </row>
    <row r="9905" spans="2:2">
      <c r="B9905" s="24"/>
    </row>
    <row r="9906" spans="2:2">
      <c r="B9906" s="24"/>
    </row>
    <row r="9907" spans="2:2">
      <c r="B9907" s="24"/>
    </row>
    <row r="9908" spans="2:2">
      <c r="B9908" s="24"/>
    </row>
    <row r="9909" spans="2:2">
      <c r="B9909" s="24"/>
    </row>
    <row r="9910" spans="2:2">
      <c r="B9910" s="24"/>
    </row>
    <row r="9911" spans="2:2">
      <c r="B9911" s="24"/>
    </row>
    <row r="9912" spans="2:2">
      <c r="B9912" s="24"/>
    </row>
    <row r="9913" spans="2:2">
      <c r="B9913" s="24"/>
    </row>
    <row r="9914" spans="2:2">
      <c r="B9914" s="24"/>
    </row>
    <row r="9915" spans="2:2">
      <c r="B9915" s="24"/>
    </row>
    <row r="9916" spans="2:2">
      <c r="B9916" s="24"/>
    </row>
    <row r="9917" spans="2:2">
      <c r="B9917" s="24"/>
    </row>
    <row r="9918" spans="2:2">
      <c r="B9918" s="24"/>
    </row>
    <row r="9919" spans="2:2">
      <c r="B9919" s="24"/>
    </row>
    <row r="9920" spans="2:2">
      <c r="B9920" s="24"/>
    </row>
    <row r="9921" spans="2:2">
      <c r="B9921" s="24"/>
    </row>
    <row r="9922" spans="2:2">
      <c r="B9922" s="24"/>
    </row>
    <row r="9923" spans="2:2">
      <c r="B9923" s="24"/>
    </row>
    <row r="9924" spans="2:2">
      <c r="B9924" s="24"/>
    </row>
    <row r="9925" spans="2:2">
      <c r="B9925" s="24"/>
    </row>
    <row r="9926" spans="2:2">
      <c r="B9926" s="24"/>
    </row>
    <row r="9927" spans="2:2">
      <c r="B9927" s="24"/>
    </row>
    <row r="9928" spans="2:2">
      <c r="B9928" s="24"/>
    </row>
    <row r="9929" spans="2:2">
      <c r="B9929" s="24"/>
    </row>
    <row r="9930" spans="2:2">
      <c r="B9930" s="24"/>
    </row>
    <row r="9931" spans="2:2">
      <c r="B9931" s="24"/>
    </row>
    <row r="9932" spans="2:2">
      <c r="B9932" s="24"/>
    </row>
    <row r="9933" spans="2:2">
      <c r="B9933" s="24"/>
    </row>
    <row r="9934" spans="2:2">
      <c r="B9934" s="24"/>
    </row>
    <row r="9935" spans="2:2">
      <c r="B9935" s="24"/>
    </row>
    <row r="9936" spans="2:2">
      <c r="B9936" s="24"/>
    </row>
    <row r="9937" spans="2:2">
      <c r="B9937" s="24"/>
    </row>
    <row r="9938" spans="2:2">
      <c r="B9938" s="24"/>
    </row>
    <row r="9939" spans="2:2">
      <c r="B9939" s="24"/>
    </row>
    <row r="9940" spans="2:2">
      <c r="B9940" s="24"/>
    </row>
    <row r="9941" spans="2:2">
      <c r="B9941" s="24"/>
    </row>
    <row r="9942" spans="2:2">
      <c r="B9942" s="24"/>
    </row>
    <row r="9943" spans="2:2">
      <c r="B9943" s="24"/>
    </row>
    <row r="9944" spans="2:2">
      <c r="B9944" s="24"/>
    </row>
    <row r="9945" spans="2:2">
      <c r="B9945" s="24"/>
    </row>
    <row r="9946" spans="2:2">
      <c r="B9946" s="24"/>
    </row>
    <row r="9947" spans="2:2">
      <c r="B9947" s="24"/>
    </row>
    <row r="9948" spans="2:2">
      <c r="B9948" s="24"/>
    </row>
    <row r="9949" spans="2:2">
      <c r="B9949" s="24"/>
    </row>
    <row r="9950" spans="2:2">
      <c r="B9950" s="24"/>
    </row>
    <row r="9951" spans="2:2">
      <c r="B9951" s="24"/>
    </row>
    <row r="9952" spans="2:2">
      <c r="B9952" s="24"/>
    </row>
    <row r="9953" spans="2:2">
      <c r="B9953" s="24"/>
    </row>
    <row r="9954" spans="2:2">
      <c r="B9954" s="24"/>
    </row>
    <row r="9955" spans="2:2">
      <c r="B9955" s="24"/>
    </row>
    <row r="9956" spans="2:2">
      <c r="B9956" s="24"/>
    </row>
    <row r="9957" spans="2:2">
      <c r="B9957" s="24"/>
    </row>
    <row r="9958" spans="2:2">
      <c r="B9958" s="24"/>
    </row>
    <row r="9959" spans="2:2">
      <c r="B9959" s="24"/>
    </row>
    <row r="9960" spans="2:2">
      <c r="B9960" s="24"/>
    </row>
    <row r="9961" spans="2:2">
      <c r="B9961" s="24"/>
    </row>
    <row r="9962" spans="2:2">
      <c r="B9962" s="24"/>
    </row>
    <row r="9963" spans="2:2">
      <c r="B9963" s="24"/>
    </row>
    <row r="9964" spans="2:2">
      <c r="B9964" s="24"/>
    </row>
    <row r="9965" spans="2:2">
      <c r="B9965" s="24"/>
    </row>
    <row r="9966" spans="2:2">
      <c r="B9966" s="24"/>
    </row>
    <row r="9967" spans="2:2">
      <c r="B9967" s="24"/>
    </row>
    <row r="9968" spans="2:2">
      <c r="B9968" s="24"/>
    </row>
    <row r="9969" spans="2:2">
      <c r="B9969" s="24"/>
    </row>
    <row r="9970" spans="2:2">
      <c r="B9970" s="24"/>
    </row>
    <row r="9971" spans="2:2">
      <c r="B9971" s="24"/>
    </row>
    <row r="9972" spans="2:2">
      <c r="B9972" s="24"/>
    </row>
    <row r="9973" spans="2:2">
      <c r="B9973" s="24"/>
    </row>
    <row r="9974" spans="2:2">
      <c r="B9974" s="24"/>
    </row>
    <row r="9975" spans="2:2">
      <c r="B9975" s="24"/>
    </row>
    <row r="9976" spans="2:2">
      <c r="B9976" s="24"/>
    </row>
    <row r="9977" spans="2:2">
      <c r="B9977" s="24"/>
    </row>
    <row r="9978" spans="2:2">
      <c r="B9978" s="24"/>
    </row>
    <row r="9979" spans="2:2">
      <c r="B9979" s="24"/>
    </row>
    <row r="9980" spans="2:2">
      <c r="B9980" s="24"/>
    </row>
    <row r="9981" spans="2:2">
      <c r="B9981" s="24"/>
    </row>
    <row r="9982" spans="2:2">
      <c r="B9982" s="24"/>
    </row>
    <row r="9983" spans="2:2">
      <c r="B9983" s="24"/>
    </row>
    <row r="9984" spans="2:2">
      <c r="B9984" s="24"/>
    </row>
    <row r="9985" spans="2:2">
      <c r="B9985" s="24"/>
    </row>
    <row r="9986" spans="2:2">
      <c r="B9986" s="24"/>
    </row>
    <row r="9987" spans="2:2">
      <c r="B9987" s="24"/>
    </row>
    <row r="9988" spans="2:2">
      <c r="B9988" s="24"/>
    </row>
    <row r="9989" spans="2:2">
      <c r="B9989" s="24"/>
    </row>
    <row r="9990" spans="2:2">
      <c r="B9990" s="24"/>
    </row>
    <row r="9991" spans="2:2">
      <c r="B9991" s="24"/>
    </row>
    <row r="9992" spans="2:2">
      <c r="B9992" s="24"/>
    </row>
    <row r="9993" spans="2:2">
      <c r="B9993" s="24"/>
    </row>
    <row r="9994" spans="2:2">
      <c r="B9994" s="24"/>
    </row>
    <row r="9995" spans="2:2">
      <c r="B9995" s="24"/>
    </row>
    <row r="9996" spans="2:2">
      <c r="B9996" s="24"/>
    </row>
    <row r="9997" spans="2:2">
      <c r="B9997" s="24"/>
    </row>
    <row r="9998" spans="2:2">
      <c r="B9998" s="24"/>
    </row>
    <row r="9999" spans="2:2">
      <c r="B9999" s="24"/>
    </row>
    <row r="10000" spans="2:2">
      <c r="B10000" s="24"/>
    </row>
    <row r="10001" spans="2:2">
      <c r="B10001" s="24"/>
    </row>
    <row r="10002" spans="2:2">
      <c r="B10002" s="24"/>
    </row>
    <row r="10003" spans="2:2">
      <c r="B10003" s="24"/>
    </row>
    <row r="10004" spans="2:2">
      <c r="B10004" s="24"/>
    </row>
    <row r="10005" spans="2:2">
      <c r="B10005" s="24"/>
    </row>
    <row r="10006" spans="2:2">
      <c r="B10006" s="24"/>
    </row>
    <row r="10007" spans="2:2">
      <c r="B10007" s="24"/>
    </row>
    <row r="10008" spans="2:2">
      <c r="B10008" s="24"/>
    </row>
    <row r="10009" spans="2:2">
      <c r="B10009" s="24"/>
    </row>
    <row r="10010" spans="2:2">
      <c r="B10010" s="24"/>
    </row>
    <row r="10011" spans="2:2">
      <c r="B10011" s="24"/>
    </row>
    <row r="10012" spans="2:2">
      <c r="B10012" s="24"/>
    </row>
    <row r="10013" spans="2:2">
      <c r="B10013" s="24"/>
    </row>
    <row r="10014" spans="2:2">
      <c r="B10014" s="24"/>
    </row>
    <row r="10015" spans="2:2">
      <c r="B10015" s="24"/>
    </row>
    <row r="10016" spans="2:2">
      <c r="B10016" s="24"/>
    </row>
    <row r="10017" spans="2:2">
      <c r="B10017" s="24"/>
    </row>
    <row r="10018" spans="2:2">
      <c r="B10018" s="24"/>
    </row>
    <row r="10019" spans="2:2">
      <c r="B10019" s="24"/>
    </row>
    <row r="10020" spans="2:2">
      <c r="B10020" s="24"/>
    </row>
    <row r="10021" spans="2:2">
      <c r="B10021" s="24"/>
    </row>
    <row r="10022" spans="2:2">
      <c r="B10022" s="24"/>
    </row>
    <row r="10023" spans="2:2">
      <c r="B10023" s="24"/>
    </row>
    <row r="10024" spans="2:2">
      <c r="B10024" s="24"/>
    </row>
    <row r="10025" spans="2:2">
      <c r="B10025" s="24"/>
    </row>
    <row r="10026" spans="2:2">
      <c r="B10026" s="24"/>
    </row>
    <row r="10027" spans="2:2">
      <c r="B10027" s="24"/>
    </row>
    <row r="10028" spans="2:2">
      <c r="B10028" s="24"/>
    </row>
    <row r="10029" spans="2:2">
      <c r="B10029" s="24"/>
    </row>
    <row r="10030" spans="2:2">
      <c r="B10030" s="24"/>
    </row>
    <row r="10031" spans="2:2">
      <c r="B10031" s="24"/>
    </row>
    <row r="10032" spans="2:2">
      <c r="B10032" s="24"/>
    </row>
    <row r="10033" spans="2:2">
      <c r="B10033" s="24"/>
    </row>
    <row r="10034" spans="2:2">
      <c r="B10034" s="24"/>
    </row>
    <row r="10035" spans="2:2">
      <c r="B10035" s="24"/>
    </row>
    <row r="10036" spans="2:2">
      <c r="B10036" s="24"/>
    </row>
    <row r="10037" spans="2:2">
      <c r="B10037" s="24"/>
    </row>
    <row r="10038" spans="2:2">
      <c r="B10038" s="24"/>
    </row>
    <row r="10039" spans="2:2">
      <c r="B10039" s="24"/>
    </row>
    <row r="10040" spans="2:2">
      <c r="B10040" s="24"/>
    </row>
    <row r="10041" spans="2:2">
      <c r="B10041" s="24"/>
    </row>
    <row r="10042" spans="2:2">
      <c r="B10042" s="24"/>
    </row>
    <row r="10043" spans="2:2">
      <c r="B10043" s="24"/>
    </row>
    <row r="10044" spans="2:2">
      <c r="B10044" s="24"/>
    </row>
    <row r="10045" spans="2:2">
      <c r="B10045" s="24"/>
    </row>
    <row r="10046" spans="2:2">
      <c r="B10046" s="24"/>
    </row>
    <row r="10047" spans="2:2">
      <c r="B10047" s="24"/>
    </row>
    <row r="10048" spans="2:2">
      <c r="B10048" s="24"/>
    </row>
    <row r="10049" spans="2:2">
      <c r="B10049" s="24"/>
    </row>
    <row r="10050" spans="2:2">
      <c r="B10050" s="24"/>
    </row>
    <row r="10051" spans="2:2">
      <c r="B10051" s="24"/>
    </row>
    <row r="10052" spans="2:2">
      <c r="B10052" s="24"/>
    </row>
    <row r="10053" spans="2:2">
      <c r="B10053" s="24"/>
    </row>
    <row r="10054" spans="2:2">
      <c r="B10054" s="24"/>
    </row>
    <row r="10055" spans="2:2">
      <c r="B10055" s="24"/>
    </row>
    <row r="10056" spans="2:2">
      <c r="B10056" s="24"/>
    </row>
    <row r="10057" spans="2:2">
      <c r="B10057" s="24"/>
    </row>
    <row r="10058" spans="2:2">
      <c r="B10058" s="24"/>
    </row>
    <row r="10059" spans="2:2">
      <c r="B10059" s="24"/>
    </row>
    <row r="10060" spans="2:2">
      <c r="B10060" s="24"/>
    </row>
    <row r="10061" spans="2:2">
      <c r="B10061" s="24"/>
    </row>
    <row r="10062" spans="2:2">
      <c r="B10062" s="24"/>
    </row>
    <row r="10063" spans="2:2">
      <c r="B10063" s="24"/>
    </row>
    <row r="10064" spans="2:2">
      <c r="B10064" s="24"/>
    </row>
    <row r="10065" spans="2:2">
      <c r="B10065" s="24"/>
    </row>
    <row r="10066" spans="2:2">
      <c r="B10066" s="24"/>
    </row>
    <row r="10067" spans="2:2">
      <c r="B10067" s="24"/>
    </row>
    <row r="10068" spans="2:2">
      <c r="B10068" s="24"/>
    </row>
    <row r="10069" spans="2:2">
      <c r="B10069" s="24"/>
    </row>
    <row r="10070" spans="2:2">
      <c r="B10070" s="24"/>
    </row>
    <row r="10071" spans="2:2">
      <c r="B10071" s="24"/>
    </row>
    <row r="10072" spans="2:2">
      <c r="B10072" s="24"/>
    </row>
    <row r="10073" spans="2:2">
      <c r="B10073" s="24"/>
    </row>
    <row r="10074" spans="2:2">
      <c r="B10074" s="24"/>
    </row>
    <row r="10075" spans="2:2">
      <c r="B10075" s="24"/>
    </row>
    <row r="10076" spans="2:2">
      <c r="B10076" s="24"/>
    </row>
    <row r="10077" spans="2:2">
      <c r="B10077" s="24"/>
    </row>
    <row r="10078" spans="2:2">
      <c r="B10078" s="24"/>
    </row>
    <row r="10079" spans="2:2">
      <c r="B10079" s="24"/>
    </row>
    <row r="10080" spans="2:2">
      <c r="B10080" s="24"/>
    </row>
    <row r="10081" spans="2:2">
      <c r="B10081" s="24"/>
    </row>
    <row r="10082" spans="2:2">
      <c r="B10082" s="24"/>
    </row>
    <row r="10083" spans="2:2">
      <c r="B10083" s="24"/>
    </row>
    <row r="10084" spans="2:2">
      <c r="B10084" s="24"/>
    </row>
    <row r="10085" spans="2:2">
      <c r="B10085" s="24"/>
    </row>
    <row r="10086" spans="2:2">
      <c r="B10086" s="24"/>
    </row>
    <row r="10087" spans="2:2">
      <c r="B10087" s="24"/>
    </row>
    <row r="10088" spans="2:2">
      <c r="B10088" s="24"/>
    </row>
    <row r="10089" spans="2:2">
      <c r="B10089" s="24"/>
    </row>
    <row r="10090" spans="2:2">
      <c r="B10090" s="24"/>
    </row>
    <row r="10091" spans="2:2">
      <c r="B10091" s="24"/>
    </row>
    <row r="10092" spans="2:2">
      <c r="B10092" s="24"/>
    </row>
    <row r="10093" spans="2:2">
      <c r="B10093" s="24"/>
    </row>
    <row r="10094" spans="2:2">
      <c r="B10094" s="24"/>
    </row>
    <row r="10095" spans="2:2">
      <c r="B10095" s="24"/>
    </row>
    <row r="10096" spans="2:2">
      <c r="B10096" s="24"/>
    </row>
    <row r="10097" spans="2:2">
      <c r="B10097" s="24"/>
    </row>
    <row r="10098" spans="2:2">
      <c r="B10098" s="24"/>
    </row>
    <row r="10099" spans="2:2">
      <c r="B10099" s="24"/>
    </row>
    <row r="10100" spans="2:2">
      <c r="B10100" s="24"/>
    </row>
    <row r="10101" spans="2:2">
      <c r="B10101" s="24"/>
    </row>
    <row r="10102" spans="2:2">
      <c r="B10102" s="24"/>
    </row>
    <row r="10103" spans="2:2">
      <c r="B10103" s="24"/>
    </row>
    <row r="10104" spans="2:2">
      <c r="B10104" s="24"/>
    </row>
    <row r="10105" spans="2:2">
      <c r="B10105" s="24"/>
    </row>
    <row r="10106" spans="2:2">
      <c r="B10106" s="24"/>
    </row>
    <row r="10107" spans="2:2">
      <c r="B10107" s="24"/>
    </row>
    <row r="10108" spans="2:2">
      <c r="B10108" s="24"/>
    </row>
    <row r="10109" spans="2:2">
      <c r="B10109" s="24"/>
    </row>
    <row r="10110" spans="2:2">
      <c r="B10110" s="24"/>
    </row>
    <row r="10111" spans="2:2">
      <c r="B10111" s="24"/>
    </row>
    <row r="10112" spans="2:2">
      <c r="B10112" s="24"/>
    </row>
    <row r="10113" spans="2:2">
      <c r="B10113" s="24"/>
    </row>
    <row r="10114" spans="2:2">
      <c r="B10114" s="24"/>
    </row>
    <row r="10115" spans="2:2">
      <c r="B10115" s="24"/>
    </row>
    <row r="10116" spans="2:2">
      <c r="B10116" s="24"/>
    </row>
    <row r="10117" spans="2:2">
      <c r="B10117" s="24"/>
    </row>
    <row r="10118" spans="2:2">
      <c r="B10118" s="24"/>
    </row>
    <row r="10119" spans="2:2">
      <c r="B10119" s="24"/>
    </row>
    <row r="10120" spans="2:2">
      <c r="B10120" s="24"/>
    </row>
    <row r="10121" spans="2:2">
      <c r="B10121" s="24"/>
    </row>
    <row r="10122" spans="2:2">
      <c r="B10122" s="24"/>
    </row>
    <row r="10123" spans="2:2">
      <c r="B10123" s="24"/>
    </row>
    <row r="10124" spans="2:2">
      <c r="B10124" s="24"/>
    </row>
    <row r="10125" spans="2:2">
      <c r="B10125" s="24"/>
    </row>
    <row r="10126" spans="2:2">
      <c r="B10126" s="24"/>
    </row>
    <row r="10127" spans="2:2">
      <c r="B10127" s="24"/>
    </row>
    <row r="10128" spans="2:2">
      <c r="B10128" s="24"/>
    </row>
    <row r="10129" spans="2:2">
      <c r="B10129" s="24"/>
    </row>
    <row r="10130" spans="2:2">
      <c r="B10130" s="24"/>
    </row>
    <row r="10131" spans="2:2">
      <c r="B10131" s="24"/>
    </row>
    <row r="10132" spans="2:2">
      <c r="B10132" s="24"/>
    </row>
    <row r="10133" spans="2:2">
      <c r="B10133" s="24"/>
    </row>
    <row r="10134" spans="2:2">
      <c r="B10134" s="24"/>
    </row>
    <row r="10135" spans="2:2">
      <c r="B10135" s="24"/>
    </row>
    <row r="10136" spans="2:2">
      <c r="B10136" s="24"/>
    </row>
    <row r="10137" spans="2:2">
      <c r="B10137" s="24"/>
    </row>
    <row r="10138" spans="2:2">
      <c r="B10138" s="24"/>
    </row>
    <row r="10139" spans="2:2">
      <c r="B10139" s="24"/>
    </row>
    <row r="10140" spans="2:2">
      <c r="B10140" s="24"/>
    </row>
    <row r="10141" spans="2:2">
      <c r="B10141" s="24"/>
    </row>
    <row r="10142" spans="2:2">
      <c r="B10142" s="24"/>
    </row>
    <row r="10143" spans="2:2">
      <c r="B10143" s="24"/>
    </row>
    <row r="10144" spans="2:2">
      <c r="B10144" s="24"/>
    </row>
    <row r="10145" spans="2:2">
      <c r="B10145" s="24"/>
    </row>
    <row r="10146" spans="2:2">
      <c r="B10146" s="24"/>
    </row>
    <row r="10147" spans="2:2">
      <c r="B10147" s="24"/>
    </row>
    <row r="10148" spans="2:2">
      <c r="B10148" s="24"/>
    </row>
    <row r="10149" spans="2:2">
      <c r="B10149" s="24"/>
    </row>
    <row r="10150" spans="2:2">
      <c r="B10150" s="24"/>
    </row>
    <row r="10151" spans="2:2">
      <c r="B10151" s="24"/>
    </row>
    <row r="10152" spans="2:2">
      <c r="B10152" s="24"/>
    </row>
    <row r="10153" spans="2:2">
      <c r="B10153" s="24"/>
    </row>
    <row r="10154" spans="2:2">
      <c r="B10154" s="24"/>
    </row>
    <row r="10155" spans="2:2">
      <c r="B10155" s="24"/>
    </row>
    <row r="10156" spans="2:2">
      <c r="B10156" s="24"/>
    </row>
    <row r="10157" spans="2:2">
      <c r="B10157" s="24"/>
    </row>
    <row r="10158" spans="2:2">
      <c r="B10158" s="24"/>
    </row>
    <row r="10159" spans="2:2">
      <c r="B10159" s="24"/>
    </row>
    <row r="10160" spans="2:2">
      <c r="B10160" s="24"/>
    </row>
    <row r="10161" spans="2:2">
      <c r="B10161" s="24"/>
    </row>
    <row r="10162" spans="2:2">
      <c r="B10162" s="24"/>
    </row>
    <row r="10163" spans="2:2">
      <c r="B10163" s="24"/>
    </row>
    <row r="10164" spans="2:2">
      <c r="B10164" s="24"/>
    </row>
    <row r="10165" spans="2:2">
      <c r="B10165" s="24"/>
    </row>
    <row r="10166" spans="2:2">
      <c r="B10166" s="24"/>
    </row>
    <row r="10167" spans="2:2">
      <c r="B10167" s="24"/>
    </row>
    <row r="10168" spans="2:2">
      <c r="B10168" s="24"/>
    </row>
    <row r="10169" spans="2:2">
      <c r="B10169" s="24"/>
    </row>
    <row r="10170" spans="2:2">
      <c r="B10170" s="24"/>
    </row>
    <row r="10171" spans="2:2">
      <c r="B10171" s="24"/>
    </row>
    <row r="10172" spans="2:2">
      <c r="B10172" s="24"/>
    </row>
    <row r="10173" spans="2:2">
      <c r="B10173" s="24"/>
    </row>
    <row r="10174" spans="2:2">
      <c r="B10174" s="24"/>
    </row>
    <row r="10175" spans="2:2">
      <c r="B10175" s="24"/>
    </row>
    <row r="10176" spans="2:2">
      <c r="B10176" s="24"/>
    </row>
    <row r="10177" spans="2:2">
      <c r="B10177" s="24"/>
    </row>
    <row r="10178" spans="2:2">
      <c r="B10178" s="24"/>
    </row>
    <row r="10179" spans="2:2">
      <c r="B10179" s="24"/>
    </row>
    <row r="10180" spans="2:2">
      <c r="B10180" s="24"/>
    </row>
    <row r="10181" spans="2:2">
      <c r="B10181" s="24"/>
    </row>
    <row r="10182" spans="2:2">
      <c r="B10182" s="24"/>
    </row>
    <row r="10183" spans="2:2">
      <c r="B10183" s="24"/>
    </row>
    <row r="10184" spans="2:2">
      <c r="B10184" s="24"/>
    </row>
    <row r="10185" spans="2:2">
      <c r="B10185" s="24"/>
    </row>
    <row r="10186" spans="2:2">
      <c r="B10186" s="24"/>
    </row>
    <row r="10187" spans="2:2">
      <c r="B10187" s="24"/>
    </row>
    <row r="10188" spans="2:2">
      <c r="B10188" s="24"/>
    </row>
    <row r="10189" spans="2:2">
      <c r="B10189" s="24"/>
    </row>
    <row r="10190" spans="2:2">
      <c r="B10190" s="24"/>
    </row>
    <row r="10191" spans="2:2">
      <c r="B10191" s="24"/>
    </row>
    <row r="10192" spans="2:2">
      <c r="B10192" s="24"/>
    </row>
    <row r="10193" spans="2:2">
      <c r="B10193" s="24"/>
    </row>
    <row r="10194" spans="2:2">
      <c r="B10194" s="24"/>
    </row>
    <row r="10195" spans="2:2">
      <c r="B10195" s="24"/>
    </row>
    <row r="10196" spans="2:2">
      <c r="B10196" s="24"/>
    </row>
    <row r="10197" spans="2:2">
      <c r="B10197" s="24"/>
    </row>
    <row r="10198" spans="2:2">
      <c r="B10198" s="24"/>
    </row>
    <row r="10199" spans="2:2">
      <c r="B10199" s="24"/>
    </row>
    <row r="10200" spans="2:2">
      <c r="B10200" s="24"/>
    </row>
    <row r="10201" spans="2:2">
      <c r="B10201" s="24"/>
    </row>
    <row r="10202" spans="2:2">
      <c r="B10202" s="24"/>
    </row>
    <row r="10203" spans="2:2">
      <c r="B10203" s="24"/>
    </row>
    <row r="10204" spans="2:2">
      <c r="B10204" s="24"/>
    </row>
    <row r="10205" spans="2:2">
      <c r="B10205" s="24"/>
    </row>
    <row r="10206" spans="2:2">
      <c r="B10206" s="24"/>
    </row>
    <row r="10207" spans="2:2">
      <c r="B10207" s="24"/>
    </row>
    <row r="10208" spans="2:2">
      <c r="B10208" s="24"/>
    </row>
    <row r="10209" spans="2:2">
      <c r="B10209" s="24"/>
    </row>
    <row r="10210" spans="2:2">
      <c r="B10210" s="24"/>
    </row>
    <row r="10211" spans="2:2">
      <c r="B10211" s="24"/>
    </row>
    <row r="10212" spans="2:2">
      <c r="B10212" s="24"/>
    </row>
    <row r="10213" spans="2:2">
      <c r="B10213" s="24"/>
    </row>
    <row r="10214" spans="2:2">
      <c r="B10214" s="24"/>
    </row>
    <row r="10215" spans="2:2">
      <c r="B10215" s="24"/>
    </row>
    <row r="10216" spans="2:2">
      <c r="B10216" s="24"/>
    </row>
    <row r="10217" spans="2:2">
      <c r="B10217" s="24"/>
    </row>
    <row r="10218" spans="2:2">
      <c r="B10218" s="24"/>
    </row>
    <row r="10219" spans="2:2">
      <c r="B10219" s="24"/>
    </row>
    <row r="10220" spans="2:2">
      <c r="B10220" s="24"/>
    </row>
    <row r="10221" spans="2:2">
      <c r="B10221" s="24"/>
    </row>
    <row r="10222" spans="2:2">
      <c r="B10222" s="24"/>
    </row>
    <row r="10223" spans="2:2">
      <c r="B10223" s="24"/>
    </row>
    <row r="10224" spans="2:2">
      <c r="B10224" s="24"/>
    </row>
    <row r="10225" spans="2:2">
      <c r="B10225" s="24"/>
    </row>
    <row r="10226" spans="2:2">
      <c r="B10226" s="24"/>
    </row>
    <row r="10227" spans="2:2">
      <c r="B10227" s="24"/>
    </row>
    <row r="10228" spans="2:2">
      <c r="B10228" s="24"/>
    </row>
    <row r="10229" spans="2:2">
      <c r="B10229" s="24"/>
    </row>
    <row r="10230" spans="2:2">
      <c r="B10230" s="24"/>
    </row>
    <row r="10231" spans="2:2">
      <c r="B10231" s="24"/>
    </row>
    <row r="10232" spans="2:2">
      <c r="B10232" s="24"/>
    </row>
    <row r="10233" spans="2:2">
      <c r="B10233" s="24"/>
    </row>
    <row r="10234" spans="2:2">
      <c r="B10234" s="24"/>
    </row>
    <row r="10235" spans="2:2">
      <c r="B10235" s="24"/>
    </row>
    <row r="10236" spans="2:2">
      <c r="B10236" s="24"/>
    </row>
    <row r="10237" spans="2:2">
      <c r="B10237" s="24"/>
    </row>
    <row r="10238" spans="2:2">
      <c r="B10238" s="24"/>
    </row>
    <row r="10239" spans="2:2">
      <c r="B10239" s="24"/>
    </row>
    <row r="10240" spans="2:2">
      <c r="B10240" s="24"/>
    </row>
    <row r="10241" spans="2:2">
      <c r="B10241" s="24"/>
    </row>
    <row r="10242" spans="2:2">
      <c r="B10242" s="24"/>
    </row>
    <row r="10243" spans="2:2">
      <c r="B10243" s="24"/>
    </row>
    <row r="10244" spans="2:2">
      <c r="B10244" s="24"/>
    </row>
    <row r="10245" spans="2:2">
      <c r="B10245" s="24"/>
    </row>
    <row r="10246" spans="2:2">
      <c r="B10246" s="24"/>
    </row>
    <row r="10247" spans="2:2">
      <c r="B10247" s="24"/>
    </row>
    <row r="10248" spans="2:2">
      <c r="B10248" s="24"/>
    </row>
    <row r="10249" spans="2:2">
      <c r="B10249" s="24"/>
    </row>
    <row r="10250" spans="2:2">
      <c r="B10250" s="24"/>
    </row>
    <row r="10251" spans="2:2">
      <c r="B10251" s="24"/>
    </row>
    <row r="10252" spans="2:2">
      <c r="B10252" s="24"/>
    </row>
    <row r="10253" spans="2:2">
      <c r="B10253" s="24"/>
    </row>
    <row r="10254" spans="2:2">
      <c r="B10254" s="24"/>
    </row>
    <row r="10255" spans="2:2">
      <c r="B10255" s="24"/>
    </row>
    <row r="10256" spans="2:2">
      <c r="B10256" s="24"/>
    </row>
    <row r="10257" spans="2:2">
      <c r="B10257" s="24"/>
    </row>
    <row r="10258" spans="2:2">
      <c r="B10258" s="24"/>
    </row>
    <row r="10259" spans="2:2">
      <c r="B10259" s="24"/>
    </row>
    <row r="10260" spans="2:2">
      <c r="B10260" s="24"/>
    </row>
    <row r="10261" spans="2:2">
      <c r="B10261" s="24"/>
    </row>
    <row r="10262" spans="2:2">
      <c r="B10262" s="24"/>
    </row>
    <row r="10263" spans="2:2">
      <c r="B10263" s="24"/>
    </row>
    <row r="10264" spans="2:2">
      <c r="B10264" s="24"/>
    </row>
    <row r="10265" spans="2:2">
      <c r="B10265" s="24"/>
    </row>
    <row r="10266" spans="2:2">
      <c r="B10266" s="24"/>
    </row>
    <row r="10267" spans="2:2">
      <c r="B10267" s="24"/>
    </row>
    <row r="10268" spans="2:2">
      <c r="B10268" s="24"/>
    </row>
    <row r="10269" spans="2:2">
      <c r="B10269" s="24"/>
    </row>
    <row r="10270" spans="2:2">
      <c r="B10270" s="24"/>
    </row>
    <row r="10271" spans="2:2">
      <c r="B10271" s="24"/>
    </row>
    <row r="10272" spans="2:2">
      <c r="B10272" s="24"/>
    </row>
    <row r="10273" spans="2:2">
      <c r="B10273" s="24"/>
    </row>
    <row r="10274" spans="2:2">
      <c r="B10274" s="24"/>
    </row>
    <row r="10275" spans="2:2">
      <c r="B10275" s="24"/>
    </row>
    <row r="10276" spans="2:2">
      <c r="B10276" s="24"/>
    </row>
    <row r="10277" spans="2:2">
      <c r="B10277" s="24"/>
    </row>
    <row r="10278" spans="2:2">
      <c r="B10278" s="24"/>
    </row>
    <row r="10279" spans="2:2">
      <c r="B10279" s="24"/>
    </row>
    <row r="10280" spans="2:2">
      <c r="B10280" s="24"/>
    </row>
    <row r="10281" spans="2:2">
      <c r="B10281" s="24"/>
    </row>
    <row r="10282" spans="2:2">
      <c r="B10282" s="24"/>
    </row>
    <row r="10283" spans="2:2">
      <c r="B10283" s="24"/>
    </row>
    <row r="10284" spans="2:2">
      <c r="B10284" s="24"/>
    </row>
    <row r="10285" spans="2:2">
      <c r="B10285" s="24"/>
    </row>
    <row r="10286" spans="2:2">
      <c r="B10286" s="24"/>
    </row>
    <row r="10287" spans="2:2">
      <c r="B10287" s="24"/>
    </row>
    <row r="10288" spans="2:2">
      <c r="B10288" s="24"/>
    </row>
    <row r="10289" spans="2:2">
      <c r="B10289" s="24"/>
    </row>
    <row r="10290" spans="2:2">
      <c r="B10290" s="24"/>
    </row>
    <row r="10291" spans="2:2">
      <c r="B10291" s="24"/>
    </row>
    <row r="10292" spans="2:2">
      <c r="B10292" s="24"/>
    </row>
    <row r="10293" spans="2:2">
      <c r="B10293" s="24"/>
    </row>
    <row r="10294" spans="2:2">
      <c r="B10294" s="24"/>
    </row>
    <row r="10295" spans="2:2">
      <c r="B10295" s="24"/>
    </row>
    <row r="10296" spans="2:2">
      <c r="B10296" s="24"/>
    </row>
    <row r="10297" spans="2:2">
      <c r="B10297" s="24"/>
    </row>
    <row r="10298" spans="2:2">
      <c r="B10298" s="24"/>
    </row>
    <row r="10299" spans="2:2">
      <c r="B10299" s="24"/>
    </row>
    <row r="10300" spans="2:2">
      <c r="B10300" s="24"/>
    </row>
    <row r="10301" spans="2:2">
      <c r="B10301" s="24"/>
    </row>
    <row r="10302" spans="2:2">
      <c r="B10302" s="24"/>
    </row>
    <row r="10303" spans="2:2">
      <c r="B10303" s="24"/>
    </row>
    <row r="10304" spans="2:2">
      <c r="B10304" s="24"/>
    </row>
    <row r="10305" spans="2:2">
      <c r="B10305" s="24"/>
    </row>
    <row r="10306" spans="2:2">
      <c r="B10306" s="24"/>
    </row>
    <row r="10307" spans="2:2">
      <c r="B10307" s="24"/>
    </row>
    <row r="10308" spans="2:2">
      <c r="B10308" s="24"/>
    </row>
    <row r="10309" spans="2:2">
      <c r="B10309" s="24"/>
    </row>
    <row r="10310" spans="2:2">
      <c r="B10310" s="24"/>
    </row>
    <row r="10311" spans="2:2">
      <c r="B10311" s="24"/>
    </row>
    <row r="10312" spans="2:2">
      <c r="B10312" s="24"/>
    </row>
    <row r="10313" spans="2:2">
      <c r="B10313" s="24"/>
    </row>
    <row r="10314" spans="2:2">
      <c r="B10314" s="24"/>
    </row>
    <row r="10315" spans="2:2">
      <c r="B10315" s="24"/>
    </row>
    <row r="10316" spans="2:2">
      <c r="B10316" s="24"/>
    </row>
    <row r="10317" spans="2:2">
      <c r="B10317" s="24"/>
    </row>
    <row r="10318" spans="2:2">
      <c r="B10318" s="24"/>
    </row>
    <row r="10319" spans="2:2">
      <c r="B10319" s="24"/>
    </row>
    <row r="10320" spans="2:2">
      <c r="B10320" s="24"/>
    </row>
    <row r="10321" spans="2:2">
      <c r="B10321" s="24"/>
    </row>
    <row r="10322" spans="2:2">
      <c r="B10322" s="24"/>
    </row>
    <row r="10323" spans="2:2">
      <c r="B10323" s="24"/>
    </row>
    <row r="10324" spans="2:2">
      <c r="B10324" s="24"/>
    </row>
    <row r="10325" spans="2:2">
      <c r="B10325" s="24"/>
    </row>
    <row r="10326" spans="2:2">
      <c r="B10326" s="24"/>
    </row>
    <row r="10327" spans="2:2">
      <c r="B10327" s="24"/>
    </row>
    <row r="10328" spans="2:2">
      <c r="B10328" s="24"/>
    </row>
    <row r="10329" spans="2:2">
      <c r="B10329" s="24"/>
    </row>
    <row r="10330" spans="2:2">
      <c r="B10330" s="24"/>
    </row>
    <row r="10331" spans="2:2">
      <c r="B10331" s="24"/>
    </row>
    <row r="10332" spans="2:2">
      <c r="B10332" s="24"/>
    </row>
    <row r="10333" spans="2:2">
      <c r="B10333" s="24"/>
    </row>
    <row r="10334" spans="2:2">
      <c r="B10334" s="24"/>
    </row>
    <row r="10335" spans="2:2">
      <c r="B10335" s="24"/>
    </row>
    <row r="10336" spans="2:2">
      <c r="B10336" s="24"/>
    </row>
    <row r="10337" spans="2:2">
      <c r="B10337" s="24"/>
    </row>
    <row r="10338" spans="2:2">
      <c r="B10338" s="24"/>
    </row>
    <row r="10339" spans="2:2">
      <c r="B10339" s="24"/>
    </row>
    <row r="10340" spans="2:2">
      <c r="B10340" s="24"/>
    </row>
    <row r="10341" spans="2:2">
      <c r="B10341" s="24"/>
    </row>
    <row r="10342" spans="2:2">
      <c r="B10342" s="24"/>
    </row>
    <row r="10343" spans="2:2">
      <c r="B10343" s="24"/>
    </row>
    <row r="10344" spans="2:2">
      <c r="B10344" s="24"/>
    </row>
    <row r="10345" spans="2:2">
      <c r="B10345" s="24"/>
    </row>
    <row r="10346" spans="2:2">
      <c r="B10346" s="24"/>
    </row>
    <row r="10347" spans="2:2">
      <c r="B10347" s="24"/>
    </row>
    <row r="10348" spans="2:2">
      <c r="B10348" s="24"/>
    </row>
    <row r="10349" spans="2:2">
      <c r="B10349" s="24"/>
    </row>
    <row r="10350" spans="2:2">
      <c r="B10350" s="24"/>
    </row>
    <row r="10351" spans="2:2">
      <c r="B10351" s="24"/>
    </row>
    <row r="10352" spans="2:2">
      <c r="B10352" s="24"/>
    </row>
    <row r="10353" spans="2:2">
      <c r="B10353" s="24"/>
    </row>
    <row r="10354" spans="2:2">
      <c r="B10354" s="24"/>
    </row>
    <row r="10355" spans="2:2">
      <c r="B10355" s="24"/>
    </row>
    <row r="10356" spans="2:2">
      <c r="B10356" s="24"/>
    </row>
    <row r="10357" spans="2:2">
      <c r="B10357" s="24"/>
    </row>
    <row r="10358" spans="2:2">
      <c r="B10358" s="24"/>
    </row>
    <row r="10359" spans="2:2">
      <c r="B10359" s="24"/>
    </row>
    <row r="10360" spans="2:2">
      <c r="B10360" s="24"/>
    </row>
    <row r="10361" spans="2:2">
      <c r="B10361" s="24"/>
    </row>
    <row r="10362" spans="2:2">
      <c r="B10362" s="24"/>
    </row>
    <row r="10363" spans="2:2">
      <c r="B10363" s="24"/>
    </row>
    <row r="10364" spans="2:2">
      <c r="B10364" s="24"/>
    </row>
    <row r="10365" spans="2:2">
      <c r="B10365" s="24"/>
    </row>
    <row r="10366" spans="2:2">
      <c r="B10366" s="24"/>
    </row>
    <row r="10367" spans="2:2">
      <c r="B10367" s="24"/>
    </row>
    <row r="10368" spans="2:2">
      <c r="B10368" s="24"/>
    </row>
    <row r="10369" spans="2:2">
      <c r="B10369" s="24"/>
    </row>
    <row r="10370" spans="2:2">
      <c r="B10370" s="24"/>
    </row>
    <row r="10371" spans="2:2">
      <c r="B10371" s="24"/>
    </row>
    <row r="10372" spans="2:2">
      <c r="B10372" s="24"/>
    </row>
    <row r="10373" spans="2:2">
      <c r="B10373" s="24"/>
    </row>
    <row r="10374" spans="2:2">
      <c r="B10374" s="24"/>
    </row>
    <row r="10375" spans="2:2">
      <c r="B10375" s="24"/>
    </row>
    <row r="10376" spans="2:2">
      <c r="B10376" s="24"/>
    </row>
    <row r="10377" spans="2:2">
      <c r="B10377" s="24"/>
    </row>
    <row r="10378" spans="2:2">
      <c r="B10378" s="24"/>
    </row>
    <row r="10379" spans="2:2">
      <c r="B10379" s="24"/>
    </row>
    <row r="10380" spans="2:2">
      <c r="B10380" s="24"/>
    </row>
    <row r="10381" spans="2:2">
      <c r="B10381" s="24"/>
    </row>
    <row r="10382" spans="2:2">
      <c r="B10382" s="24"/>
    </row>
    <row r="10383" spans="2:2">
      <c r="B10383" s="24"/>
    </row>
    <row r="10384" spans="2:2">
      <c r="B10384" s="24"/>
    </row>
    <row r="10385" spans="2:2">
      <c r="B10385" s="24"/>
    </row>
    <row r="10386" spans="2:2">
      <c r="B10386" s="24"/>
    </row>
    <row r="10387" spans="2:2">
      <c r="B10387" s="24"/>
    </row>
    <row r="10388" spans="2:2">
      <c r="B10388" s="24"/>
    </row>
    <row r="10389" spans="2:2">
      <c r="B10389" s="24"/>
    </row>
    <row r="10390" spans="2:2">
      <c r="B10390" s="24"/>
    </row>
    <row r="10391" spans="2:2">
      <c r="B10391" s="24"/>
    </row>
    <row r="10392" spans="2:2">
      <c r="B10392" s="24"/>
    </row>
    <row r="10393" spans="2:2">
      <c r="B10393" s="24"/>
    </row>
    <row r="10394" spans="2:2">
      <c r="B10394" s="24"/>
    </row>
    <row r="10395" spans="2:2">
      <c r="B10395" s="24"/>
    </row>
    <row r="10396" spans="2:2">
      <c r="B10396" s="24"/>
    </row>
    <row r="10397" spans="2:2">
      <c r="B10397" s="24"/>
    </row>
    <row r="10398" spans="2:2">
      <c r="B10398" s="24"/>
    </row>
    <row r="10399" spans="2:2">
      <c r="B10399" s="24"/>
    </row>
    <row r="10400" spans="2:2">
      <c r="B10400" s="24"/>
    </row>
    <row r="10401" spans="2:2">
      <c r="B10401" s="24"/>
    </row>
    <row r="10402" spans="2:2">
      <c r="B10402" s="24"/>
    </row>
    <row r="10403" spans="2:2">
      <c r="B10403" s="24"/>
    </row>
    <row r="10404" spans="2:2">
      <c r="B10404" s="24"/>
    </row>
    <row r="10405" spans="2:2">
      <c r="B10405" s="24"/>
    </row>
    <row r="10406" spans="2:2">
      <c r="B10406" s="24"/>
    </row>
    <row r="10407" spans="2:2">
      <c r="B10407" s="24"/>
    </row>
    <row r="10408" spans="2:2">
      <c r="B10408" s="24"/>
    </row>
    <row r="10409" spans="2:2">
      <c r="B10409" s="24"/>
    </row>
    <row r="10410" spans="2:2">
      <c r="B10410" s="24"/>
    </row>
    <row r="10411" spans="2:2">
      <c r="B10411" s="24"/>
    </row>
    <row r="10412" spans="2:2">
      <c r="B10412" s="24"/>
    </row>
    <row r="10413" spans="2:2">
      <c r="B10413" s="24"/>
    </row>
    <row r="10414" spans="2:2">
      <c r="B10414" s="24"/>
    </row>
    <row r="10415" spans="2:2">
      <c r="B10415" s="24"/>
    </row>
    <row r="10416" spans="2:2">
      <c r="B10416" s="24"/>
    </row>
    <row r="10417" spans="2:2">
      <c r="B10417" s="24"/>
    </row>
    <row r="10418" spans="2:2">
      <c r="B10418" s="24"/>
    </row>
    <row r="10419" spans="2:2">
      <c r="B10419" s="24"/>
    </row>
    <row r="10420" spans="2:2">
      <c r="B10420" s="24"/>
    </row>
    <row r="10421" spans="2:2">
      <c r="B10421" s="24"/>
    </row>
    <row r="10422" spans="2:2">
      <c r="B10422" s="24"/>
    </row>
    <row r="10423" spans="2:2">
      <c r="B10423" s="24"/>
    </row>
    <row r="10424" spans="2:2">
      <c r="B10424" s="24"/>
    </row>
    <row r="10425" spans="2:2">
      <c r="B10425" s="24"/>
    </row>
    <row r="10426" spans="2:2">
      <c r="B10426" s="24"/>
    </row>
    <row r="10427" spans="2:2">
      <c r="B10427" s="24"/>
    </row>
    <row r="10428" spans="2:2">
      <c r="B10428" s="24"/>
    </row>
    <row r="10429" spans="2:2">
      <c r="B10429" s="24"/>
    </row>
    <row r="10430" spans="2:2">
      <c r="B10430" s="24"/>
    </row>
    <row r="10431" spans="2:2">
      <c r="B10431" s="24"/>
    </row>
    <row r="10432" spans="2:2">
      <c r="B10432" s="24"/>
    </row>
    <row r="10433" spans="2:2">
      <c r="B10433" s="24"/>
    </row>
    <row r="10434" spans="2:2">
      <c r="B10434" s="24"/>
    </row>
    <row r="10435" spans="2:2">
      <c r="B10435" s="24"/>
    </row>
    <row r="10436" spans="2:2">
      <c r="B10436" s="24"/>
    </row>
    <row r="10437" spans="2:2">
      <c r="B10437" s="24"/>
    </row>
    <row r="10438" spans="2:2">
      <c r="B10438" s="24"/>
    </row>
    <row r="10439" spans="2:2">
      <c r="B10439" s="24"/>
    </row>
    <row r="10440" spans="2:2">
      <c r="B10440" s="24"/>
    </row>
    <row r="10441" spans="2:2">
      <c r="B10441" s="24"/>
    </row>
    <row r="10442" spans="2:2">
      <c r="B10442" s="24"/>
    </row>
    <row r="10443" spans="2:2">
      <c r="B10443" s="24"/>
    </row>
    <row r="10444" spans="2:2">
      <c r="B10444" s="24"/>
    </row>
    <row r="10445" spans="2:2">
      <c r="B10445" s="24"/>
    </row>
    <row r="10446" spans="2:2">
      <c r="B10446" s="24"/>
    </row>
    <row r="10447" spans="2:2">
      <c r="B10447" s="24"/>
    </row>
    <row r="10448" spans="2:2">
      <c r="B10448" s="24"/>
    </row>
    <row r="10449" spans="2:2">
      <c r="B10449" s="24"/>
    </row>
    <row r="10450" spans="2:2">
      <c r="B10450" s="24"/>
    </row>
    <row r="10451" spans="2:2">
      <c r="B10451" s="24"/>
    </row>
    <row r="10452" spans="2:2">
      <c r="B10452" s="24"/>
    </row>
    <row r="10453" spans="2:2">
      <c r="B10453" s="24"/>
    </row>
    <row r="10454" spans="2:2">
      <c r="B10454" s="24"/>
    </row>
    <row r="10455" spans="2:2">
      <c r="B10455" s="24"/>
    </row>
    <row r="10456" spans="2:2">
      <c r="B10456" s="24"/>
    </row>
    <row r="10457" spans="2:2">
      <c r="B10457" s="24"/>
    </row>
    <row r="10458" spans="2:2">
      <c r="B10458" s="24"/>
    </row>
    <row r="10459" spans="2:2">
      <c r="B10459" s="24"/>
    </row>
    <row r="10460" spans="2:2">
      <c r="B10460" s="24"/>
    </row>
    <row r="10461" spans="2:2">
      <c r="B10461" s="24"/>
    </row>
    <row r="10462" spans="2:2">
      <c r="B10462" s="24"/>
    </row>
    <row r="10463" spans="2:2">
      <c r="B10463" s="24"/>
    </row>
    <row r="10464" spans="2:2">
      <c r="B10464" s="24"/>
    </row>
    <row r="10465" spans="2:2">
      <c r="B10465" s="24"/>
    </row>
    <row r="10466" spans="2:2">
      <c r="B10466" s="24"/>
    </row>
    <row r="10467" spans="2:2">
      <c r="B10467" s="24"/>
    </row>
    <row r="10468" spans="2:2">
      <c r="B10468" s="24"/>
    </row>
    <row r="10469" spans="2:2">
      <c r="B10469" s="24"/>
    </row>
    <row r="10470" spans="2:2">
      <c r="B10470" s="24"/>
    </row>
    <row r="10471" spans="2:2">
      <c r="B10471" s="24"/>
    </row>
    <row r="10472" spans="2:2">
      <c r="B10472" s="24"/>
    </row>
    <row r="10473" spans="2:2">
      <c r="B10473" s="24"/>
    </row>
    <row r="10474" spans="2:2">
      <c r="B10474" s="24"/>
    </row>
    <row r="10475" spans="2:2">
      <c r="B10475" s="24"/>
    </row>
    <row r="10476" spans="2:2">
      <c r="B10476" s="24"/>
    </row>
    <row r="10477" spans="2:2">
      <c r="B10477" s="24"/>
    </row>
    <row r="10478" spans="2:2">
      <c r="B10478" s="24"/>
    </row>
    <row r="10479" spans="2:2">
      <c r="B10479" s="24"/>
    </row>
    <row r="10480" spans="2:2">
      <c r="B10480" s="24"/>
    </row>
    <row r="10481" spans="2:2">
      <c r="B10481" s="24"/>
    </row>
    <row r="10482" spans="2:2">
      <c r="B10482" s="24"/>
    </row>
    <row r="10483" spans="2:2">
      <c r="B10483" s="24"/>
    </row>
    <row r="10484" spans="2:2">
      <c r="B10484" s="24"/>
    </row>
    <row r="10485" spans="2:2">
      <c r="B10485" s="24"/>
    </row>
    <row r="10486" spans="2:2">
      <c r="B10486" s="24"/>
    </row>
    <row r="10487" spans="2:2">
      <c r="B10487" s="24"/>
    </row>
    <row r="10488" spans="2:2">
      <c r="B10488" s="24"/>
    </row>
    <row r="10489" spans="2:2">
      <c r="B10489" s="24"/>
    </row>
    <row r="10490" spans="2:2">
      <c r="B10490" s="24"/>
    </row>
    <row r="10491" spans="2:2">
      <c r="B10491" s="24"/>
    </row>
    <row r="10492" spans="2:2">
      <c r="B10492" s="24"/>
    </row>
    <row r="10493" spans="2:2">
      <c r="B10493" s="24"/>
    </row>
    <row r="10494" spans="2:2">
      <c r="B10494" s="24"/>
    </row>
    <row r="10495" spans="2:2">
      <c r="B10495" s="24"/>
    </row>
    <row r="10496" spans="2:2">
      <c r="B10496" s="24"/>
    </row>
    <row r="10497" spans="2:2">
      <c r="B10497" s="24"/>
    </row>
    <row r="10498" spans="2:2">
      <c r="B10498" s="24"/>
    </row>
    <row r="10499" spans="2:2">
      <c r="B10499" s="24"/>
    </row>
    <row r="10500" spans="2:2">
      <c r="B10500" s="24"/>
    </row>
    <row r="10501" spans="2:2">
      <c r="B10501" s="24"/>
    </row>
    <row r="10502" spans="2:2">
      <c r="B10502" s="24"/>
    </row>
    <row r="10503" spans="2:2">
      <c r="B10503" s="24"/>
    </row>
    <row r="10504" spans="2:2">
      <c r="B10504" s="24"/>
    </row>
    <row r="10505" spans="2:2">
      <c r="B10505" s="24"/>
    </row>
    <row r="10506" spans="2:2">
      <c r="B10506" s="24"/>
    </row>
    <row r="10507" spans="2:2">
      <c r="B10507" s="24"/>
    </row>
    <row r="10508" spans="2:2">
      <c r="B10508" s="24"/>
    </row>
    <row r="10509" spans="2:2">
      <c r="B10509" s="24"/>
    </row>
    <row r="10510" spans="2:2">
      <c r="B10510" s="24"/>
    </row>
    <row r="10511" spans="2:2">
      <c r="B10511" s="24"/>
    </row>
    <row r="10512" spans="2:2">
      <c r="B10512" s="24"/>
    </row>
    <row r="10513" spans="2:2">
      <c r="B10513" s="24"/>
    </row>
    <row r="10514" spans="2:2">
      <c r="B10514" s="24"/>
    </row>
    <row r="10515" spans="2:2">
      <c r="B10515" s="24"/>
    </row>
    <row r="10516" spans="2:2">
      <c r="B10516" s="24"/>
    </row>
    <row r="10517" spans="2:2">
      <c r="B10517" s="24"/>
    </row>
    <row r="10518" spans="2:2">
      <c r="B10518" s="24"/>
    </row>
    <row r="10519" spans="2:2">
      <c r="B10519" s="24"/>
    </row>
    <row r="10520" spans="2:2">
      <c r="B10520" s="24"/>
    </row>
    <row r="10521" spans="2:2">
      <c r="B10521" s="24"/>
    </row>
    <row r="10522" spans="2:2">
      <c r="B10522" s="24"/>
    </row>
    <row r="10523" spans="2:2">
      <c r="B10523" s="24"/>
    </row>
    <row r="10524" spans="2:2">
      <c r="B10524" s="24"/>
    </row>
    <row r="10525" spans="2:2">
      <c r="B10525" s="24"/>
    </row>
    <row r="10526" spans="2:2">
      <c r="B10526" s="24"/>
    </row>
    <row r="10527" spans="2:2">
      <c r="B10527" s="24"/>
    </row>
    <row r="10528" spans="2:2">
      <c r="B10528" s="24"/>
    </row>
    <row r="10529" spans="2:2">
      <c r="B10529" s="24"/>
    </row>
    <row r="10530" spans="2:2">
      <c r="B10530" s="24"/>
    </row>
    <row r="10531" spans="2:2">
      <c r="B10531" s="24"/>
    </row>
    <row r="10532" spans="2:2">
      <c r="B10532" s="24"/>
    </row>
    <row r="10533" spans="2:2">
      <c r="B10533" s="24"/>
    </row>
    <row r="10534" spans="2:2">
      <c r="B10534" s="24"/>
    </row>
    <row r="10535" spans="2:2">
      <c r="B10535" s="24"/>
    </row>
    <row r="10536" spans="2:2">
      <c r="B10536" s="24"/>
    </row>
    <row r="10537" spans="2:2">
      <c r="B10537" s="24"/>
    </row>
    <row r="10538" spans="2:2">
      <c r="B10538" s="24"/>
    </row>
    <row r="10539" spans="2:2">
      <c r="B10539" s="24"/>
    </row>
    <row r="10540" spans="2:2">
      <c r="B10540" s="24"/>
    </row>
    <row r="10541" spans="2:2">
      <c r="B10541" s="24"/>
    </row>
    <row r="10542" spans="2:2">
      <c r="B10542" s="24"/>
    </row>
    <row r="10543" spans="2:2">
      <c r="B10543" s="24"/>
    </row>
    <row r="10544" spans="2:2">
      <c r="B10544" s="24"/>
    </row>
    <row r="10545" spans="2:2">
      <c r="B10545" s="24"/>
    </row>
    <row r="10546" spans="2:2">
      <c r="B10546" s="24"/>
    </row>
    <row r="10547" spans="2:2">
      <c r="B10547" s="24"/>
    </row>
    <row r="10548" spans="2:2">
      <c r="B10548" s="24"/>
    </row>
    <row r="10549" spans="2:2">
      <c r="B10549" s="24"/>
    </row>
    <row r="10550" spans="2:2">
      <c r="B10550" s="24"/>
    </row>
    <row r="10551" spans="2:2">
      <c r="B10551" s="24"/>
    </row>
    <row r="10552" spans="2:2">
      <c r="B10552" s="24"/>
    </row>
    <row r="10553" spans="2:2">
      <c r="B10553" s="24"/>
    </row>
    <row r="10554" spans="2:2">
      <c r="B10554" s="24"/>
    </row>
    <row r="10555" spans="2:2">
      <c r="B10555" s="24"/>
    </row>
    <row r="10556" spans="2:2">
      <c r="B10556" s="24"/>
    </row>
    <row r="10557" spans="2:2">
      <c r="B10557" s="24"/>
    </row>
    <row r="10558" spans="2:2">
      <c r="B10558" s="24"/>
    </row>
    <row r="10559" spans="2:2">
      <c r="B10559" s="24"/>
    </row>
    <row r="10560" spans="2:2">
      <c r="B10560" s="24"/>
    </row>
    <row r="10561" spans="2:2">
      <c r="B10561" s="24"/>
    </row>
    <row r="10562" spans="2:2">
      <c r="B10562" s="24"/>
    </row>
    <row r="10563" spans="2:2">
      <c r="B10563" s="24"/>
    </row>
    <row r="10564" spans="2:2">
      <c r="B10564" s="24"/>
    </row>
    <row r="10565" spans="2:2">
      <c r="B10565" s="24"/>
    </row>
    <row r="10566" spans="2:2">
      <c r="B10566" s="24"/>
    </row>
    <row r="10567" spans="2:2">
      <c r="B10567" s="24"/>
    </row>
    <row r="10568" spans="2:2">
      <c r="B10568" s="24"/>
    </row>
    <row r="10569" spans="2:2">
      <c r="B10569" s="24"/>
    </row>
    <row r="10570" spans="2:2">
      <c r="B10570" s="24"/>
    </row>
    <row r="10571" spans="2:2">
      <c r="B10571" s="24"/>
    </row>
    <row r="10572" spans="2:2">
      <c r="B10572" s="24"/>
    </row>
    <row r="10573" spans="2:2">
      <c r="B10573" s="24"/>
    </row>
    <row r="10574" spans="2:2">
      <c r="B10574" s="24"/>
    </row>
    <row r="10575" spans="2:2">
      <c r="B10575" s="24"/>
    </row>
    <row r="10576" spans="2:2">
      <c r="B10576" s="24"/>
    </row>
    <row r="10577" spans="2:2">
      <c r="B10577" s="24"/>
    </row>
    <row r="10578" spans="2:2">
      <c r="B10578" s="24"/>
    </row>
    <row r="10579" spans="2:2">
      <c r="B10579" s="24"/>
    </row>
    <row r="10580" spans="2:2">
      <c r="B10580" s="24"/>
    </row>
    <row r="10581" spans="2:2">
      <c r="B10581" s="24"/>
    </row>
    <row r="10582" spans="2:2">
      <c r="B10582" s="24"/>
    </row>
    <row r="10583" spans="2:2">
      <c r="B10583" s="24"/>
    </row>
    <row r="10584" spans="2:2">
      <c r="B10584" s="24"/>
    </row>
    <row r="10585" spans="2:2">
      <c r="B10585" s="24"/>
    </row>
    <row r="10586" spans="2:2">
      <c r="B10586" s="24"/>
    </row>
    <row r="10587" spans="2:2">
      <c r="B10587" s="24"/>
    </row>
    <row r="10588" spans="2:2">
      <c r="B10588" s="24"/>
    </row>
    <row r="10589" spans="2:2">
      <c r="B10589" s="24"/>
    </row>
    <row r="10590" spans="2:2">
      <c r="B10590" s="24"/>
    </row>
    <row r="10591" spans="2:2">
      <c r="B10591" s="24"/>
    </row>
    <row r="10592" spans="2:2">
      <c r="B10592" s="24"/>
    </row>
    <row r="10593" spans="2:2">
      <c r="B10593" s="24"/>
    </row>
    <row r="10594" spans="2:2">
      <c r="B10594" s="24"/>
    </row>
    <row r="10595" spans="2:2">
      <c r="B10595" s="24"/>
    </row>
    <row r="10596" spans="2:2">
      <c r="B10596" s="24"/>
    </row>
    <row r="10597" spans="2:2">
      <c r="B10597" s="24"/>
    </row>
    <row r="10598" spans="2:2">
      <c r="B10598" s="24"/>
    </row>
    <row r="10599" spans="2:2">
      <c r="B10599" s="24"/>
    </row>
    <row r="10600" spans="2:2">
      <c r="B10600" s="24"/>
    </row>
    <row r="10601" spans="2:2">
      <c r="B10601" s="24"/>
    </row>
    <row r="10602" spans="2:2">
      <c r="B10602" s="24"/>
    </row>
    <row r="10603" spans="2:2">
      <c r="B10603" s="24"/>
    </row>
    <row r="10604" spans="2:2">
      <c r="B10604" s="24"/>
    </row>
    <row r="10605" spans="2:2">
      <c r="B10605" s="24"/>
    </row>
    <row r="10606" spans="2:2">
      <c r="B10606" s="24"/>
    </row>
    <row r="10607" spans="2:2">
      <c r="B10607" s="24"/>
    </row>
    <row r="10608" spans="2:2">
      <c r="B10608" s="24"/>
    </row>
    <row r="10609" spans="2:2">
      <c r="B10609" s="24"/>
    </row>
    <row r="10610" spans="2:2">
      <c r="B10610" s="24"/>
    </row>
    <row r="10611" spans="2:2">
      <c r="B10611" s="24"/>
    </row>
    <row r="10612" spans="2:2">
      <c r="B10612" s="24"/>
    </row>
    <row r="10613" spans="2:2">
      <c r="B10613" s="24"/>
    </row>
    <row r="10614" spans="2:2">
      <c r="B10614" s="24"/>
    </row>
    <row r="10615" spans="2:2">
      <c r="B10615" s="24"/>
    </row>
    <row r="10616" spans="2:2">
      <c r="B10616" s="24"/>
    </row>
    <row r="10617" spans="2:2">
      <c r="B10617" s="24"/>
    </row>
    <row r="10618" spans="2:2">
      <c r="B10618" s="24"/>
    </row>
    <row r="10619" spans="2:2">
      <c r="B10619" s="24"/>
    </row>
    <row r="10620" spans="2:2">
      <c r="B10620" s="24"/>
    </row>
    <row r="10621" spans="2:2">
      <c r="B10621" s="24"/>
    </row>
    <row r="10622" spans="2:2">
      <c r="B10622" s="24"/>
    </row>
    <row r="10623" spans="2:2">
      <c r="B10623" s="24"/>
    </row>
    <row r="10624" spans="2:2">
      <c r="B10624" s="24"/>
    </row>
    <row r="10625" spans="2:2">
      <c r="B10625" s="24"/>
    </row>
    <row r="10626" spans="2:2">
      <c r="B10626" s="24"/>
    </row>
    <row r="10627" spans="2:2">
      <c r="B10627" s="24"/>
    </row>
    <row r="10628" spans="2:2">
      <c r="B10628" s="24"/>
    </row>
    <row r="10629" spans="2:2">
      <c r="B10629" s="24"/>
    </row>
    <row r="10630" spans="2:2">
      <c r="B10630" s="24"/>
    </row>
    <row r="10631" spans="2:2">
      <c r="B10631" s="24"/>
    </row>
    <row r="10632" spans="2:2">
      <c r="B10632" s="24"/>
    </row>
    <row r="10633" spans="2:2">
      <c r="B10633" s="24"/>
    </row>
    <row r="10634" spans="2:2">
      <c r="B10634" s="24"/>
    </row>
    <row r="10635" spans="2:2">
      <c r="B10635" s="24"/>
    </row>
    <row r="10636" spans="2:2">
      <c r="B10636" s="24"/>
    </row>
    <row r="10637" spans="2:2">
      <c r="B10637" s="24"/>
    </row>
    <row r="10638" spans="2:2">
      <c r="B10638" s="24"/>
    </row>
    <row r="10639" spans="2:2">
      <c r="B10639" s="24"/>
    </row>
    <row r="10640" spans="2:2">
      <c r="B10640" s="24"/>
    </row>
    <row r="10641" spans="2:2">
      <c r="B10641" s="24"/>
    </row>
    <row r="10642" spans="2:2">
      <c r="B10642" s="24"/>
    </row>
    <row r="10643" spans="2:2">
      <c r="B10643" s="24"/>
    </row>
    <row r="10644" spans="2:2">
      <c r="B10644" s="24"/>
    </row>
    <row r="10645" spans="2:2">
      <c r="B10645" s="24"/>
    </row>
    <row r="10646" spans="2:2">
      <c r="B10646" s="24"/>
    </row>
    <row r="10647" spans="2:2">
      <c r="B10647" s="24"/>
    </row>
    <row r="10648" spans="2:2">
      <c r="B10648" s="24"/>
    </row>
    <row r="10649" spans="2:2">
      <c r="B10649" s="24"/>
    </row>
    <row r="10650" spans="2:2">
      <c r="B10650" s="24"/>
    </row>
    <row r="10651" spans="2:2">
      <c r="B10651" s="24"/>
    </row>
    <row r="10652" spans="2:2">
      <c r="B10652" s="24"/>
    </row>
    <row r="10653" spans="2:2">
      <c r="B10653" s="24"/>
    </row>
    <row r="10654" spans="2:2">
      <c r="B10654" s="24"/>
    </row>
    <row r="10655" spans="2:2">
      <c r="B10655" s="24"/>
    </row>
    <row r="10656" spans="2:2">
      <c r="B10656" s="24"/>
    </row>
    <row r="10657" spans="2:2">
      <c r="B10657" s="24"/>
    </row>
    <row r="10658" spans="2:2">
      <c r="B10658" s="24"/>
    </row>
    <row r="10659" spans="2:2">
      <c r="B10659" s="24"/>
    </row>
    <row r="10660" spans="2:2">
      <c r="B10660" s="24"/>
    </row>
    <row r="10661" spans="2:2">
      <c r="B10661" s="24"/>
    </row>
    <row r="10662" spans="2:2">
      <c r="B10662" s="24"/>
    </row>
    <row r="10663" spans="2:2">
      <c r="B10663" s="24"/>
    </row>
    <row r="10664" spans="2:2">
      <c r="B10664" s="24"/>
    </row>
    <row r="10665" spans="2:2">
      <c r="B10665" s="24"/>
    </row>
    <row r="10666" spans="2:2">
      <c r="B10666" s="24"/>
    </row>
    <row r="10667" spans="2:2">
      <c r="B10667" s="24"/>
    </row>
    <row r="10668" spans="2:2">
      <c r="B10668" s="24"/>
    </row>
    <row r="10669" spans="2:2">
      <c r="B10669" s="24"/>
    </row>
    <row r="10670" spans="2:2">
      <c r="B10670" s="24"/>
    </row>
    <row r="10671" spans="2:2">
      <c r="B10671" s="24"/>
    </row>
    <row r="10672" spans="2:2">
      <c r="B10672" s="24"/>
    </row>
    <row r="10673" spans="2:2">
      <c r="B10673" s="24"/>
    </row>
    <row r="10674" spans="2:2">
      <c r="B10674" s="24"/>
    </row>
    <row r="10675" spans="2:2">
      <c r="B10675" s="24"/>
    </row>
    <row r="10676" spans="2:2">
      <c r="B10676" s="24"/>
    </row>
    <row r="10677" spans="2:2">
      <c r="B10677" s="24"/>
    </row>
    <row r="10678" spans="2:2">
      <c r="B10678" s="24"/>
    </row>
    <row r="10679" spans="2:2">
      <c r="B10679" s="24"/>
    </row>
    <row r="10680" spans="2:2">
      <c r="B10680" s="24"/>
    </row>
    <row r="10681" spans="2:2">
      <c r="B10681" s="24"/>
    </row>
    <row r="10682" spans="2:2">
      <c r="B10682" s="24"/>
    </row>
    <row r="10683" spans="2:2">
      <c r="B10683" s="24"/>
    </row>
    <row r="10684" spans="2:2">
      <c r="B10684" s="24"/>
    </row>
    <row r="10685" spans="2:2">
      <c r="B10685" s="24"/>
    </row>
    <row r="10686" spans="2:2">
      <c r="B10686" s="24"/>
    </row>
    <row r="10687" spans="2:2">
      <c r="B10687" s="24"/>
    </row>
    <row r="10688" spans="2:2">
      <c r="B10688" s="24"/>
    </row>
    <row r="10689" spans="2:2">
      <c r="B10689" s="24"/>
    </row>
    <row r="10690" spans="2:2">
      <c r="B10690" s="24"/>
    </row>
    <row r="10691" spans="2:2">
      <c r="B10691" s="24"/>
    </row>
    <row r="10692" spans="2:2">
      <c r="B10692" s="24"/>
    </row>
    <row r="10693" spans="2:2">
      <c r="B10693" s="24"/>
    </row>
    <row r="10694" spans="2:2">
      <c r="B10694" s="24"/>
    </row>
    <row r="10695" spans="2:2">
      <c r="B10695" s="24"/>
    </row>
    <row r="10696" spans="2:2">
      <c r="B10696" s="24"/>
    </row>
    <row r="10697" spans="2:2">
      <c r="B10697" s="24"/>
    </row>
    <row r="10698" spans="2:2">
      <c r="B10698" s="24"/>
    </row>
    <row r="10699" spans="2:2">
      <c r="B10699" s="24"/>
    </row>
    <row r="10700" spans="2:2">
      <c r="B10700" s="24"/>
    </row>
    <row r="10701" spans="2:2">
      <c r="B10701" s="24"/>
    </row>
    <row r="10702" spans="2:2">
      <c r="B10702" s="24"/>
    </row>
    <row r="10703" spans="2:2">
      <c r="B10703" s="24"/>
    </row>
    <row r="10704" spans="2:2">
      <c r="B10704" s="24"/>
    </row>
    <row r="10705" spans="2:2">
      <c r="B10705" s="24"/>
    </row>
    <row r="10706" spans="2:2">
      <c r="B10706" s="24"/>
    </row>
    <row r="10707" spans="2:2">
      <c r="B10707" s="24"/>
    </row>
    <row r="10708" spans="2:2">
      <c r="B10708" s="24"/>
    </row>
    <row r="10709" spans="2:2">
      <c r="B10709" s="24"/>
    </row>
    <row r="10710" spans="2:2">
      <c r="B10710" s="24"/>
    </row>
    <row r="10711" spans="2:2">
      <c r="B10711" s="24"/>
    </row>
    <row r="10712" spans="2:2">
      <c r="B10712" s="24"/>
    </row>
    <row r="10713" spans="2:2">
      <c r="B10713" s="24"/>
    </row>
    <row r="10714" spans="2:2">
      <c r="B10714" s="24"/>
    </row>
    <row r="10715" spans="2:2">
      <c r="B10715" s="24"/>
    </row>
    <row r="10716" spans="2:2">
      <c r="B10716" s="24"/>
    </row>
    <row r="10717" spans="2:2">
      <c r="B10717" s="24"/>
    </row>
    <row r="10718" spans="2:2">
      <c r="B10718" s="24"/>
    </row>
    <row r="10719" spans="2:2">
      <c r="B10719" s="24"/>
    </row>
    <row r="10720" spans="2:2">
      <c r="B10720" s="24"/>
    </row>
    <row r="10721" spans="2:2">
      <c r="B10721" s="24"/>
    </row>
    <row r="10722" spans="2:2">
      <c r="B10722" s="24"/>
    </row>
    <row r="10723" spans="2:2">
      <c r="B10723" s="24"/>
    </row>
    <row r="10724" spans="2:2">
      <c r="B10724" s="24"/>
    </row>
    <row r="10725" spans="2:2">
      <c r="B10725" s="24"/>
    </row>
    <row r="10726" spans="2:2">
      <c r="B10726" s="24"/>
    </row>
    <row r="10727" spans="2:2">
      <c r="B10727" s="24"/>
    </row>
    <row r="10728" spans="2:2">
      <c r="B10728" s="24"/>
    </row>
    <row r="10729" spans="2:2">
      <c r="B10729" s="24"/>
    </row>
    <row r="10730" spans="2:2">
      <c r="B10730" s="24"/>
    </row>
    <row r="10731" spans="2:2">
      <c r="B10731" s="24"/>
    </row>
    <row r="10732" spans="2:2">
      <c r="B10732" s="24"/>
    </row>
    <row r="10733" spans="2:2">
      <c r="B10733" s="24"/>
    </row>
    <row r="10734" spans="2:2">
      <c r="B10734" s="24"/>
    </row>
    <row r="10735" spans="2:2">
      <c r="B10735" s="24"/>
    </row>
    <row r="10736" spans="2:2">
      <c r="B10736" s="24"/>
    </row>
    <row r="10737" spans="2:2">
      <c r="B10737" s="24"/>
    </row>
    <row r="10738" spans="2:2">
      <c r="B10738" s="24"/>
    </row>
    <row r="10739" spans="2:2">
      <c r="B10739" s="24"/>
    </row>
    <row r="10740" spans="2:2">
      <c r="B10740" s="24"/>
    </row>
    <row r="10741" spans="2:2">
      <c r="B10741" s="24"/>
    </row>
    <row r="10742" spans="2:2">
      <c r="B10742" s="24"/>
    </row>
    <row r="10743" spans="2:2">
      <c r="B10743" s="24"/>
    </row>
    <row r="10744" spans="2:2">
      <c r="B10744" s="24"/>
    </row>
    <row r="10745" spans="2:2">
      <c r="B10745" s="24"/>
    </row>
    <row r="10746" spans="2:2">
      <c r="B10746" s="24"/>
    </row>
    <row r="10747" spans="2:2">
      <c r="B10747" s="24"/>
    </row>
    <row r="10748" spans="2:2">
      <c r="B10748" s="24"/>
    </row>
    <row r="10749" spans="2:2">
      <c r="B10749" s="24"/>
    </row>
    <row r="10750" spans="2:2">
      <c r="B10750" s="24"/>
    </row>
    <row r="10751" spans="2:2">
      <c r="B10751" s="24"/>
    </row>
    <row r="10752" spans="2:2">
      <c r="B10752" s="24"/>
    </row>
    <row r="10753" spans="2:2">
      <c r="B10753" s="24"/>
    </row>
    <row r="10754" spans="2:2">
      <c r="B10754" s="24"/>
    </row>
    <row r="10755" spans="2:2">
      <c r="B10755" s="24"/>
    </row>
    <row r="10756" spans="2:2">
      <c r="B10756" s="24"/>
    </row>
    <row r="10757" spans="2:2">
      <c r="B10757" s="24"/>
    </row>
    <row r="10758" spans="2:2">
      <c r="B10758" s="24"/>
    </row>
    <row r="10759" spans="2:2">
      <c r="B10759" s="24"/>
    </row>
    <row r="10760" spans="2:2">
      <c r="B10760" s="24"/>
    </row>
    <row r="10761" spans="2:2">
      <c r="B10761" s="24"/>
    </row>
    <row r="10762" spans="2:2">
      <c r="B10762" s="24"/>
    </row>
    <row r="10763" spans="2:2">
      <c r="B10763" s="24"/>
    </row>
    <row r="10764" spans="2:2">
      <c r="B10764" s="24"/>
    </row>
    <row r="10765" spans="2:2">
      <c r="B10765" s="24"/>
    </row>
    <row r="10766" spans="2:2">
      <c r="B10766" s="24"/>
    </row>
    <row r="10767" spans="2:2">
      <c r="B10767" s="24"/>
    </row>
    <row r="10768" spans="2:2">
      <c r="B10768" s="24"/>
    </row>
    <row r="10769" spans="2:2">
      <c r="B10769" s="24"/>
    </row>
    <row r="10770" spans="2:2">
      <c r="B10770" s="24"/>
    </row>
    <row r="10771" spans="2:2">
      <c r="B10771" s="24"/>
    </row>
    <row r="10772" spans="2:2">
      <c r="B10772" s="24"/>
    </row>
    <row r="10773" spans="2:2">
      <c r="B10773" s="24"/>
    </row>
    <row r="10774" spans="2:2">
      <c r="B10774" s="24"/>
    </row>
    <row r="10775" spans="2:2">
      <c r="B10775" s="24"/>
    </row>
    <row r="10776" spans="2:2">
      <c r="B10776" s="24"/>
    </row>
    <row r="10777" spans="2:2">
      <c r="B10777" s="24"/>
    </row>
    <row r="10778" spans="2:2">
      <c r="B10778" s="24"/>
    </row>
    <row r="10779" spans="2:2">
      <c r="B10779" s="24"/>
    </row>
    <row r="10780" spans="2:2">
      <c r="B10780" s="24"/>
    </row>
    <row r="10781" spans="2:2">
      <c r="B10781" s="24"/>
    </row>
    <row r="10782" spans="2:2">
      <c r="B10782" s="24"/>
    </row>
    <row r="10783" spans="2:2">
      <c r="B10783" s="24"/>
    </row>
    <row r="10784" spans="2:2">
      <c r="B10784" s="24"/>
    </row>
    <row r="10785" spans="2:2">
      <c r="B10785" s="24"/>
    </row>
    <row r="10786" spans="2:2">
      <c r="B10786" s="24"/>
    </row>
    <row r="10787" spans="2:2">
      <c r="B10787" s="24"/>
    </row>
    <row r="10788" spans="2:2">
      <c r="B10788" s="24"/>
    </row>
    <row r="10789" spans="2:2">
      <c r="B10789" s="24"/>
    </row>
    <row r="10790" spans="2:2">
      <c r="B10790" s="24"/>
    </row>
    <row r="10791" spans="2:2">
      <c r="B10791" s="24"/>
    </row>
    <row r="10792" spans="2:2">
      <c r="B10792" s="24"/>
    </row>
    <row r="10793" spans="2:2">
      <c r="B10793" s="24"/>
    </row>
    <row r="10794" spans="2:2">
      <c r="B10794" s="24"/>
    </row>
    <row r="10795" spans="2:2">
      <c r="B10795" s="24"/>
    </row>
    <row r="10796" spans="2:2">
      <c r="B10796" s="24"/>
    </row>
    <row r="10797" spans="2:2">
      <c r="B10797" s="24"/>
    </row>
    <row r="10798" spans="2:2">
      <c r="B10798" s="24"/>
    </row>
    <row r="10799" spans="2:2">
      <c r="B10799" s="24"/>
    </row>
    <row r="10800" spans="2:2">
      <c r="B10800" s="24"/>
    </row>
    <row r="10801" spans="2:2">
      <c r="B10801" s="24"/>
    </row>
    <row r="10802" spans="2:2">
      <c r="B10802" s="24"/>
    </row>
    <row r="10803" spans="2:2">
      <c r="B10803" s="24"/>
    </row>
    <row r="10804" spans="2:2">
      <c r="B10804" s="24"/>
    </row>
    <row r="10805" spans="2:2">
      <c r="B10805" s="24"/>
    </row>
    <row r="10806" spans="2:2">
      <c r="B10806" s="24"/>
    </row>
    <row r="10807" spans="2:2">
      <c r="B10807" s="24"/>
    </row>
    <row r="10808" spans="2:2">
      <c r="B10808" s="24"/>
    </row>
    <row r="10809" spans="2:2">
      <c r="B10809" s="24"/>
    </row>
    <row r="10810" spans="2:2">
      <c r="B10810" s="24"/>
    </row>
    <row r="10811" spans="2:2">
      <c r="B10811" s="24"/>
    </row>
    <row r="10812" spans="2:2">
      <c r="B10812" s="24"/>
    </row>
    <row r="10813" spans="2:2">
      <c r="B10813" s="24"/>
    </row>
    <row r="10814" spans="2:2">
      <c r="B10814" s="24"/>
    </row>
    <row r="10815" spans="2:2">
      <c r="B10815" s="24"/>
    </row>
    <row r="10816" spans="2:2">
      <c r="B10816" s="24"/>
    </row>
    <row r="10817" spans="2:2">
      <c r="B10817" s="24"/>
    </row>
    <row r="10818" spans="2:2">
      <c r="B10818" s="24"/>
    </row>
    <row r="10819" spans="2:2">
      <c r="B10819" s="24"/>
    </row>
    <row r="10820" spans="2:2">
      <c r="B10820" s="24"/>
    </row>
    <row r="10821" spans="2:2">
      <c r="B10821" s="24"/>
    </row>
    <row r="10822" spans="2:2">
      <c r="B10822" s="24"/>
    </row>
    <row r="10823" spans="2:2">
      <c r="B10823" s="24"/>
    </row>
    <row r="10824" spans="2:2">
      <c r="B10824" s="24"/>
    </row>
    <row r="10825" spans="2:2">
      <c r="B10825" s="24"/>
    </row>
    <row r="10826" spans="2:2">
      <c r="B10826" s="24"/>
    </row>
    <row r="10827" spans="2:2">
      <c r="B10827" s="24"/>
    </row>
    <row r="10828" spans="2:2">
      <c r="B10828" s="24"/>
    </row>
    <row r="10829" spans="2:2">
      <c r="B10829" s="24"/>
    </row>
    <row r="10830" spans="2:2">
      <c r="B10830" s="24"/>
    </row>
    <row r="10831" spans="2:2">
      <c r="B10831" s="24"/>
    </row>
    <row r="10832" spans="2:2">
      <c r="B10832" s="24"/>
    </row>
    <row r="10833" spans="2:2">
      <c r="B10833" s="24"/>
    </row>
    <row r="10834" spans="2:2">
      <c r="B10834" s="24"/>
    </row>
    <row r="10835" spans="2:2">
      <c r="B10835" s="24"/>
    </row>
    <row r="10836" spans="2:2">
      <c r="B10836" s="24"/>
    </row>
    <row r="10837" spans="2:2">
      <c r="B10837" s="24"/>
    </row>
    <row r="10838" spans="2:2">
      <c r="B10838" s="24"/>
    </row>
    <row r="10839" spans="2:2">
      <c r="B10839" s="24"/>
    </row>
    <row r="10840" spans="2:2">
      <c r="B10840" s="24"/>
    </row>
    <row r="10841" spans="2:2">
      <c r="B10841" s="24"/>
    </row>
    <row r="10842" spans="2:2">
      <c r="B10842" s="24"/>
    </row>
    <row r="10843" spans="2:2">
      <c r="B10843" s="24"/>
    </row>
    <row r="10844" spans="2:2">
      <c r="B10844" s="24"/>
    </row>
    <row r="10845" spans="2:2">
      <c r="B10845" s="24"/>
    </row>
    <row r="10846" spans="2:2">
      <c r="B10846" s="24"/>
    </row>
    <row r="10847" spans="2:2">
      <c r="B10847" s="24"/>
    </row>
    <row r="10848" spans="2:2">
      <c r="B10848" s="24"/>
    </row>
    <row r="10849" spans="2:2">
      <c r="B10849" s="24"/>
    </row>
    <row r="10850" spans="2:2">
      <c r="B10850" s="24"/>
    </row>
    <row r="10851" spans="2:2">
      <c r="B10851" s="24"/>
    </row>
    <row r="10852" spans="2:2">
      <c r="B10852" s="24"/>
    </row>
    <row r="10853" spans="2:2">
      <c r="B10853" s="24"/>
    </row>
    <row r="10854" spans="2:2">
      <c r="B10854" s="24"/>
    </row>
    <row r="10855" spans="2:2">
      <c r="B10855" s="24"/>
    </row>
    <row r="10856" spans="2:2">
      <c r="B10856" s="24"/>
    </row>
    <row r="10857" spans="2:2">
      <c r="B10857" s="24"/>
    </row>
    <row r="10858" spans="2:2">
      <c r="B10858" s="24"/>
    </row>
    <row r="10859" spans="2:2">
      <c r="B10859" s="24"/>
    </row>
    <row r="10860" spans="2:2">
      <c r="B10860" s="24"/>
    </row>
    <row r="10861" spans="2:2">
      <c r="B10861" s="24"/>
    </row>
    <row r="10862" spans="2:2">
      <c r="B10862" s="24"/>
    </row>
    <row r="10863" spans="2:2">
      <c r="B10863" s="24"/>
    </row>
    <row r="10864" spans="2:2">
      <c r="B10864" s="24"/>
    </row>
    <row r="10865" spans="2:2">
      <c r="B10865" s="24"/>
    </row>
    <row r="10866" spans="2:2">
      <c r="B10866" s="24"/>
    </row>
    <row r="10867" spans="2:2">
      <c r="B10867" s="24"/>
    </row>
    <row r="10868" spans="2:2">
      <c r="B10868" s="24"/>
    </row>
    <row r="10869" spans="2:2">
      <c r="B10869" s="24"/>
    </row>
    <row r="10870" spans="2:2">
      <c r="B10870" s="24"/>
    </row>
    <row r="10871" spans="2:2">
      <c r="B10871" s="24"/>
    </row>
    <row r="10872" spans="2:2">
      <c r="B10872" s="24"/>
    </row>
    <row r="10873" spans="2:2">
      <c r="B10873" s="24"/>
    </row>
    <row r="10874" spans="2:2">
      <c r="B10874" s="24"/>
    </row>
    <row r="10875" spans="2:2">
      <c r="B10875" s="24"/>
    </row>
    <row r="10876" spans="2:2">
      <c r="B10876" s="24"/>
    </row>
    <row r="10877" spans="2:2">
      <c r="B10877" s="24"/>
    </row>
    <row r="10878" spans="2:2">
      <c r="B10878" s="24"/>
    </row>
    <row r="10879" spans="2:2">
      <c r="B10879" s="24"/>
    </row>
    <row r="10880" spans="2:2">
      <c r="B10880" s="24"/>
    </row>
    <row r="10881" spans="2:2">
      <c r="B10881" s="24"/>
    </row>
    <row r="10882" spans="2:2">
      <c r="B10882" s="24"/>
    </row>
    <row r="10883" spans="2:2">
      <c r="B10883" s="24"/>
    </row>
    <row r="10884" spans="2:2">
      <c r="B10884" s="24"/>
    </row>
    <row r="10885" spans="2:2">
      <c r="B10885" s="24"/>
    </row>
    <row r="10886" spans="2:2">
      <c r="B10886" s="24"/>
    </row>
    <row r="10887" spans="2:2">
      <c r="B10887" s="24"/>
    </row>
    <row r="10888" spans="2:2">
      <c r="B10888" s="24"/>
    </row>
    <row r="10889" spans="2:2">
      <c r="B10889" s="24"/>
    </row>
    <row r="10890" spans="2:2">
      <c r="B10890" s="24"/>
    </row>
    <row r="10891" spans="2:2">
      <c r="B10891" s="24"/>
    </row>
    <row r="10892" spans="2:2">
      <c r="B10892" s="24"/>
    </row>
    <row r="10893" spans="2:2">
      <c r="B10893" s="24"/>
    </row>
    <row r="10894" spans="2:2">
      <c r="B10894" s="24"/>
    </row>
    <row r="10895" spans="2:2">
      <c r="B10895" s="24"/>
    </row>
    <row r="10896" spans="2:2">
      <c r="B10896" s="24"/>
    </row>
    <row r="10897" spans="2:2">
      <c r="B10897" s="24"/>
    </row>
    <row r="10898" spans="2:2">
      <c r="B10898" s="24"/>
    </row>
    <row r="10899" spans="2:2">
      <c r="B10899" s="24"/>
    </row>
    <row r="10900" spans="2:2">
      <c r="B10900" s="24"/>
    </row>
    <row r="10901" spans="2:2">
      <c r="B10901" s="24"/>
    </row>
    <row r="10902" spans="2:2">
      <c r="B10902" s="24"/>
    </row>
    <row r="10903" spans="2:2">
      <c r="B10903" s="24"/>
    </row>
    <row r="10904" spans="2:2">
      <c r="B10904" s="24"/>
    </row>
    <row r="10905" spans="2:2">
      <c r="B10905" s="24"/>
    </row>
    <row r="10906" spans="2:2">
      <c r="B10906" s="24"/>
    </row>
    <row r="10907" spans="2:2">
      <c r="B10907" s="24"/>
    </row>
    <row r="10908" spans="2:2">
      <c r="B10908" s="24"/>
    </row>
    <row r="10909" spans="2:2">
      <c r="B10909" s="24"/>
    </row>
    <row r="10910" spans="2:2">
      <c r="B10910" s="24"/>
    </row>
    <row r="10911" spans="2:2">
      <c r="B10911" s="24"/>
    </row>
    <row r="10912" spans="2:2">
      <c r="B10912" s="24"/>
    </row>
    <row r="10913" spans="2:2">
      <c r="B10913" s="24"/>
    </row>
    <row r="10914" spans="2:2">
      <c r="B10914" s="24"/>
    </row>
    <row r="10915" spans="2:2">
      <c r="B10915" s="24"/>
    </row>
    <row r="10916" spans="2:2">
      <c r="B10916" s="24"/>
    </row>
    <row r="10917" spans="2:2">
      <c r="B10917" s="24"/>
    </row>
    <row r="10918" spans="2:2">
      <c r="B10918" s="24"/>
    </row>
    <row r="10919" spans="2:2">
      <c r="B10919" s="24"/>
    </row>
    <row r="10920" spans="2:2">
      <c r="B10920" s="24"/>
    </row>
    <row r="10921" spans="2:2">
      <c r="B10921" s="24"/>
    </row>
    <row r="10922" spans="2:2">
      <c r="B10922" s="24"/>
    </row>
    <row r="10923" spans="2:2">
      <c r="B10923" s="24"/>
    </row>
    <row r="10924" spans="2:2">
      <c r="B10924" s="24"/>
    </row>
    <row r="10925" spans="2:2">
      <c r="B10925" s="24"/>
    </row>
    <row r="10926" spans="2:2">
      <c r="B10926" s="24"/>
    </row>
    <row r="10927" spans="2:2">
      <c r="B10927" s="24"/>
    </row>
    <row r="10928" spans="2:2">
      <c r="B10928" s="24"/>
    </row>
    <row r="10929" spans="2:2">
      <c r="B10929" s="24"/>
    </row>
    <row r="10930" spans="2:2">
      <c r="B10930" s="24"/>
    </row>
    <row r="10931" spans="2:2">
      <c r="B10931" s="24"/>
    </row>
    <row r="10932" spans="2:2">
      <c r="B10932" s="24"/>
    </row>
    <row r="10933" spans="2:2">
      <c r="B10933" s="24"/>
    </row>
    <row r="10934" spans="2:2">
      <c r="B10934" s="24"/>
    </row>
    <row r="10935" spans="2:2">
      <c r="B10935" s="24"/>
    </row>
    <row r="10936" spans="2:2">
      <c r="B10936" s="24"/>
    </row>
    <row r="10937" spans="2:2">
      <c r="B10937" s="24"/>
    </row>
    <row r="10938" spans="2:2">
      <c r="B10938" s="24"/>
    </row>
    <row r="10939" spans="2:2">
      <c r="B10939" s="24"/>
    </row>
    <row r="10940" spans="2:2">
      <c r="B10940" s="24"/>
    </row>
    <row r="10941" spans="2:2">
      <c r="B10941" s="24"/>
    </row>
    <row r="10942" spans="2:2">
      <c r="B10942" s="24"/>
    </row>
    <row r="10943" spans="2:2">
      <c r="B10943" s="24"/>
    </row>
    <row r="10944" spans="2:2">
      <c r="B10944" s="24"/>
    </row>
    <row r="10945" spans="2:2">
      <c r="B10945" s="24"/>
    </row>
    <row r="10946" spans="2:2">
      <c r="B10946" s="24"/>
    </row>
    <row r="10947" spans="2:2">
      <c r="B10947" s="24"/>
    </row>
    <row r="10948" spans="2:2">
      <c r="B10948" s="24"/>
    </row>
    <row r="10949" spans="2:2">
      <c r="B10949" s="24"/>
    </row>
    <row r="10950" spans="2:2">
      <c r="B10950" s="24"/>
    </row>
    <row r="10951" spans="2:2">
      <c r="B10951" s="24"/>
    </row>
    <row r="10952" spans="2:2">
      <c r="B10952" s="24"/>
    </row>
    <row r="10953" spans="2:2">
      <c r="B10953" s="24"/>
    </row>
    <row r="10954" spans="2:2">
      <c r="B10954" s="24"/>
    </row>
    <row r="10955" spans="2:2">
      <c r="B10955" s="24"/>
    </row>
    <row r="10956" spans="2:2">
      <c r="B10956" s="24"/>
    </row>
    <row r="10957" spans="2:2">
      <c r="B10957" s="24"/>
    </row>
    <row r="10958" spans="2:2">
      <c r="B10958" s="24"/>
    </row>
    <row r="10959" spans="2:2">
      <c r="B10959" s="24"/>
    </row>
    <row r="10960" spans="2:2">
      <c r="B10960" s="24"/>
    </row>
    <row r="10961" spans="2:2">
      <c r="B10961" s="24"/>
    </row>
    <row r="10962" spans="2:2">
      <c r="B10962" s="24"/>
    </row>
    <row r="10963" spans="2:2">
      <c r="B10963" s="24"/>
    </row>
    <row r="10964" spans="2:2">
      <c r="B10964" s="24"/>
    </row>
    <row r="10965" spans="2:2">
      <c r="B10965" s="24"/>
    </row>
    <row r="10966" spans="2:2">
      <c r="B10966" s="24"/>
    </row>
    <row r="10967" spans="2:2">
      <c r="B10967" s="24"/>
    </row>
    <row r="10968" spans="2:2">
      <c r="B10968" s="24"/>
    </row>
    <row r="10969" spans="2:2">
      <c r="B10969" s="24"/>
    </row>
    <row r="10970" spans="2:2">
      <c r="B10970" s="24"/>
    </row>
    <row r="10971" spans="2:2">
      <c r="B10971" s="24"/>
    </row>
    <row r="10972" spans="2:2">
      <c r="B10972" s="24"/>
    </row>
    <row r="10973" spans="2:2">
      <c r="B10973" s="24"/>
    </row>
    <row r="10974" spans="2:2">
      <c r="B10974" s="24"/>
    </row>
    <row r="10975" spans="2:2">
      <c r="B10975" s="24"/>
    </row>
    <row r="10976" spans="2:2">
      <c r="B10976" s="24"/>
    </row>
    <row r="10977" spans="2:2">
      <c r="B10977" s="24"/>
    </row>
    <row r="10978" spans="2:2">
      <c r="B10978" s="24"/>
    </row>
    <row r="10979" spans="2:2">
      <c r="B10979" s="24"/>
    </row>
    <row r="10980" spans="2:2">
      <c r="B10980" s="24"/>
    </row>
    <row r="10981" spans="2:2">
      <c r="B10981" s="24"/>
    </row>
    <row r="10982" spans="2:2">
      <c r="B10982" s="24"/>
    </row>
    <row r="10983" spans="2:2">
      <c r="B10983" s="24"/>
    </row>
    <row r="10984" spans="2:2">
      <c r="B10984" s="24"/>
    </row>
    <row r="10985" spans="2:2">
      <c r="B10985" s="24"/>
    </row>
    <row r="10986" spans="2:2">
      <c r="B10986" s="24"/>
    </row>
    <row r="10987" spans="2:2">
      <c r="B10987" s="24"/>
    </row>
    <row r="10988" spans="2:2">
      <c r="B10988" s="24"/>
    </row>
    <row r="10989" spans="2:2">
      <c r="B10989" s="24"/>
    </row>
    <row r="10990" spans="2:2">
      <c r="B10990" s="24"/>
    </row>
    <row r="10991" spans="2:2">
      <c r="B10991" s="24"/>
    </row>
    <row r="10992" spans="2:2">
      <c r="B10992" s="24"/>
    </row>
    <row r="10993" spans="2:2">
      <c r="B10993" s="24"/>
    </row>
    <row r="10994" spans="2:2">
      <c r="B10994" s="24"/>
    </row>
    <row r="10995" spans="2:2">
      <c r="B10995" s="24"/>
    </row>
    <row r="10996" spans="2:2">
      <c r="B10996" s="24"/>
    </row>
    <row r="10997" spans="2:2">
      <c r="B10997" s="24"/>
    </row>
    <row r="10998" spans="2:2">
      <c r="B10998" s="24"/>
    </row>
    <row r="10999" spans="2:2">
      <c r="B10999" s="24"/>
    </row>
    <row r="11000" spans="2:2">
      <c r="B11000" s="24"/>
    </row>
    <row r="11001" spans="2:2">
      <c r="B11001" s="24"/>
    </row>
    <row r="11002" spans="2:2">
      <c r="B11002" s="24"/>
    </row>
    <row r="11003" spans="2:2">
      <c r="B11003" s="24"/>
    </row>
    <row r="11004" spans="2:2">
      <c r="B11004" s="24"/>
    </row>
    <row r="11005" spans="2:2">
      <c r="B11005" s="24"/>
    </row>
    <row r="11006" spans="2:2">
      <c r="B11006" s="24"/>
    </row>
    <row r="11007" spans="2:2">
      <c r="B11007" s="24"/>
    </row>
    <row r="11008" spans="2:2">
      <c r="B11008" s="24"/>
    </row>
    <row r="11009" spans="2:2">
      <c r="B11009" s="24"/>
    </row>
    <row r="11010" spans="2:2">
      <c r="B11010" s="24"/>
    </row>
    <row r="11011" spans="2:2">
      <c r="B11011" s="24"/>
    </row>
    <row r="11012" spans="2:2">
      <c r="B11012" s="24"/>
    </row>
    <row r="11013" spans="2:2">
      <c r="B11013" s="24"/>
    </row>
    <row r="11014" spans="2:2">
      <c r="B11014" s="24"/>
    </row>
    <row r="11015" spans="2:2">
      <c r="B11015" s="24"/>
    </row>
    <row r="11016" spans="2:2">
      <c r="B11016" s="24"/>
    </row>
    <row r="11017" spans="2:2">
      <c r="B11017" s="24"/>
    </row>
    <row r="11018" spans="2:2">
      <c r="B11018" s="24"/>
    </row>
    <row r="11019" spans="2:2">
      <c r="B11019" s="24"/>
    </row>
    <row r="11020" spans="2:2">
      <c r="B11020" s="24"/>
    </row>
    <row r="11021" spans="2:2">
      <c r="B11021" s="24"/>
    </row>
    <row r="11022" spans="2:2">
      <c r="B11022" s="24"/>
    </row>
    <row r="11023" spans="2:2">
      <c r="B11023" s="24"/>
    </row>
    <row r="11024" spans="2:2">
      <c r="B11024" s="24"/>
    </row>
    <row r="11025" spans="2:2">
      <c r="B11025" s="24"/>
    </row>
    <row r="11026" spans="2:2">
      <c r="B11026" s="24"/>
    </row>
    <row r="11027" spans="2:2">
      <c r="B11027" s="24"/>
    </row>
    <row r="11028" spans="2:2">
      <c r="B11028" s="24"/>
    </row>
    <row r="11029" spans="2:2">
      <c r="B11029" s="24"/>
    </row>
    <row r="11030" spans="2:2">
      <c r="B11030" s="24"/>
    </row>
    <row r="11031" spans="2:2">
      <c r="B11031" s="24"/>
    </row>
    <row r="11032" spans="2:2">
      <c r="B11032" s="24"/>
    </row>
    <row r="11033" spans="2:2">
      <c r="B11033" s="24"/>
    </row>
    <row r="11034" spans="2:2">
      <c r="B11034" s="24"/>
    </row>
    <row r="11035" spans="2:2">
      <c r="B11035" s="24"/>
    </row>
    <row r="11036" spans="2:2">
      <c r="B11036" s="24"/>
    </row>
    <row r="11037" spans="2:2">
      <c r="B11037" s="24"/>
    </row>
    <row r="11038" spans="2:2">
      <c r="B11038" s="24"/>
    </row>
    <row r="11039" spans="2:2">
      <c r="B11039" s="24"/>
    </row>
    <row r="11040" spans="2:2">
      <c r="B11040" s="24"/>
    </row>
    <row r="11041" spans="2:2">
      <c r="B11041" s="24"/>
    </row>
    <row r="11042" spans="2:2">
      <c r="B11042" s="24"/>
    </row>
    <row r="11043" spans="2:2">
      <c r="B11043" s="24"/>
    </row>
    <row r="11044" spans="2:2">
      <c r="B11044" s="24"/>
    </row>
    <row r="11045" spans="2:2">
      <c r="B11045" s="24"/>
    </row>
    <row r="11046" spans="2:2">
      <c r="B11046" s="24"/>
    </row>
    <row r="11047" spans="2:2">
      <c r="B11047" s="24"/>
    </row>
    <row r="11048" spans="2:2">
      <c r="B11048" s="24"/>
    </row>
    <row r="11049" spans="2:2">
      <c r="B11049" s="24"/>
    </row>
    <row r="11050" spans="2:2">
      <c r="B11050" s="24"/>
    </row>
    <row r="11051" spans="2:2">
      <c r="B11051" s="24"/>
    </row>
    <row r="11052" spans="2:2">
      <c r="B11052" s="24"/>
    </row>
    <row r="11053" spans="2:2">
      <c r="B11053" s="24"/>
    </row>
    <row r="11054" spans="2:2">
      <c r="B11054" s="24"/>
    </row>
    <row r="11055" spans="2:2">
      <c r="B11055" s="24"/>
    </row>
    <row r="11056" spans="2:2">
      <c r="B11056" s="24"/>
    </row>
    <row r="11057" spans="2:2">
      <c r="B11057" s="24"/>
    </row>
    <row r="11058" spans="2:2">
      <c r="B11058" s="24"/>
    </row>
    <row r="11059" spans="2:2">
      <c r="B11059" s="24"/>
    </row>
    <row r="11060" spans="2:2">
      <c r="B11060" s="24"/>
    </row>
    <row r="11061" spans="2:2">
      <c r="B11061" s="24"/>
    </row>
    <row r="11062" spans="2:2">
      <c r="B11062" s="24"/>
    </row>
    <row r="11063" spans="2:2">
      <c r="B11063" s="24"/>
    </row>
    <row r="11064" spans="2:2">
      <c r="B11064" s="24"/>
    </row>
    <row r="11065" spans="2:2">
      <c r="B11065" s="24"/>
    </row>
    <row r="11066" spans="2:2">
      <c r="B11066" s="24"/>
    </row>
    <row r="11067" spans="2:2">
      <c r="B11067" s="24"/>
    </row>
    <row r="11068" spans="2:2">
      <c r="B11068" s="24"/>
    </row>
    <row r="11069" spans="2:2">
      <c r="B11069" s="24"/>
    </row>
    <row r="11070" spans="2:2">
      <c r="B11070" s="24"/>
    </row>
    <row r="11071" spans="2:2">
      <c r="B11071" s="24"/>
    </row>
    <row r="11072" spans="2:2">
      <c r="B11072" s="24"/>
    </row>
    <row r="11073" spans="2:2">
      <c r="B11073" s="24"/>
    </row>
    <row r="11074" spans="2:2">
      <c r="B11074" s="24"/>
    </row>
    <row r="11075" spans="2:2">
      <c r="B11075" s="24"/>
    </row>
    <row r="11076" spans="2:2">
      <c r="B11076" s="24"/>
    </row>
    <row r="11077" spans="2:2">
      <c r="B11077" s="24"/>
    </row>
    <row r="11078" spans="2:2">
      <c r="B11078" s="24"/>
    </row>
    <row r="11079" spans="2:2">
      <c r="B11079" s="24"/>
    </row>
    <row r="11080" spans="2:2">
      <c r="B11080" s="24"/>
    </row>
    <row r="11081" spans="2:2">
      <c r="B11081" s="24"/>
    </row>
    <row r="11082" spans="2:2">
      <c r="B11082" s="24"/>
    </row>
    <row r="11083" spans="2:2">
      <c r="B11083" s="24"/>
    </row>
    <row r="11084" spans="2:2">
      <c r="B11084" s="24"/>
    </row>
    <row r="11085" spans="2:2">
      <c r="B11085" s="24"/>
    </row>
    <row r="11086" spans="2:2">
      <c r="B11086" s="24"/>
    </row>
    <row r="11087" spans="2:2">
      <c r="B11087" s="24"/>
    </row>
    <row r="11088" spans="2:2">
      <c r="B11088" s="24"/>
    </row>
    <row r="11089" spans="2:2">
      <c r="B11089" s="24"/>
    </row>
    <row r="11090" spans="2:2">
      <c r="B11090" s="24"/>
    </row>
    <row r="11091" spans="2:2">
      <c r="B11091" s="24"/>
    </row>
    <row r="11092" spans="2:2">
      <c r="B11092" s="24"/>
    </row>
    <row r="11093" spans="2:2">
      <c r="B11093" s="24"/>
    </row>
    <row r="11094" spans="2:2">
      <c r="B11094" s="24"/>
    </row>
    <row r="11095" spans="2:2">
      <c r="B11095" s="24"/>
    </row>
    <row r="11096" spans="2:2">
      <c r="B11096" s="24"/>
    </row>
    <row r="11097" spans="2:2">
      <c r="B11097" s="24"/>
    </row>
    <row r="11098" spans="2:2">
      <c r="B11098" s="24"/>
    </row>
    <row r="11099" spans="2:2">
      <c r="B11099" s="24"/>
    </row>
    <row r="11100" spans="2:2">
      <c r="B11100" s="24"/>
    </row>
    <row r="11101" spans="2:2">
      <c r="B11101" s="24"/>
    </row>
    <row r="11102" spans="2:2">
      <c r="B11102" s="24"/>
    </row>
    <row r="11103" spans="2:2">
      <c r="B11103" s="24"/>
    </row>
    <row r="11104" spans="2:2">
      <c r="B11104" s="24"/>
    </row>
    <row r="11105" spans="2:2">
      <c r="B11105" s="24"/>
    </row>
    <row r="11106" spans="2:2">
      <c r="B11106" s="24"/>
    </row>
    <row r="11107" spans="2:2">
      <c r="B11107" s="24"/>
    </row>
    <row r="11108" spans="2:2">
      <c r="B11108" s="24"/>
    </row>
    <row r="11109" spans="2:2">
      <c r="B11109" s="24"/>
    </row>
    <row r="11110" spans="2:2">
      <c r="B11110" s="24"/>
    </row>
    <row r="11111" spans="2:2">
      <c r="B11111" s="24"/>
    </row>
    <row r="11112" spans="2:2">
      <c r="B11112" s="24"/>
    </row>
    <row r="11113" spans="2:2">
      <c r="B11113" s="24"/>
    </row>
    <row r="11114" spans="2:2">
      <c r="B11114" s="24"/>
    </row>
    <row r="11115" spans="2:2">
      <c r="B11115" s="24"/>
    </row>
    <row r="11116" spans="2:2">
      <c r="B11116" s="24"/>
    </row>
    <row r="11117" spans="2:2">
      <c r="B11117" s="24"/>
    </row>
    <row r="11118" spans="2:2">
      <c r="B11118" s="24"/>
    </row>
    <row r="11119" spans="2:2">
      <c r="B11119" s="24"/>
    </row>
    <row r="11120" spans="2:2">
      <c r="B11120" s="24"/>
    </row>
    <row r="11121" spans="2:2">
      <c r="B11121" s="24"/>
    </row>
    <row r="11122" spans="2:2">
      <c r="B11122" s="24"/>
    </row>
    <row r="11123" spans="2:2">
      <c r="B11123" s="24"/>
    </row>
    <row r="11124" spans="2:2">
      <c r="B11124" s="24"/>
    </row>
    <row r="11125" spans="2:2">
      <c r="B11125" s="24"/>
    </row>
    <row r="11126" spans="2:2">
      <c r="B11126" s="24"/>
    </row>
    <row r="11127" spans="2:2">
      <c r="B11127" s="24"/>
    </row>
    <row r="11128" spans="2:2">
      <c r="B11128" s="24"/>
    </row>
    <row r="11129" spans="2:2">
      <c r="B11129" s="24"/>
    </row>
    <row r="11130" spans="2:2">
      <c r="B11130" s="24"/>
    </row>
    <row r="11131" spans="2:2">
      <c r="B11131" s="24"/>
    </row>
    <row r="11132" spans="2:2">
      <c r="B11132" s="24"/>
    </row>
    <row r="11133" spans="2:2">
      <c r="B11133" s="24"/>
    </row>
    <row r="11134" spans="2:2">
      <c r="B11134" s="24"/>
    </row>
    <row r="11135" spans="2:2">
      <c r="B11135" s="24"/>
    </row>
    <row r="11136" spans="2:2">
      <c r="B11136" s="24"/>
    </row>
    <row r="11137" spans="2:2">
      <c r="B11137" s="24"/>
    </row>
    <row r="11138" spans="2:2">
      <c r="B11138" s="24"/>
    </row>
    <row r="11139" spans="2:2">
      <c r="B11139" s="24"/>
    </row>
    <row r="11140" spans="2:2">
      <c r="B11140" s="24"/>
    </row>
    <row r="11141" spans="2:2">
      <c r="B11141" s="24"/>
    </row>
    <row r="11142" spans="2:2">
      <c r="B11142" s="24"/>
    </row>
    <row r="11143" spans="2:2">
      <c r="B11143" s="24"/>
    </row>
    <row r="11144" spans="2:2">
      <c r="B11144" s="24"/>
    </row>
    <row r="11145" spans="2:2">
      <c r="B11145" s="24"/>
    </row>
    <row r="11146" spans="2:2">
      <c r="B11146" s="24"/>
    </row>
    <row r="11147" spans="2:2">
      <c r="B11147" s="24"/>
    </row>
    <row r="11148" spans="2:2">
      <c r="B11148" s="24"/>
    </row>
    <row r="11149" spans="2:2">
      <c r="B11149" s="24"/>
    </row>
    <row r="11150" spans="2:2">
      <c r="B11150" s="24"/>
    </row>
    <row r="11151" spans="2:2">
      <c r="B11151" s="24"/>
    </row>
    <row r="11152" spans="2:2">
      <c r="B11152" s="24"/>
    </row>
    <row r="11153" spans="2:2">
      <c r="B11153" s="24"/>
    </row>
    <row r="11154" spans="2:2">
      <c r="B11154" s="24"/>
    </row>
    <row r="11155" spans="2:2">
      <c r="B11155" s="24"/>
    </row>
    <row r="11156" spans="2:2">
      <c r="B11156" s="24"/>
    </row>
    <row r="11157" spans="2:2">
      <c r="B11157" s="24"/>
    </row>
    <row r="11158" spans="2:2">
      <c r="B11158" s="24"/>
    </row>
    <row r="11159" spans="2:2">
      <c r="B11159" s="24"/>
    </row>
    <row r="11160" spans="2:2">
      <c r="B11160" s="24"/>
    </row>
    <row r="11161" spans="2:2">
      <c r="B11161" s="24"/>
    </row>
    <row r="11162" spans="2:2">
      <c r="B11162" s="24"/>
    </row>
    <row r="11163" spans="2:2">
      <c r="B11163" s="24"/>
    </row>
    <row r="11164" spans="2:2">
      <c r="B11164" s="24"/>
    </row>
    <row r="11165" spans="2:2">
      <c r="B11165" s="24"/>
    </row>
    <row r="11166" spans="2:2">
      <c r="B11166" s="24"/>
    </row>
    <row r="11167" spans="2:2">
      <c r="B11167" s="24"/>
    </row>
    <row r="11168" spans="2:2">
      <c r="B11168" s="24"/>
    </row>
    <row r="11169" spans="2:2">
      <c r="B11169" s="24"/>
    </row>
    <row r="11170" spans="2:2">
      <c r="B11170" s="24"/>
    </row>
    <row r="11171" spans="2:2">
      <c r="B11171" s="24"/>
    </row>
    <row r="11172" spans="2:2">
      <c r="B11172" s="24"/>
    </row>
    <row r="11173" spans="2:2">
      <c r="B11173" s="24"/>
    </row>
    <row r="11174" spans="2:2">
      <c r="B11174" s="24"/>
    </row>
    <row r="11175" spans="2:2">
      <c r="B11175" s="24"/>
    </row>
    <row r="11176" spans="2:2">
      <c r="B11176" s="24"/>
    </row>
    <row r="11177" spans="2:2">
      <c r="B11177" s="24"/>
    </row>
    <row r="11178" spans="2:2">
      <c r="B11178" s="24"/>
    </row>
    <row r="11179" spans="2:2">
      <c r="B11179" s="24"/>
    </row>
    <row r="11180" spans="2:2">
      <c r="B11180" s="24"/>
    </row>
    <row r="11181" spans="2:2">
      <c r="B11181" s="24"/>
    </row>
    <row r="11182" spans="2:2">
      <c r="B11182" s="24"/>
    </row>
    <row r="11183" spans="2:2">
      <c r="B11183" s="24"/>
    </row>
    <row r="11184" spans="2:2">
      <c r="B11184" s="24"/>
    </row>
    <row r="11185" spans="2:2">
      <c r="B11185" s="24"/>
    </row>
    <row r="11186" spans="2:2">
      <c r="B11186" s="24"/>
    </row>
    <row r="11187" spans="2:2">
      <c r="B11187" s="24"/>
    </row>
    <row r="11188" spans="2:2">
      <c r="B11188" s="24"/>
    </row>
    <row r="11189" spans="2:2">
      <c r="B11189" s="24"/>
    </row>
    <row r="11190" spans="2:2">
      <c r="B11190" s="24"/>
    </row>
    <row r="11191" spans="2:2">
      <c r="B11191" s="24"/>
    </row>
    <row r="11192" spans="2:2">
      <c r="B11192" s="24"/>
    </row>
    <row r="11193" spans="2:2">
      <c r="B11193" s="24"/>
    </row>
    <row r="11194" spans="2:2">
      <c r="B11194" s="24"/>
    </row>
    <row r="11195" spans="2:2">
      <c r="B11195" s="24"/>
    </row>
    <row r="11196" spans="2:2">
      <c r="B11196" s="24"/>
    </row>
    <row r="11197" spans="2:2">
      <c r="B11197" s="24"/>
    </row>
    <row r="11198" spans="2:2">
      <c r="B11198" s="24"/>
    </row>
    <row r="11199" spans="2:2">
      <c r="B11199" s="24"/>
    </row>
    <row r="11200" spans="2:2">
      <c r="B11200" s="24"/>
    </row>
    <row r="11201" spans="2:2">
      <c r="B11201" s="24"/>
    </row>
    <row r="11202" spans="2:2">
      <c r="B11202" s="24"/>
    </row>
    <row r="11203" spans="2:2">
      <c r="B11203" s="24"/>
    </row>
    <row r="11204" spans="2:2">
      <c r="B11204" s="24"/>
    </row>
    <row r="11205" spans="2:2">
      <c r="B11205" s="24"/>
    </row>
    <row r="11206" spans="2:2">
      <c r="B11206" s="24"/>
    </row>
    <row r="11207" spans="2:2">
      <c r="B11207" s="24"/>
    </row>
    <row r="11208" spans="2:2">
      <c r="B11208" s="24"/>
    </row>
    <row r="11209" spans="2:2">
      <c r="B11209" s="24"/>
    </row>
    <row r="11210" spans="2:2">
      <c r="B11210" s="24"/>
    </row>
    <row r="11211" spans="2:2">
      <c r="B11211" s="24"/>
    </row>
    <row r="11212" spans="2:2">
      <c r="B11212" s="24"/>
    </row>
    <row r="11213" spans="2:2">
      <c r="B11213" s="24"/>
    </row>
    <row r="11214" spans="2:2">
      <c r="B11214" s="24"/>
    </row>
    <row r="11215" spans="2:2">
      <c r="B11215" s="24"/>
    </row>
    <row r="11216" spans="2:2">
      <c r="B11216" s="24"/>
    </row>
    <row r="11217" spans="2:2">
      <c r="B11217" s="24"/>
    </row>
    <row r="11218" spans="2:2">
      <c r="B11218" s="24"/>
    </row>
    <row r="11219" spans="2:2">
      <c r="B11219" s="24"/>
    </row>
    <row r="11220" spans="2:2">
      <c r="B11220" s="24"/>
    </row>
    <row r="11221" spans="2:2">
      <c r="B11221" s="24"/>
    </row>
    <row r="11222" spans="2:2">
      <c r="B11222" s="24"/>
    </row>
    <row r="11223" spans="2:2">
      <c r="B11223" s="24"/>
    </row>
    <row r="11224" spans="2:2">
      <c r="B11224" s="24"/>
    </row>
    <row r="11225" spans="2:2">
      <c r="B11225" s="24"/>
    </row>
    <row r="11226" spans="2:2">
      <c r="B11226" s="24"/>
    </row>
    <row r="11227" spans="2:2">
      <c r="B11227" s="24"/>
    </row>
    <row r="11228" spans="2:2">
      <c r="B11228" s="24"/>
    </row>
    <row r="11229" spans="2:2">
      <c r="B11229" s="24"/>
    </row>
    <row r="11230" spans="2:2">
      <c r="B11230" s="24"/>
    </row>
    <row r="11231" spans="2:2">
      <c r="B11231" s="24"/>
    </row>
    <row r="11232" spans="2:2">
      <c r="B11232" s="24"/>
    </row>
    <row r="11233" spans="2:2">
      <c r="B11233" s="24"/>
    </row>
    <row r="11234" spans="2:2">
      <c r="B11234" s="24"/>
    </row>
    <row r="11235" spans="2:2">
      <c r="B11235" s="24"/>
    </row>
    <row r="11236" spans="2:2">
      <c r="B11236" s="24"/>
    </row>
    <row r="11237" spans="2:2">
      <c r="B11237" s="24"/>
    </row>
    <row r="11238" spans="2:2">
      <c r="B11238" s="24"/>
    </row>
    <row r="11239" spans="2:2">
      <c r="B11239" s="24"/>
    </row>
    <row r="11240" spans="2:2">
      <c r="B11240" s="24"/>
    </row>
    <row r="11241" spans="2:2">
      <c r="B11241" s="24"/>
    </row>
    <row r="11242" spans="2:2">
      <c r="B11242" s="24"/>
    </row>
    <row r="11243" spans="2:2">
      <c r="B11243" s="24"/>
    </row>
    <row r="11244" spans="2:2">
      <c r="B11244" s="24"/>
    </row>
    <row r="11245" spans="2:2">
      <c r="B11245" s="24"/>
    </row>
    <row r="11246" spans="2:2">
      <c r="B11246" s="24"/>
    </row>
    <row r="11247" spans="2:2">
      <c r="B11247" s="24"/>
    </row>
    <row r="11248" spans="2:2">
      <c r="B11248" s="24"/>
    </row>
    <row r="11249" spans="2:2">
      <c r="B11249" s="24"/>
    </row>
    <row r="11250" spans="2:2">
      <c r="B11250" s="24"/>
    </row>
    <row r="11251" spans="2:2">
      <c r="B11251" s="24"/>
    </row>
    <row r="11252" spans="2:2">
      <c r="B11252" s="24"/>
    </row>
    <row r="11253" spans="2:2">
      <c r="B11253" s="24"/>
    </row>
    <row r="11254" spans="2:2">
      <c r="B11254" s="24"/>
    </row>
    <row r="11255" spans="2:2">
      <c r="B11255" s="24"/>
    </row>
    <row r="11256" spans="2:2">
      <c r="B11256" s="24"/>
    </row>
    <row r="11257" spans="2:2">
      <c r="B11257" s="24"/>
    </row>
    <row r="11258" spans="2:2">
      <c r="B11258" s="24"/>
    </row>
    <row r="11259" spans="2:2">
      <c r="B11259" s="24"/>
    </row>
    <row r="11260" spans="2:2">
      <c r="B11260" s="24"/>
    </row>
    <row r="11261" spans="2:2">
      <c r="B11261" s="24"/>
    </row>
    <row r="11262" spans="2:2">
      <c r="B11262" s="24"/>
    </row>
    <row r="11263" spans="2:2">
      <c r="B11263" s="24"/>
    </row>
    <row r="11264" spans="2:2">
      <c r="B11264" s="24"/>
    </row>
    <row r="11265" spans="2:2">
      <c r="B11265" s="24"/>
    </row>
    <row r="11266" spans="2:2">
      <c r="B11266" s="24"/>
    </row>
    <row r="11267" spans="2:2">
      <c r="B11267" s="24"/>
    </row>
    <row r="11268" spans="2:2">
      <c r="B11268" s="24"/>
    </row>
    <row r="11269" spans="2:2">
      <c r="B11269" s="24"/>
    </row>
    <row r="11270" spans="2:2">
      <c r="B11270" s="24"/>
    </row>
    <row r="11271" spans="2:2">
      <c r="B11271" s="24"/>
    </row>
    <row r="11272" spans="2:2">
      <c r="B11272" s="24"/>
    </row>
    <row r="11273" spans="2:2">
      <c r="B11273" s="24"/>
    </row>
    <row r="11274" spans="2:2">
      <c r="B11274" s="24"/>
    </row>
    <row r="11275" spans="2:2">
      <c r="B11275" s="24"/>
    </row>
    <row r="11276" spans="2:2">
      <c r="B11276" s="24"/>
    </row>
    <row r="11277" spans="2:2">
      <c r="B11277" s="24"/>
    </row>
    <row r="11278" spans="2:2">
      <c r="B11278" s="24"/>
    </row>
    <row r="11279" spans="2:2">
      <c r="B11279" s="24"/>
    </row>
    <row r="11280" spans="2:2">
      <c r="B11280" s="24"/>
    </row>
    <row r="11281" spans="2:2">
      <c r="B11281" s="24"/>
    </row>
    <row r="11282" spans="2:2">
      <c r="B11282" s="24"/>
    </row>
    <row r="11283" spans="2:2">
      <c r="B11283" s="24"/>
    </row>
    <row r="11284" spans="2:2">
      <c r="B11284" s="24"/>
    </row>
    <row r="11285" spans="2:2">
      <c r="B11285" s="24"/>
    </row>
    <row r="11286" spans="2:2">
      <c r="B11286" s="24"/>
    </row>
    <row r="11287" spans="2:2">
      <c r="B11287" s="24"/>
    </row>
    <row r="11288" spans="2:2">
      <c r="B11288" s="24"/>
    </row>
    <row r="11289" spans="2:2">
      <c r="B11289" s="24"/>
    </row>
    <row r="11290" spans="2:2">
      <c r="B11290" s="24"/>
    </row>
    <row r="11291" spans="2:2">
      <c r="B11291" s="24"/>
    </row>
    <row r="11292" spans="2:2">
      <c r="B11292" s="24"/>
    </row>
    <row r="11293" spans="2:2">
      <c r="B11293" s="24"/>
    </row>
    <row r="11294" spans="2:2">
      <c r="B11294" s="24"/>
    </row>
    <row r="11295" spans="2:2">
      <c r="B11295" s="24"/>
    </row>
    <row r="11296" spans="2:2">
      <c r="B11296" s="24"/>
    </row>
    <row r="11297" spans="2:2">
      <c r="B11297" s="24"/>
    </row>
    <row r="11298" spans="2:2">
      <c r="B11298" s="24"/>
    </row>
    <row r="11299" spans="2:2">
      <c r="B11299" s="24"/>
    </row>
    <row r="11300" spans="2:2">
      <c r="B11300" s="24"/>
    </row>
    <row r="11301" spans="2:2">
      <c r="B11301" s="24"/>
    </row>
    <row r="11302" spans="2:2">
      <c r="B11302" s="24"/>
    </row>
    <row r="11303" spans="2:2">
      <c r="B11303" s="24"/>
    </row>
    <row r="11304" spans="2:2">
      <c r="B11304" s="24"/>
    </row>
    <row r="11305" spans="2:2">
      <c r="B11305" s="24"/>
    </row>
    <row r="11306" spans="2:2">
      <c r="B11306" s="24"/>
    </row>
    <row r="11307" spans="2:2">
      <c r="B11307" s="24"/>
    </row>
    <row r="11308" spans="2:2">
      <c r="B11308" s="24"/>
    </row>
    <row r="11309" spans="2:2">
      <c r="B11309" s="24"/>
    </row>
    <row r="11310" spans="2:2">
      <c r="B11310" s="24"/>
    </row>
    <row r="11311" spans="2:2">
      <c r="B11311" s="24"/>
    </row>
    <row r="11312" spans="2:2">
      <c r="B11312" s="24"/>
    </row>
    <row r="11313" spans="2:2">
      <c r="B11313" s="24"/>
    </row>
    <row r="11314" spans="2:2">
      <c r="B11314" s="24"/>
    </row>
    <row r="11315" spans="2:2">
      <c r="B11315" s="24"/>
    </row>
    <row r="11316" spans="2:2">
      <c r="B11316" s="24"/>
    </row>
    <row r="11317" spans="2:2">
      <c r="B11317" s="24"/>
    </row>
    <row r="11318" spans="2:2">
      <c r="B11318" s="24"/>
    </row>
    <row r="11319" spans="2:2">
      <c r="B11319" s="24"/>
    </row>
    <row r="11320" spans="2:2">
      <c r="B11320" s="24"/>
    </row>
    <row r="11321" spans="2:2">
      <c r="B11321" s="24"/>
    </row>
    <row r="11322" spans="2:2">
      <c r="B11322" s="24"/>
    </row>
    <row r="11323" spans="2:2">
      <c r="B11323" s="24"/>
    </row>
    <row r="11324" spans="2:2">
      <c r="B11324" s="24"/>
    </row>
    <row r="11325" spans="2:2">
      <c r="B11325" s="24"/>
    </row>
    <row r="11326" spans="2:2">
      <c r="B11326" s="24"/>
    </row>
    <row r="11327" spans="2:2">
      <c r="B11327" s="24"/>
    </row>
    <row r="11328" spans="2:2">
      <c r="B11328" s="24"/>
    </row>
    <row r="11329" spans="2:2">
      <c r="B11329" s="24"/>
    </row>
    <row r="11330" spans="2:2">
      <c r="B11330" s="24"/>
    </row>
    <row r="11331" spans="2:2">
      <c r="B11331" s="24"/>
    </row>
    <row r="11332" spans="2:2">
      <c r="B11332" s="24"/>
    </row>
    <row r="11333" spans="2:2">
      <c r="B11333" s="24"/>
    </row>
    <row r="11334" spans="2:2">
      <c r="B11334" s="24"/>
    </row>
    <row r="11335" spans="2:2">
      <c r="B11335" s="24"/>
    </row>
    <row r="11336" spans="2:2">
      <c r="B11336" s="24"/>
    </row>
    <row r="11337" spans="2:2">
      <c r="B11337" s="24"/>
    </row>
    <row r="11338" spans="2:2">
      <c r="B11338" s="24"/>
    </row>
    <row r="11339" spans="2:2">
      <c r="B11339" s="24"/>
    </row>
    <row r="11340" spans="2:2">
      <c r="B11340" s="24"/>
    </row>
    <row r="11341" spans="2:2">
      <c r="B11341" s="24"/>
    </row>
    <row r="11342" spans="2:2">
      <c r="B11342" s="24"/>
    </row>
    <row r="11343" spans="2:2">
      <c r="B11343" s="24"/>
    </row>
    <row r="11344" spans="2:2">
      <c r="B11344" s="24"/>
    </row>
    <row r="11345" spans="2:2">
      <c r="B11345" s="24"/>
    </row>
    <row r="11346" spans="2:2">
      <c r="B11346" s="24"/>
    </row>
    <row r="11347" spans="2:2">
      <c r="B11347" s="24"/>
    </row>
    <row r="11348" spans="2:2">
      <c r="B11348" s="24"/>
    </row>
    <row r="11349" spans="2:2">
      <c r="B11349" s="24"/>
    </row>
    <row r="11350" spans="2:2">
      <c r="B11350" s="24"/>
    </row>
    <row r="11351" spans="2:2">
      <c r="B11351" s="24"/>
    </row>
    <row r="11352" spans="2:2">
      <c r="B11352" s="24"/>
    </row>
    <row r="11353" spans="2:2">
      <c r="B11353" s="24"/>
    </row>
    <row r="11354" spans="2:2">
      <c r="B11354" s="24"/>
    </row>
    <row r="11355" spans="2:2">
      <c r="B11355" s="24"/>
    </row>
    <row r="11356" spans="2:2">
      <c r="B11356" s="24"/>
    </row>
    <row r="11357" spans="2:2">
      <c r="B11357" s="24"/>
    </row>
    <row r="11358" spans="2:2">
      <c r="B11358" s="24"/>
    </row>
    <row r="11359" spans="2:2">
      <c r="B11359" s="24"/>
    </row>
    <row r="11360" spans="2:2">
      <c r="B11360" s="24"/>
    </row>
    <row r="11361" spans="2:2">
      <c r="B11361" s="24"/>
    </row>
    <row r="11362" spans="2:2">
      <c r="B11362" s="24"/>
    </row>
    <row r="11363" spans="2:2">
      <c r="B11363" s="24"/>
    </row>
    <row r="11364" spans="2:2">
      <c r="B11364" s="24"/>
    </row>
    <row r="11365" spans="2:2">
      <c r="B11365" s="24"/>
    </row>
    <row r="11366" spans="2:2">
      <c r="B11366" s="24"/>
    </row>
    <row r="11367" spans="2:2">
      <c r="B11367" s="24"/>
    </row>
    <row r="11368" spans="2:2">
      <c r="B11368" s="24"/>
    </row>
    <row r="11369" spans="2:2">
      <c r="B11369" s="24"/>
    </row>
    <row r="11370" spans="2:2">
      <c r="B11370" s="24"/>
    </row>
    <row r="11371" spans="2:2">
      <c r="B11371" s="24"/>
    </row>
    <row r="11372" spans="2:2">
      <c r="B11372" s="24"/>
    </row>
    <row r="11373" spans="2:2">
      <c r="B11373" s="24"/>
    </row>
    <row r="11374" spans="2:2">
      <c r="B11374" s="24"/>
    </row>
    <row r="11375" spans="2:2">
      <c r="B11375" s="24"/>
    </row>
    <row r="11376" spans="2:2">
      <c r="B11376" s="24"/>
    </row>
    <row r="11377" spans="2:2">
      <c r="B11377" s="24"/>
    </row>
    <row r="11378" spans="2:2">
      <c r="B11378" s="24"/>
    </row>
    <row r="11379" spans="2:2">
      <c r="B11379" s="24"/>
    </row>
    <row r="11380" spans="2:2">
      <c r="B11380" s="24"/>
    </row>
    <row r="11381" spans="2:2">
      <c r="B11381" s="24"/>
    </row>
    <row r="11382" spans="2:2">
      <c r="B11382" s="24"/>
    </row>
    <row r="11383" spans="2:2">
      <c r="B11383" s="24"/>
    </row>
    <row r="11384" spans="2:2">
      <c r="B11384" s="24"/>
    </row>
    <row r="11385" spans="2:2">
      <c r="B11385" s="24"/>
    </row>
    <row r="11386" spans="2:2">
      <c r="B11386" s="24"/>
    </row>
    <row r="11387" spans="2:2">
      <c r="B11387" s="24"/>
    </row>
    <row r="11388" spans="2:2">
      <c r="B11388" s="24"/>
    </row>
    <row r="11389" spans="2:2">
      <c r="B11389" s="24"/>
    </row>
    <row r="11390" spans="2:2">
      <c r="B11390" s="24"/>
    </row>
    <row r="11391" spans="2:2">
      <c r="B11391" s="24"/>
    </row>
    <row r="11392" spans="2:2">
      <c r="B11392" s="24"/>
    </row>
    <row r="11393" spans="2:2">
      <c r="B11393" s="24"/>
    </row>
    <row r="11394" spans="2:2">
      <c r="B11394" s="24"/>
    </row>
    <row r="11395" spans="2:2">
      <c r="B11395" s="24"/>
    </row>
    <row r="11396" spans="2:2">
      <c r="B11396" s="24"/>
    </row>
    <row r="11397" spans="2:2">
      <c r="B11397" s="24"/>
    </row>
    <row r="11398" spans="2:2">
      <c r="B11398" s="24"/>
    </row>
    <row r="11399" spans="2:2">
      <c r="B11399" s="24"/>
    </row>
    <row r="11400" spans="2:2">
      <c r="B11400" s="24"/>
    </row>
    <row r="11401" spans="2:2">
      <c r="B11401" s="24"/>
    </row>
    <row r="11402" spans="2:2">
      <c r="B11402" s="24"/>
    </row>
    <row r="11403" spans="2:2">
      <c r="B11403" s="24"/>
    </row>
    <row r="11404" spans="2:2">
      <c r="B11404" s="24"/>
    </row>
    <row r="11405" spans="2:2">
      <c r="B11405" s="24"/>
    </row>
    <row r="11406" spans="2:2">
      <c r="B11406" s="24"/>
    </row>
    <row r="11407" spans="2:2">
      <c r="B11407" s="24"/>
    </row>
    <row r="11408" spans="2:2">
      <c r="B11408" s="24"/>
    </row>
    <row r="11409" spans="2:2">
      <c r="B11409" s="24"/>
    </row>
    <row r="11410" spans="2:2">
      <c r="B11410" s="24"/>
    </row>
    <row r="11411" spans="2:2">
      <c r="B11411" s="24"/>
    </row>
    <row r="11412" spans="2:2">
      <c r="B11412" s="24"/>
    </row>
    <row r="11413" spans="2:2">
      <c r="B11413" s="24"/>
    </row>
    <row r="11414" spans="2:2">
      <c r="B11414" s="24"/>
    </row>
    <row r="11415" spans="2:2">
      <c r="B11415" s="24"/>
    </row>
    <row r="11416" spans="2:2">
      <c r="B11416" s="24"/>
    </row>
    <row r="11417" spans="2:2">
      <c r="B11417" s="24"/>
    </row>
    <row r="11418" spans="2:2">
      <c r="B11418" s="24"/>
    </row>
    <row r="11419" spans="2:2">
      <c r="B11419" s="24"/>
    </row>
    <row r="11420" spans="2:2">
      <c r="B11420" s="24"/>
    </row>
    <row r="11421" spans="2:2">
      <c r="B11421" s="24"/>
    </row>
    <row r="11422" spans="2:2">
      <c r="B11422" s="24"/>
    </row>
    <row r="11423" spans="2:2">
      <c r="B11423" s="24"/>
    </row>
    <row r="11424" spans="2:2">
      <c r="B11424" s="24"/>
    </row>
    <row r="11425" spans="2:2">
      <c r="B11425" s="24"/>
    </row>
    <row r="11426" spans="2:2">
      <c r="B11426" s="24"/>
    </row>
    <row r="11427" spans="2:2">
      <c r="B11427" s="24"/>
    </row>
    <row r="11428" spans="2:2">
      <c r="B11428" s="24"/>
    </row>
    <row r="11429" spans="2:2">
      <c r="B11429" s="24"/>
    </row>
    <row r="11430" spans="2:2">
      <c r="B11430" s="24"/>
    </row>
    <row r="11431" spans="2:2">
      <c r="B11431" s="24"/>
    </row>
    <row r="11432" spans="2:2">
      <c r="B11432" s="24"/>
    </row>
    <row r="11433" spans="2:2">
      <c r="B11433" s="24"/>
    </row>
    <row r="11434" spans="2:2">
      <c r="B11434" s="24"/>
    </row>
    <row r="11435" spans="2:2">
      <c r="B11435" s="24"/>
    </row>
    <row r="11436" spans="2:2">
      <c r="B11436" s="24"/>
    </row>
    <row r="11437" spans="2:2">
      <c r="B11437" s="24"/>
    </row>
    <row r="11438" spans="2:2">
      <c r="B11438" s="24"/>
    </row>
    <row r="11439" spans="2:2">
      <c r="B11439" s="24"/>
    </row>
    <row r="11440" spans="2:2">
      <c r="B11440" s="24"/>
    </row>
    <row r="11441" spans="2:2">
      <c r="B11441" s="24"/>
    </row>
    <row r="11442" spans="2:2">
      <c r="B11442" s="24"/>
    </row>
    <row r="11443" spans="2:2">
      <c r="B11443" s="24"/>
    </row>
    <row r="11444" spans="2:2">
      <c r="B11444" s="24"/>
    </row>
    <row r="11445" spans="2:2">
      <c r="B11445" s="24"/>
    </row>
    <row r="11446" spans="2:2">
      <c r="B11446" s="24"/>
    </row>
    <row r="11447" spans="2:2">
      <c r="B11447" s="24"/>
    </row>
    <row r="11448" spans="2:2">
      <c r="B11448" s="24"/>
    </row>
    <row r="11449" spans="2:2">
      <c r="B11449" s="24"/>
    </row>
    <row r="11450" spans="2:2">
      <c r="B11450" s="24"/>
    </row>
    <row r="11451" spans="2:2">
      <c r="B11451" s="24"/>
    </row>
    <row r="11452" spans="2:2">
      <c r="B11452" s="24"/>
    </row>
    <row r="11453" spans="2:2">
      <c r="B11453" s="24"/>
    </row>
    <row r="11454" spans="2:2">
      <c r="B11454" s="24"/>
    </row>
    <row r="11455" spans="2:2">
      <c r="B11455" s="24"/>
    </row>
    <row r="11456" spans="2:2">
      <c r="B11456" s="24"/>
    </row>
    <row r="11457" spans="2:2">
      <c r="B11457" s="24"/>
    </row>
    <row r="11458" spans="2:2">
      <c r="B11458" s="24"/>
    </row>
    <row r="11459" spans="2:2">
      <c r="B11459" s="24"/>
    </row>
    <row r="11460" spans="2:2">
      <c r="B11460" s="24"/>
    </row>
    <row r="11461" spans="2:2">
      <c r="B11461" s="24"/>
    </row>
    <row r="11462" spans="2:2">
      <c r="B11462" s="24"/>
    </row>
    <row r="11463" spans="2:2">
      <c r="B11463" s="24"/>
    </row>
    <row r="11464" spans="2:2">
      <c r="B11464" s="24"/>
    </row>
    <row r="11465" spans="2:2">
      <c r="B11465" s="24"/>
    </row>
    <row r="11466" spans="2:2">
      <c r="B11466" s="24"/>
    </row>
    <row r="11467" spans="2:2">
      <c r="B11467" s="24"/>
    </row>
    <row r="11468" spans="2:2">
      <c r="B11468" s="24"/>
    </row>
    <row r="11469" spans="2:2">
      <c r="B11469" s="24"/>
    </row>
    <row r="11470" spans="2:2">
      <c r="B11470" s="24"/>
    </row>
    <row r="11471" spans="2:2">
      <c r="B11471" s="24"/>
    </row>
    <row r="11472" spans="2:2">
      <c r="B11472" s="24"/>
    </row>
    <row r="11473" spans="2:2">
      <c r="B11473" s="24"/>
    </row>
    <row r="11474" spans="2:2">
      <c r="B11474" s="24"/>
    </row>
    <row r="11475" spans="2:2">
      <c r="B11475" s="24"/>
    </row>
    <row r="11476" spans="2:2">
      <c r="B11476" s="24"/>
    </row>
    <row r="11477" spans="2:2">
      <c r="B11477" s="24"/>
    </row>
    <row r="11478" spans="2:2">
      <c r="B11478" s="24"/>
    </row>
    <row r="11479" spans="2:2">
      <c r="B11479" s="24"/>
    </row>
    <row r="11480" spans="2:2">
      <c r="B11480" s="24"/>
    </row>
    <row r="11481" spans="2:2">
      <c r="B11481" s="24"/>
    </row>
    <row r="11482" spans="2:2">
      <c r="B11482" s="24"/>
    </row>
    <row r="11483" spans="2:2">
      <c r="B11483" s="24"/>
    </row>
    <row r="11484" spans="2:2">
      <c r="B11484" s="24"/>
    </row>
    <row r="11485" spans="2:2">
      <c r="B11485" s="24"/>
    </row>
    <row r="11486" spans="2:2">
      <c r="B11486" s="24"/>
    </row>
    <row r="11487" spans="2:2">
      <c r="B11487" s="24"/>
    </row>
    <row r="11488" spans="2:2">
      <c r="B11488" s="24"/>
    </row>
    <row r="11489" spans="2:2">
      <c r="B11489" s="24"/>
    </row>
    <row r="11490" spans="2:2">
      <c r="B11490" s="24"/>
    </row>
    <row r="11491" spans="2:2">
      <c r="B11491" s="24"/>
    </row>
    <row r="11492" spans="2:2">
      <c r="B11492" s="24"/>
    </row>
    <row r="11493" spans="2:2">
      <c r="B11493" s="24"/>
    </row>
    <row r="11494" spans="2:2">
      <c r="B11494" s="24"/>
    </row>
    <row r="11495" spans="2:2">
      <c r="B11495" s="24"/>
    </row>
    <row r="11496" spans="2:2">
      <c r="B11496" s="24"/>
    </row>
    <row r="11497" spans="2:2">
      <c r="B11497" s="24"/>
    </row>
    <row r="11498" spans="2:2">
      <c r="B11498" s="24"/>
    </row>
    <row r="11499" spans="2:2">
      <c r="B11499" s="24"/>
    </row>
    <row r="11500" spans="2:2">
      <c r="B11500" s="24"/>
    </row>
    <row r="11501" spans="2:2">
      <c r="B11501" s="24"/>
    </row>
    <row r="11502" spans="2:2">
      <c r="B11502" s="24"/>
    </row>
    <row r="11503" spans="2:2">
      <c r="B11503" s="24"/>
    </row>
    <row r="11504" spans="2:2">
      <c r="B11504" s="24"/>
    </row>
    <row r="11505" spans="2:2">
      <c r="B11505" s="24"/>
    </row>
    <row r="11506" spans="2:2">
      <c r="B11506" s="24"/>
    </row>
    <row r="11507" spans="2:2">
      <c r="B11507" s="24"/>
    </row>
    <row r="11508" spans="2:2">
      <c r="B11508" s="24"/>
    </row>
    <row r="11509" spans="2:2">
      <c r="B11509" s="24"/>
    </row>
    <row r="11510" spans="2:2">
      <c r="B11510" s="24"/>
    </row>
    <row r="11511" spans="2:2">
      <c r="B11511" s="24"/>
    </row>
    <row r="11512" spans="2:2">
      <c r="B11512" s="24"/>
    </row>
    <row r="11513" spans="2:2">
      <c r="B11513" s="24"/>
    </row>
    <row r="11514" spans="2:2">
      <c r="B11514" s="24"/>
    </row>
    <row r="11515" spans="2:2">
      <c r="B11515" s="24"/>
    </row>
    <row r="11516" spans="2:2">
      <c r="B11516" s="24"/>
    </row>
    <row r="11517" spans="2:2">
      <c r="B11517" s="24"/>
    </row>
    <row r="11518" spans="2:2">
      <c r="B11518" s="24"/>
    </row>
    <row r="11519" spans="2:2">
      <c r="B11519" s="24"/>
    </row>
    <row r="11520" spans="2:2">
      <c r="B11520" s="24"/>
    </row>
    <row r="11521" spans="2:2">
      <c r="B11521" s="24"/>
    </row>
    <row r="11522" spans="2:2">
      <c r="B11522" s="24"/>
    </row>
    <row r="11523" spans="2:2">
      <c r="B11523" s="24"/>
    </row>
    <row r="11524" spans="2:2">
      <c r="B11524" s="24"/>
    </row>
    <row r="11525" spans="2:2">
      <c r="B11525" s="24"/>
    </row>
    <row r="11526" spans="2:2">
      <c r="B11526" s="24"/>
    </row>
    <row r="11527" spans="2:2">
      <c r="B11527" s="24"/>
    </row>
    <row r="11528" spans="2:2">
      <c r="B11528" s="24"/>
    </row>
    <row r="11529" spans="2:2">
      <c r="B11529" s="24"/>
    </row>
    <row r="11530" spans="2:2">
      <c r="B11530" s="24"/>
    </row>
    <row r="11531" spans="2:2">
      <c r="B11531" s="24"/>
    </row>
    <row r="11532" spans="2:2">
      <c r="B11532" s="24"/>
    </row>
    <row r="11533" spans="2:2">
      <c r="B11533" s="24"/>
    </row>
    <row r="11534" spans="2:2">
      <c r="B11534" s="24"/>
    </row>
    <row r="11535" spans="2:2">
      <c r="B11535" s="24"/>
    </row>
    <row r="11536" spans="2:2">
      <c r="B11536" s="24"/>
    </row>
    <row r="11537" spans="2:2">
      <c r="B11537" s="24"/>
    </row>
    <row r="11538" spans="2:2">
      <c r="B11538" s="24"/>
    </row>
    <row r="11539" spans="2:2">
      <c r="B11539" s="24"/>
    </row>
    <row r="11540" spans="2:2">
      <c r="B11540" s="24"/>
    </row>
    <row r="11541" spans="2:2">
      <c r="B11541" s="24"/>
    </row>
    <row r="11542" spans="2:2">
      <c r="B11542" s="24"/>
    </row>
    <row r="11543" spans="2:2">
      <c r="B11543" s="24"/>
    </row>
    <row r="11544" spans="2:2">
      <c r="B11544" s="24"/>
    </row>
    <row r="11545" spans="2:2">
      <c r="B11545" s="24"/>
    </row>
    <row r="11546" spans="2:2">
      <c r="B11546" s="24"/>
    </row>
    <row r="11547" spans="2:2">
      <c r="B11547" s="24"/>
    </row>
    <row r="11548" spans="2:2">
      <c r="B11548" s="24"/>
    </row>
    <row r="11549" spans="2:2">
      <c r="B11549" s="24"/>
    </row>
    <row r="11550" spans="2:2">
      <c r="B11550" s="24"/>
    </row>
    <row r="11551" spans="2:2">
      <c r="B11551" s="24"/>
    </row>
    <row r="11552" spans="2:2">
      <c r="B11552" s="24"/>
    </row>
    <row r="11553" spans="2:2">
      <c r="B11553" s="24"/>
    </row>
    <row r="11554" spans="2:2">
      <c r="B11554" s="24"/>
    </row>
    <row r="11555" spans="2:2">
      <c r="B11555" s="24"/>
    </row>
    <row r="11556" spans="2:2">
      <c r="B11556" s="24"/>
    </row>
    <row r="11557" spans="2:2">
      <c r="B11557" s="24"/>
    </row>
    <row r="11558" spans="2:2">
      <c r="B11558" s="24"/>
    </row>
    <row r="11559" spans="2:2">
      <c r="B11559" s="24"/>
    </row>
    <row r="11560" spans="2:2">
      <c r="B11560" s="24"/>
    </row>
    <row r="11561" spans="2:2">
      <c r="B11561" s="24"/>
    </row>
    <row r="11562" spans="2:2">
      <c r="B11562" s="24"/>
    </row>
    <row r="11563" spans="2:2">
      <c r="B11563" s="24"/>
    </row>
    <row r="11564" spans="2:2">
      <c r="B11564" s="24"/>
    </row>
    <row r="11565" spans="2:2">
      <c r="B11565" s="24"/>
    </row>
    <row r="11566" spans="2:2">
      <c r="B11566" s="24"/>
    </row>
    <row r="11567" spans="2:2">
      <c r="B11567" s="24"/>
    </row>
    <row r="11568" spans="2:2">
      <c r="B11568" s="24"/>
    </row>
    <row r="11569" spans="2:2">
      <c r="B11569" s="24"/>
    </row>
    <row r="11570" spans="2:2">
      <c r="B11570" s="24"/>
    </row>
    <row r="11571" spans="2:2">
      <c r="B11571" s="24"/>
    </row>
    <row r="11572" spans="2:2">
      <c r="B11572" s="24"/>
    </row>
    <row r="11573" spans="2:2">
      <c r="B11573" s="24"/>
    </row>
    <row r="11574" spans="2:2">
      <c r="B11574" s="24"/>
    </row>
    <row r="11575" spans="2:2">
      <c r="B11575" s="24"/>
    </row>
    <row r="11576" spans="2:2">
      <c r="B11576" s="24"/>
    </row>
    <row r="11577" spans="2:2">
      <c r="B11577" s="24"/>
    </row>
    <row r="11578" spans="2:2">
      <c r="B11578" s="24"/>
    </row>
    <row r="11579" spans="2:2">
      <c r="B11579" s="24"/>
    </row>
    <row r="11580" spans="2:2">
      <c r="B11580" s="24"/>
    </row>
    <row r="11581" spans="2:2">
      <c r="B11581" s="24"/>
    </row>
    <row r="11582" spans="2:2">
      <c r="B11582" s="24"/>
    </row>
    <row r="11583" spans="2:2">
      <c r="B11583" s="24"/>
    </row>
    <row r="11584" spans="2:2">
      <c r="B11584" s="24"/>
    </row>
    <row r="11585" spans="2:2">
      <c r="B11585" s="24"/>
    </row>
    <row r="11586" spans="2:2">
      <c r="B11586" s="24"/>
    </row>
    <row r="11587" spans="2:2">
      <c r="B11587" s="24"/>
    </row>
    <row r="11588" spans="2:2">
      <c r="B11588" s="24"/>
    </row>
    <row r="11589" spans="2:2">
      <c r="B11589" s="24"/>
    </row>
    <row r="11590" spans="2:2">
      <c r="B11590" s="24"/>
    </row>
    <row r="11591" spans="2:2">
      <c r="B11591" s="24"/>
    </row>
    <row r="11592" spans="2:2">
      <c r="B11592" s="24"/>
    </row>
    <row r="11593" spans="2:2">
      <c r="B11593" s="24"/>
    </row>
    <row r="11594" spans="2:2">
      <c r="B11594" s="24"/>
    </row>
    <row r="11595" spans="2:2">
      <c r="B11595" s="24"/>
    </row>
    <row r="11596" spans="2:2">
      <c r="B11596" s="24"/>
    </row>
    <row r="11597" spans="2:2">
      <c r="B11597" s="24"/>
    </row>
    <row r="11598" spans="2:2">
      <c r="B11598" s="24"/>
    </row>
    <row r="11599" spans="2:2">
      <c r="B11599" s="24"/>
    </row>
    <row r="11600" spans="2:2">
      <c r="B11600" s="24"/>
    </row>
    <row r="11601" spans="2:2">
      <c r="B11601" s="24"/>
    </row>
    <row r="11602" spans="2:2">
      <c r="B11602" s="24"/>
    </row>
    <row r="11603" spans="2:2">
      <c r="B11603" s="24"/>
    </row>
    <row r="11604" spans="2:2">
      <c r="B11604" s="24"/>
    </row>
    <row r="11605" spans="2:2">
      <c r="B11605" s="24"/>
    </row>
    <row r="11606" spans="2:2">
      <c r="B11606" s="24"/>
    </row>
    <row r="11607" spans="2:2">
      <c r="B11607" s="24"/>
    </row>
    <row r="11608" spans="2:2">
      <c r="B11608" s="24"/>
    </row>
    <row r="11609" spans="2:2">
      <c r="B11609" s="24"/>
    </row>
    <row r="11610" spans="2:2">
      <c r="B11610" s="24"/>
    </row>
    <row r="11611" spans="2:2">
      <c r="B11611" s="24"/>
    </row>
    <row r="11612" spans="2:2">
      <c r="B11612" s="24"/>
    </row>
    <row r="11613" spans="2:2">
      <c r="B11613" s="24"/>
    </row>
    <row r="11614" spans="2:2">
      <c r="B11614" s="24"/>
    </row>
    <row r="11615" spans="2:2">
      <c r="B11615" s="24"/>
    </row>
    <row r="11616" spans="2:2">
      <c r="B11616" s="24"/>
    </row>
    <row r="11617" spans="2:2">
      <c r="B11617" s="24"/>
    </row>
    <row r="11618" spans="2:2">
      <c r="B11618" s="24"/>
    </row>
    <row r="11619" spans="2:2">
      <c r="B11619" s="24"/>
    </row>
    <row r="11620" spans="2:2">
      <c r="B11620" s="24"/>
    </row>
    <row r="11621" spans="2:2">
      <c r="B11621" s="24"/>
    </row>
    <row r="11622" spans="2:2">
      <c r="B11622" s="24"/>
    </row>
    <row r="11623" spans="2:2">
      <c r="B11623" s="24"/>
    </row>
    <row r="11624" spans="2:2">
      <c r="B11624" s="24"/>
    </row>
    <row r="11625" spans="2:2">
      <c r="B11625" s="24"/>
    </row>
    <row r="11626" spans="2:2">
      <c r="B11626" s="24"/>
    </row>
    <row r="11627" spans="2:2">
      <c r="B11627" s="24"/>
    </row>
    <row r="11628" spans="2:2">
      <c r="B11628" s="24"/>
    </row>
    <row r="11629" spans="2:2">
      <c r="B11629" s="24"/>
    </row>
    <row r="11630" spans="2:2">
      <c r="B11630" s="24"/>
    </row>
    <row r="11631" spans="2:2">
      <c r="B11631" s="24"/>
    </row>
    <row r="11632" spans="2:2">
      <c r="B11632" s="24"/>
    </row>
    <row r="11633" spans="2:2">
      <c r="B11633" s="24"/>
    </row>
    <row r="11634" spans="2:2">
      <c r="B11634" s="24"/>
    </row>
    <row r="11635" spans="2:2">
      <c r="B11635" s="24"/>
    </row>
    <row r="11636" spans="2:2">
      <c r="B11636" s="24"/>
    </row>
    <row r="11637" spans="2:2">
      <c r="B11637" s="24"/>
    </row>
    <row r="11638" spans="2:2">
      <c r="B11638" s="24"/>
    </row>
    <row r="11639" spans="2:2">
      <c r="B11639" s="24"/>
    </row>
    <row r="11640" spans="2:2">
      <c r="B11640" s="24"/>
    </row>
    <row r="11641" spans="2:2">
      <c r="B11641" s="24"/>
    </row>
    <row r="11642" spans="2:2">
      <c r="B11642" s="24"/>
    </row>
    <row r="11643" spans="2:2">
      <c r="B11643" s="24"/>
    </row>
    <row r="11644" spans="2:2">
      <c r="B11644" s="24"/>
    </row>
    <row r="11645" spans="2:2">
      <c r="B11645" s="24"/>
    </row>
    <row r="11646" spans="2:2">
      <c r="B11646" s="24"/>
    </row>
    <row r="11647" spans="2:2">
      <c r="B11647" s="24"/>
    </row>
    <row r="11648" spans="2:2">
      <c r="B11648" s="24"/>
    </row>
    <row r="11649" spans="2:2">
      <c r="B11649" s="24"/>
    </row>
    <row r="11650" spans="2:2">
      <c r="B11650" s="24"/>
    </row>
    <row r="11651" spans="2:2">
      <c r="B11651" s="24"/>
    </row>
    <row r="11652" spans="2:2">
      <c r="B11652" s="24"/>
    </row>
    <row r="11653" spans="2:2">
      <c r="B11653" s="24"/>
    </row>
    <row r="11654" spans="2:2">
      <c r="B11654" s="24"/>
    </row>
    <row r="11655" spans="2:2">
      <c r="B11655" s="24"/>
    </row>
    <row r="11656" spans="2:2">
      <c r="B11656" s="24"/>
    </row>
    <row r="11657" spans="2:2">
      <c r="B11657" s="24"/>
    </row>
    <row r="11658" spans="2:2">
      <c r="B11658" s="24"/>
    </row>
    <row r="11659" spans="2:2">
      <c r="B11659" s="24"/>
    </row>
    <row r="11660" spans="2:2">
      <c r="B11660" s="24"/>
    </row>
    <row r="11661" spans="2:2">
      <c r="B11661" s="24"/>
    </row>
    <row r="11662" spans="2:2">
      <c r="B11662" s="24"/>
    </row>
    <row r="11663" spans="2:2">
      <c r="B11663" s="24"/>
    </row>
    <row r="11664" spans="2:2">
      <c r="B11664" s="24"/>
    </row>
    <row r="11665" spans="2:2">
      <c r="B11665" s="24"/>
    </row>
    <row r="11666" spans="2:2">
      <c r="B11666" s="24"/>
    </row>
    <row r="11667" spans="2:2">
      <c r="B11667" s="24"/>
    </row>
    <row r="11668" spans="2:2">
      <c r="B11668" s="24"/>
    </row>
    <row r="11669" spans="2:2">
      <c r="B11669" s="24"/>
    </row>
    <row r="11670" spans="2:2">
      <c r="B11670" s="24"/>
    </row>
    <row r="11671" spans="2:2">
      <c r="B11671" s="24"/>
    </row>
    <row r="11672" spans="2:2">
      <c r="B11672" s="24"/>
    </row>
    <row r="11673" spans="2:2">
      <c r="B11673" s="24"/>
    </row>
    <row r="11674" spans="2:2">
      <c r="B11674" s="24"/>
    </row>
    <row r="11675" spans="2:2">
      <c r="B11675" s="24"/>
    </row>
    <row r="11676" spans="2:2">
      <c r="B11676" s="24"/>
    </row>
    <row r="11677" spans="2:2">
      <c r="B11677" s="24"/>
    </row>
    <row r="11678" spans="2:2">
      <c r="B11678" s="24"/>
    </row>
    <row r="11679" spans="2:2">
      <c r="B11679" s="24"/>
    </row>
    <row r="11680" spans="2:2">
      <c r="B11680" s="24"/>
    </row>
    <row r="11681" spans="2:2">
      <c r="B11681" s="24"/>
    </row>
    <row r="11682" spans="2:2">
      <c r="B11682" s="24"/>
    </row>
    <row r="11683" spans="2:2">
      <c r="B11683" s="24"/>
    </row>
    <row r="11684" spans="2:2">
      <c r="B11684" s="24"/>
    </row>
    <row r="11685" spans="2:2">
      <c r="B11685" s="24"/>
    </row>
    <row r="11686" spans="2:2">
      <c r="B11686" s="24"/>
    </row>
    <row r="11687" spans="2:2">
      <c r="B11687" s="24"/>
    </row>
    <row r="11688" spans="2:2">
      <c r="B11688" s="24"/>
    </row>
    <row r="11689" spans="2:2">
      <c r="B11689" s="24"/>
    </row>
    <row r="11690" spans="2:2">
      <c r="B11690" s="24"/>
    </row>
    <row r="11691" spans="2:2">
      <c r="B11691" s="24"/>
    </row>
    <row r="11692" spans="2:2">
      <c r="B11692" s="24"/>
    </row>
    <row r="11693" spans="2:2">
      <c r="B11693" s="24"/>
    </row>
    <row r="11694" spans="2:2">
      <c r="B11694" s="24"/>
    </row>
    <row r="11695" spans="2:2">
      <c r="B11695" s="24"/>
    </row>
    <row r="11696" spans="2:2">
      <c r="B11696" s="24"/>
    </row>
    <row r="11697" spans="2:2">
      <c r="B11697" s="24"/>
    </row>
    <row r="11698" spans="2:2">
      <c r="B11698" s="24"/>
    </row>
    <row r="11699" spans="2:2">
      <c r="B11699" s="24"/>
    </row>
    <row r="11700" spans="2:2">
      <c r="B11700" s="24"/>
    </row>
    <row r="11701" spans="2:2">
      <c r="B11701" s="24"/>
    </row>
    <row r="11702" spans="2:2">
      <c r="B11702" s="24"/>
    </row>
    <row r="11703" spans="2:2">
      <c r="B11703" s="24"/>
    </row>
    <row r="11704" spans="2:2">
      <c r="B11704" s="24"/>
    </row>
    <row r="11705" spans="2:2">
      <c r="B11705" s="24"/>
    </row>
    <row r="11706" spans="2:2">
      <c r="B11706" s="24"/>
    </row>
    <row r="11707" spans="2:2">
      <c r="B11707" s="24"/>
    </row>
    <row r="11708" spans="2:2">
      <c r="B11708" s="24"/>
    </row>
    <row r="11709" spans="2:2">
      <c r="B11709" s="24"/>
    </row>
    <row r="11710" spans="2:2">
      <c r="B11710" s="24"/>
    </row>
    <row r="11711" spans="2:2">
      <c r="B11711" s="24"/>
    </row>
    <row r="11712" spans="2:2">
      <c r="B11712" s="24"/>
    </row>
    <row r="11713" spans="2:2">
      <c r="B11713" s="24"/>
    </row>
    <row r="11714" spans="2:2">
      <c r="B11714" s="24"/>
    </row>
    <row r="11715" spans="2:2">
      <c r="B11715" s="24"/>
    </row>
    <row r="11716" spans="2:2">
      <c r="B11716" s="24"/>
    </row>
    <row r="11717" spans="2:2">
      <c r="B11717" s="24"/>
    </row>
    <row r="11718" spans="2:2">
      <c r="B11718" s="24"/>
    </row>
    <row r="11719" spans="2:2">
      <c r="B11719" s="24"/>
    </row>
    <row r="11720" spans="2:2">
      <c r="B11720" s="24"/>
    </row>
    <row r="11721" spans="2:2">
      <c r="B11721" s="24"/>
    </row>
    <row r="11722" spans="2:2">
      <c r="B11722" s="24"/>
    </row>
    <row r="11723" spans="2:2">
      <c r="B11723" s="24"/>
    </row>
    <row r="11724" spans="2:2">
      <c r="B11724" s="24"/>
    </row>
    <row r="11725" spans="2:2">
      <c r="B11725" s="24"/>
    </row>
    <row r="11726" spans="2:2">
      <c r="B11726" s="24"/>
    </row>
    <row r="11727" spans="2:2">
      <c r="B11727" s="24"/>
    </row>
    <row r="11728" spans="2:2">
      <c r="B11728" s="24"/>
    </row>
    <row r="11729" spans="2:2">
      <c r="B11729" s="24"/>
    </row>
    <row r="11730" spans="2:2">
      <c r="B11730" s="24"/>
    </row>
    <row r="11731" spans="2:2">
      <c r="B11731" s="24"/>
    </row>
    <row r="11732" spans="2:2">
      <c r="B11732" s="24"/>
    </row>
    <row r="11733" spans="2:2">
      <c r="B11733" s="24"/>
    </row>
    <row r="11734" spans="2:2">
      <c r="B11734" s="24"/>
    </row>
    <row r="11735" spans="2:2">
      <c r="B11735" s="24"/>
    </row>
    <row r="11736" spans="2:2">
      <c r="B11736" s="24"/>
    </row>
    <row r="11737" spans="2:2">
      <c r="B11737" s="24"/>
    </row>
    <row r="11738" spans="2:2">
      <c r="B11738" s="24"/>
    </row>
    <row r="11739" spans="2:2">
      <c r="B11739" s="24"/>
    </row>
    <row r="11740" spans="2:2">
      <c r="B11740" s="24"/>
    </row>
    <row r="11741" spans="2:2">
      <c r="B11741" s="24"/>
    </row>
    <row r="11742" spans="2:2">
      <c r="B11742" s="24"/>
    </row>
    <row r="11743" spans="2:2">
      <c r="B11743" s="24"/>
    </row>
    <row r="11744" spans="2:2">
      <c r="B11744" s="24"/>
    </row>
    <row r="11745" spans="2:2">
      <c r="B11745" s="24"/>
    </row>
    <row r="11746" spans="2:2">
      <c r="B11746" s="24"/>
    </row>
    <row r="11747" spans="2:2">
      <c r="B11747" s="24"/>
    </row>
    <row r="11748" spans="2:2">
      <c r="B11748" s="24"/>
    </row>
    <row r="11749" spans="2:2">
      <c r="B11749" s="24"/>
    </row>
    <row r="11750" spans="2:2">
      <c r="B11750" s="24"/>
    </row>
    <row r="11751" spans="2:2">
      <c r="B11751" s="24"/>
    </row>
    <row r="11752" spans="2:2">
      <c r="B11752" s="24"/>
    </row>
    <row r="11753" spans="2:2">
      <c r="B11753" s="24"/>
    </row>
    <row r="11754" spans="2:2">
      <c r="B11754" s="24"/>
    </row>
    <row r="11755" spans="2:2">
      <c r="B11755" s="24"/>
    </row>
    <row r="11756" spans="2:2">
      <c r="B11756" s="24"/>
    </row>
    <row r="11757" spans="2:2">
      <c r="B11757" s="24"/>
    </row>
    <row r="11758" spans="2:2">
      <c r="B11758" s="24"/>
    </row>
    <row r="11759" spans="2:2">
      <c r="B11759" s="24"/>
    </row>
    <row r="11760" spans="2:2">
      <c r="B11760" s="24"/>
    </row>
    <row r="11761" spans="2:2">
      <c r="B11761" s="24"/>
    </row>
    <row r="11762" spans="2:2">
      <c r="B11762" s="24"/>
    </row>
    <row r="11763" spans="2:2">
      <c r="B11763" s="24"/>
    </row>
    <row r="11764" spans="2:2">
      <c r="B11764" s="24"/>
    </row>
    <row r="11765" spans="2:2">
      <c r="B11765" s="24"/>
    </row>
    <row r="11766" spans="2:2">
      <c r="B11766" s="24"/>
    </row>
    <row r="11767" spans="2:2">
      <c r="B11767" s="24"/>
    </row>
    <row r="11768" spans="2:2">
      <c r="B11768" s="24"/>
    </row>
    <row r="11769" spans="2:2">
      <c r="B11769" s="24"/>
    </row>
    <row r="11770" spans="2:2">
      <c r="B11770" s="24"/>
    </row>
    <row r="11771" spans="2:2">
      <c r="B11771" s="24"/>
    </row>
    <row r="11772" spans="2:2">
      <c r="B11772" s="24"/>
    </row>
    <row r="11773" spans="2:2">
      <c r="B11773" s="24"/>
    </row>
    <row r="11774" spans="2:2">
      <c r="B11774" s="24"/>
    </row>
    <row r="11775" spans="2:2">
      <c r="B11775" s="24"/>
    </row>
    <row r="11776" spans="2:2">
      <c r="B11776" s="24"/>
    </row>
    <row r="11777" spans="2:2">
      <c r="B11777" s="24"/>
    </row>
    <row r="11778" spans="2:2">
      <c r="B11778" s="24"/>
    </row>
    <row r="11779" spans="2:2">
      <c r="B11779" s="24"/>
    </row>
    <row r="11780" spans="2:2">
      <c r="B11780" s="24"/>
    </row>
    <row r="11781" spans="2:2">
      <c r="B11781" s="24"/>
    </row>
    <row r="11782" spans="2:2">
      <c r="B11782" s="24"/>
    </row>
    <row r="11783" spans="2:2">
      <c r="B11783" s="24"/>
    </row>
    <row r="11784" spans="2:2">
      <c r="B11784" s="24"/>
    </row>
    <row r="11785" spans="2:2">
      <c r="B11785" s="24"/>
    </row>
    <row r="11786" spans="2:2">
      <c r="B11786" s="24"/>
    </row>
    <row r="11787" spans="2:2">
      <c r="B11787" s="24"/>
    </row>
    <row r="11788" spans="2:2">
      <c r="B11788" s="24"/>
    </row>
    <row r="11789" spans="2:2">
      <c r="B11789" s="24"/>
    </row>
    <row r="11790" spans="2:2">
      <c r="B11790" s="24"/>
    </row>
    <row r="11791" spans="2:2">
      <c r="B11791" s="24"/>
    </row>
    <row r="11792" spans="2:2">
      <c r="B11792" s="24"/>
    </row>
    <row r="11793" spans="2:2">
      <c r="B11793" s="24"/>
    </row>
    <row r="11794" spans="2:2">
      <c r="B11794" s="24"/>
    </row>
    <row r="11795" spans="2:2">
      <c r="B11795" s="24"/>
    </row>
    <row r="11796" spans="2:2">
      <c r="B11796" s="24"/>
    </row>
    <row r="11797" spans="2:2">
      <c r="B11797" s="24"/>
    </row>
    <row r="11798" spans="2:2">
      <c r="B11798" s="24"/>
    </row>
    <row r="11799" spans="2:2">
      <c r="B11799" s="24"/>
    </row>
    <row r="11800" spans="2:2">
      <c r="B11800" s="24"/>
    </row>
    <row r="11801" spans="2:2">
      <c r="B11801" s="24"/>
    </row>
    <row r="11802" spans="2:2">
      <c r="B11802" s="24"/>
    </row>
    <row r="11803" spans="2:2">
      <c r="B11803" s="24"/>
    </row>
    <row r="11804" spans="2:2">
      <c r="B11804" s="24"/>
    </row>
    <row r="11805" spans="2:2">
      <c r="B11805" s="24"/>
    </row>
    <row r="11806" spans="2:2">
      <c r="B11806" s="24"/>
    </row>
    <row r="11807" spans="2:2">
      <c r="B11807" s="24"/>
    </row>
    <row r="11808" spans="2:2">
      <c r="B11808" s="24"/>
    </row>
    <row r="11809" spans="2:2">
      <c r="B11809" s="24"/>
    </row>
    <row r="11810" spans="2:2">
      <c r="B11810" s="24"/>
    </row>
    <row r="11811" spans="2:2">
      <c r="B11811" s="24"/>
    </row>
    <row r="11812" spans="2:2">
      <c r="B11812" s="24"/>
    </row>
    <row r="11813" spans="2:2">
      <c r="B11813" s="24"/>
    </row>
    <row r="11814" spans="2:2">
      <c r="B11814" s="24"/>
    </row>
    <row r="11815" spans="2:2">
      <c r="B11815" s="24"/>
    </row>
    <row r="11816" spans="2:2">
      <c r="B11816" s="24"/>
    </row>
    <row r="11817" spans="2:2">
      <c r="B11817" s="24"/>
    </row>
    <row r="11818" spans="2:2">
      <c r="B11818" s="24"/>
    </row>
    <row r="11819" spans="2:2">
      <c r="B11819" s="24"/>
    </row>
    <row r="11820" spans="2:2">
      <c r="B11820" s="24"/>
    </row>
    <row r="11821" spans="2:2">
      <c r="B11821" s="24"/>
    </row>
    <row r="11822" spans="2:2">
      <c r="B11822" s="24"/>
    </row>
    <row r="11823" spans="2:2">
      <c r="B11823" s="24"/>
    </row>
    <row r="11824" spans="2:2">
      <c r="B11824" s="24"/>
    </row>
    <row r="11825" spans="2:2">
      <c r="B11825" s="24"/>
    </row>
    <row r="11826" spans="2:2">
      <c r="B11826" s="24"/>
    </row>
    <row r="11827" spans="2:2">
      <c r="B11827" s="24"/>
    </row>
    <row r="11828" spans="2:2">
      <c r="B11828" s="24"/>
    </row>
    <row r="11829" spans="2:2">
      <c r="B11829" s="24"/>
    </row>
    <row r="11830" spans="2:2">
      <c r="B11830" s="24"/>
    </row>
    <row r="11831" spans="2:2">
      <c r="B11831" s="24"/>
    </row>
    <row r="11832" spans="2:2">
      <c r="B11832" s="24"/>
    </row>
    <row r="11833" spans="2:2">
      <c r="B11833" s="24"/>
    </row>
    <row r="11834" spans="2:2">
      <c r="B11834" s="24"/>
    </row>
    <row r="11835" spans="2:2">
      <c r="B11835" s="24"/>
    </row>
    <row r="11836" spans="2:2">
      <c r="B11836" s="24"/>
    </row>
    <row r="11837" spans="2:2">
      <c r="B11837" s="24"/>
    </row>
    <row r="11838" spans="2:2">
      <c r="B11838" s="24"/>
    </row>
    <row r="11839" spans="2:2">
      <c r="B11839" s="24"/>
    </row>
    <row r="11840" spans="2:2">
      <c r="B11840" s="24"/>
    </row>
    <row r="11841" spans="2:2">
      <c r="B11841" s="24"/>
    </row>
    <row r="11842" spans="2:2">
      <c r="B11842" s="24"/>
    </row>
    <row r="11843" spans="2:2">
      <c r="B11843" s="24"/>
    </row>
    <row r="11844" spans="2:2">
      <c r="B11844" s="24"/>
    </row>
    <row r="11845" spans="2:2">
      <c r="B11845" s="24"/>
    </row>
    <row r="11846" spans="2:2">
      <c r="B11846" s="24"/>
    </row>
    <row r="11847" spans="2:2">
      <c r="B11847" s="24"/>
    </row>
    <row r="11848" spans="2:2">
      <c r="B11848" s="24"/>
    </row>
    <row r="11849" spans="2:2">
      <c r="B11849" s="24"/>
    </row>
    <row r="11850" spans="2:2">
      <c r="B11850" s="24"/>
    </row>
    <row r="11851" spans="2:2">
      <c r="B11851" s="24"/>
    </row>
    <row r="11852" spans="2:2">
      <c r="B11852" s="24"/>
    </row>
    <row r="11853" spans="2:2">
      <c r="B11853" s="24"/>
    </row>
    <row r="11854" spans="2:2">
      <c r="B11854" s="24"/>
    </row>
    <row r="11855" spans="2:2">
      <c r="B11855" s="24"/>
    </row>
    <row r="11856" spans="2:2">
      <c r="B11856" s="24"/>
    </row>
    <row r="11857" spans="2:2">
      <c r="B11857" s="24"/>
    </row>
    <row r="11858" spans="2:2">
      <c r="B11858" s="24"/>
    </row>
    <row r="11859" spans="2:2">
      <c r="B11859" s="24"/>
    </row>
    <row r="11860" spans="2:2">
      <c r="B11860" s="24"/>
    </row>
    <row r="11861" spans="2:2">
      <c r="B11861" s="24"/>
    </row>
    <row r="11862" spans="2:2">
      <c r="B11862" s="24"/>
    </row>
    <row r="11863" spans="2:2">
      <c r="B11863" s="24"/>
    </row>
    <row r="11864" spans="2:2">
      <c r="B11864" s="24"/>
    </row>
    <row r="11865" spans="2:2">
      <c r="B11865" s="24"/>
    </row>
    <row r="11866" spans="2:2">
      <c r="B11866" s="24"/>
    </row>
    <row r="11867" spans="2:2">
      <c r="B11867" s="24"/>
    </row>
    <row r="11868" spans="2:2">
      <c r="B11868" s="24"/>
    </row>
    <row r="11869" spans="2:2">
      <c r="B11869" s="24"/>
    </row>
    <row r="11870" spans="2:2">
      <c r="B11870" s="24"/>
    </row>
    <row r="11871" spans="2:2">
      <c r="B11871" s="24"/>
    </row>
    <row r="11872" spans="2:2">
      <c r="B11872" s="24"/>
    </row>
    <row r="11873" spans="2:2">
      <c r="B11873" s="24"/>
    </row>
    <row r="11874" spans="2:2">
      <c r="B11874" s="24"/>
    </row>
    <row r="11875" spans="2:2">
      <c r="B11875" s="24"/>
    </row>
    <row r="11876" spans="2:2">
      <c r="B11876" s="24"/>
    </row>
    <row r="11877" spans="2:2">
      <c r="B11877" s="24"/>
    </row>
    <row r="11878" spans="2:2">
      <c r="B11878" s="24"/>
    </row>
    <row r="11879" spans="2:2">
      <c r="B11879" s="24"/>
    </row>
    <row r="11880" spans="2:2">
      <c r="B11880" s="24"/>
    </row>
    <row r="11881" spans="2:2">
      <c r="B11881" s="24"/>
    </row>
    <row r="11882" spans="2:2">
      <c r="B11882" s="24"/>
    </row>
    <row r="11883" spans="2:2">
      <c r="B11883" s="24"/>
    </row>
    <row r="11884" spans="2:2">
      <c r="B11884" s="24"/>
    </row>
    <row r="11885" spans="2:2">
      <c r="B11885" s="24"/>
    </row>
    <row r="11886" spans="2:2">
      <c r="B11886" s="24"/>
    </row>
    <row r="11887" spans="2:2">
      <c r="B11887" s="24"/>
    </row>
    <row r="11888" spans="2:2">
      <c r="B11888" s="24"/>
    </row>
    <row r="11889" spans="2:2">
      <c r="B11889" s="24"/>
    </row>
    <row r="11890" spans="2:2">
      <c r="B11890" s="24"/>
    </row>
    <row r="11891" spans="2:2">
      <c r="B11891" s="24"/>
    </row>
    <row r="11892" spans="2:2">
      <c r="B11892" s="24"/>
    </row>
    <row r="11893" spans="2:2">
      <c r="B11893" s="24"/>
    </row>
    <row r="11894" spans="2:2">
      <c r="B11894" s="24"/>
    </row>
    <row r="11895" spans="2:2">
      <c r="B11895" s="24"/>
    </row>
    <row r="11896" spans="2:2">
      <c r="B11896" s="24"/>
    </row>
    <row r="11897" spans="2:2">
      <c r="B11897" s="24"/>
    </row>
    <row r="11898" spans="2:2">
      <c r="B11898" s="24"/>
    </row>
    <row r="11899" spans="2:2">
      <c r="B11899" s="24"/>
    </row>
    <row r="11900" spans="2:2">
      <c r="B11900" s="24"/>
    </row>
    <row r="11901" spans="2:2">
      <c r="B11901" s="24"/>
    </row>
    <row r="11902" spans="2:2">
      <c r="B11902" s="24"/>
    </row>
    <row r="11903" spans="2:2">
      <c r="B11903" s="24"/>
    </row>
    <row r="11904" spans="2:2">
      <c r="B11904" s="24"/>
    </row>
    <row r="11905" spans="2:2">
      <c r="B11905" s="24"/>
    </row>
    <row r="11906" spans="2:2">
      <c r="B11906" s="24"/>
    </row>
    <row r="11907" spans="2:2">
      <c r="B11907" s="24"/>
    </row>
    <row r="11908" spans="2:2">
      <c r="B11908" s="24"/>
    </row>
    <row r="11909" spans="2:2">
      <c r="B11909" s="24"/>
    </row>
    <row r="11910" spans="2:2">
      <c r="B11910" s="24"/>
    </row>
    <row r="11911" spans="2:2">
      <c r="B11911" s="24"/>
    </row>
    <row r="11912" spans="2:2">
      <c r="B11912" s="24"/>
    </row>
    <row r="11913" spans="2:2">
      <c r="B11913" s="24"/>
    </row>
    <row r="11914" spans="2:2">
      <c r="B11914" s="24"/>
    </row>
    <row r="11915" spans="2:2">
      <c r="B11915" s="24"/>
    </row>
    <row r="11916" spans="2:2">
      <c r="B11916" s="24"/>
    </row>
    <row r="11917" spans="2:2">
      <c r="B11917" s="24"/>
    </row>
    <row r="11918" spans="2:2">
      <c r="B11918" s="24"/>
    </row>
    <row r="11919" spans="2:2">
      <c r="B11919" s="24"/>
    </row>
    <row r="11920" spans="2:2">
      <c r="B11920" s="24"/>
    </row>
    <row r="11921" spans="2:2">
      <c r="B11921" s="24"/>
    </row>
    <row r="11922" spans="2:2">
      <c r="B11922" s="24"/>
    </row>
    <row r="11923" spans="2:2">
      <c r="B11923" s="24"/>
    </row>
    <row r="11924" spans="2:2">
      <c r="B11924" s="24"/>
    </row>
    <row r="11925" spans="2:2">
      <c r="B11925" s="24"/>
    </row>
    <row r="11926" spans="2:2">
      <c r="B11926" s="24"/>
    </row>
    <row r="11927" spans="2:2">
      <c r="B11927" s="24"/>
    </row>
    <row r="11928" spans="2:2">
      <c r="B11928" s="24"/>
    </row>
    <row r="11929" spans="2:2">
      <c r="B11929" s="24"/>
    </row>
    <row r="11930" spans="2:2">
      <c r="B11930" s="24"/>
    </row>
    <row r="11931" spans="2:2">
      <c r="B11931" s="24"/>
    </row>
    <row r="11932" spans="2:2">
      <c r="B11932" s="24"/>
    </row>
    <row r="11933" spans="2:2">
      <c r="B11933" s="24"/>
    </row>
    <row r="11934" spans="2:2">
      <c r="B11934" s="24"/>
    </row>
    <row r="11935" spans="2:2">
      <c r="B11935" s="24"/>
    </row>
    <row r="11936" spans="2:2">
      <c r="B11936" s="24"/>
    </row>
    <row r="11937" spans="2:2">
      <c r="B11937" s="24"/>
    </row>
    <row r="11938" spans="2:2">
      <c r="B11938" s="24"/>
    </row>
    <row r="11939" spans="2:2">
      <c r="B11939" s="24"/>
    </row>
    <row r="11940" spans="2:2">
      <c r="B11940" s="24"/>
    </row>
    <row r="11941" spans="2:2">
      <c r="B11941" s="24"/>
    </row>
    <row r="11942" spans="2:2">
      <c r="B11942" s="24"/>
    </row>
    <row r="11943" spans="2:2">
      <c r="B11943" s="24"/>
    </row>
    <row r="11944" spans="2:2">
      <c r="B11944" s="24"/>
    </row>
    <row r="11945" spans="2:2">
      <c r="B11945" s="24"/>
    </row>
    <row r="11946" spans="2:2">
      <c r="B11946" s="24"/>
    </row>
    <row r="11947" spans="2:2">
      <c r="B11947" s="24"/>
    </row>
    <row r="11948" spans="2:2">
      <c r="B11948" s="24"/>
    </row>
    <row r="11949" spans="2:2">
      <c r="B11949" s="24"/>
    </row>
    <row r="11950" spans="2:2">
      <c r="B11950" s="24"/>
    </row>
    <row r="11951" spans="2:2">
      <c r="B11951" s="24"/>
    </row>
    <row r="11952" spans="2:2">
      <c r="B11952" s="24"/>
    </row>
    <row r="11953" spans="2:2">
      <c r="B11953" s="24"/>
    </row>
    <row r="11954" spans="2:2">
      <c r="B11954" s="24"/>
    </row>
    <row r="11955" spans="2:2">
      <c r="B11955" s="24"/>
    </row>
    <row r="11956" spans="2:2">
      <c r="B11956" s="24"/>
    </row>
    <row r="11957" spans="2:2">
      <c r="B11957" s="24"/>
    </row>
    <row r="11958" spans="2:2">
      <c r="B11958" s="24"/>
    </row>
    <row r="11959" spans="2:2">
      <c r="B11959" s="24"/>
    </row>
    <row r="11960" spans="2:2">
      <c r="B11960" s="24"/>
    </row>
    <row r="11961" spans="2:2">
      <c r="B11961" s="24"/>
    </row>
    <row r="11962" spans="2:2">
      <c r="B11962" s="24"/>
    </row>
    <row r="11963" spans="2:2">
      <c r="B11963" s="24"/>
    </row>
    <row r="11964" spans="2:2">
      <c r="B11964" s="24"/>
    </row>
    <row r="11965" spans="2:2">
      <c r="B11965" s="24"/>
    </row>
    <row r="11966" spans="2:2">
      <c r="B11966" s="24"/>
    </row>
    <row r="11967" spans="2:2">
      <c r="B11967" s="24"/>
    </row>
    <row r="11968" spans="2:2">
      <c r="B11968" s="24"/>
    </row>
    <row r="11969" spans="2:2">
      <c r="B11969" s="24"/>
    </row>
    <row r="11970" spans="2:2">
      <c r="B11970" s="24"/>
    </row>
    <row r="11971" spans="2:2">
      <c r="B11971" s="24"/>
    </row>
    <row r="11972" spans="2:2">
      <c r="B11972" s="24"/>
    </row>
    <row r="11973" spans="2:2">
      <c r="B11973" s="24"/>
    </row>
    <row r="11974" spans="2:2">
      <c r="B11974" s="24"/>
    </row>
    <row r="11975" spans="2:2">
      <c r="B11975" s="24"/>
    </row>
    <row r="11976" spans="2:2">
      <c r="B11976" s="24"/>
    </row>
    <row r="11977" spans="2:2">
      <c r="B11977" s="24"/>
    </row>
    <row r="11978" spans="2:2">
      <c r="B11978" s="24"/>
    </row>
    <row r="11979" spans="2:2">
      <c r="B11979" s="24"/>
    </row>
    <row r="11980" spans="2:2">
      <c r="B11980" s="24"/>
    </row>
    <row r="11981" spans="2:2">
      <c r="B11981" s="24"/>
    </row>
    <row r="11982" spans="2:2">
      <c r="B11982" s="24"/>
    </row>
    <row r="11983" spans="2:2">
      <c r="B11983" s="24"/>
    </row>
    <row r="11984" spans="2:2">
      <c r="B11984" s="24"/>
    </row>
    <row r="11985" spans="2:2">
      <c r="B11985" s="24"/>
    </row>
    <row r="11986" spans="2:2">
      <c r="B11986" s="24"/>
    </row>
    <row r="11987" spans="2:2">
      <c r="B11987" s="24"/>
    </row>
    <row r="11988" spans="2:2">
      <c r="B11988" s="24"/>
    </row>
    <row r="11989" spans="2:2">
      <c r="B11989" s="24"/>
    </row>
    <row r="11990" spans="2:2">
      <c r="B11990" s="24"/>
    </row>
    <row r="11991" spans="2:2">
      <c r="B11991" s="24"/>
    </row>
    <row r="11992" spans="2:2">
      <c r="B11992" s="24"/>
    </row>
    <row r="11993" spans="2:2">
      <c r="B11993" s="24"/>
    </row>
    <row r="11994" spans="2:2">
      <c r="B11994" s="24"/>
    </row>
    <row r="11995" spans="2:2">
      <c r="B11995" s="24"/>
    </row>
    <row r="11996" spans="2:2">
      <c r="B11996" s="24"/>
    </row>
    <row r="11997" spans="2:2">
      <c r="B11997" s="24"/>
    </row>
    <row r="11998" spans="2:2">
      <c r="B11998" s="24"/>
    </row>
    <row r="11999" spans="2:2">
      <c r="B11999" s="24"/>
    </row>
    <row r="12000" spans="2:2">
      <c r="B12000" s="24"/>
    </row>
    <row r="12001" spans="2:2">
      <c r="B12001" s="24"/>
    </row>
    <row r="12002" spans="2:2">
      <c r="B12002" s="24"/>
    </row>
    <row r="12003" spans="2:2">
      <c r="B12003" s="24"/>
    </row>
    <row r="12004" spans="2:2">
      <c r="B12004" s="24"/>
    </row>
    <row r="12005" spans="2:2">
      <c r="B12005" s="24"/>
    </row>
    <row r="12006" spans="2:2">
      <c r="B12006" s="24"/>
    </row>
    <row r="12007" spans="2:2">
      <c r="B12007" s="24"/>
    </row>
    <row r="12008" spans="2:2">
      <c r="B12008" s="24"/>
    </row>
    <row r="12009" spans="2:2">
      <c r="B12009" s="24"/>
    </row>
    <row r="12010" spans="2:2">
      <c r="B12010" s="24"/>
    </row>
    <row r="12011" spans="2:2">
      <c r="B12011" s="24"/>
    </row>
    <row r="12012" spans="2:2">
      <c r="B12012" s="24"/>
    </row>
    <row r="12013" spans="2:2">
      <c r="B12013" s="24"/>
    </row>
    <row r="12014" spans="2:2">
      <c r="B12014" s="24"/>
    </row>
    <row r="12015" spans="2:2">
      <c r="B12015" s="24"/>
    </row>
    <row r="12016" spans="2:2">
      <c r="B12016" s="24"/>
    </row>
    <row r="12017" spans="2:2">
      <c r="B12017" s="24"/>
    </row>
    <row r="12018" spans="2:2">
      <c r="B12018" s="24"/>
    </row>
    <row r="12019" spans="2:2">
      <c r="B12019" s="24"/>
    </row>
    <row r="12020" spans="2:2">
      <c r="B12020" s="24"/>
    </row>
    <row r="12021" spans="2:2">
      <c r="B12021" s="24"/>
    </row>
    <row r="12022" spans="2:2">
      <c r="B12022" s="24"/>
    </row>
    <row r="12023" spans="2:2">
      <c r="B12023" s="24"/>
    </row>
    <row r="12024" spans="2:2">
      <c r="B12024" s="24"/>
    </row>
    <row r="12025" spans="2:2">
      <c r="B12025" s="24"/>
    </row>
    <row r="12026" spans="2:2">
      <c r="B12026" s="24"/>
    </row>
    <row r="12027" spans="2:2">
      <c r="B12027" s="24"/>
    </row>
    <row r="12028" spans="2:2">
      <c r="B12028" s="24"/>
    </row>
    <row r="12029" spans="2:2">
      <c r="B12029" s="24"/>
    </row>
    <row r="12030" spans="2:2">
      <c r="B12030" s="24"/>
    </row>
    <row r="12031" spans="2:2">
      <c r="B12031" s="24"/>
    </row>
    <row r="12032" spans="2:2">
      <c r="B12032" s="24"/>
    </row>
    <row r="12033" spans="2:2">
      <c r="B12033" s="24"/>
    </row>
    <row r="12034" spans="2:2">
      <c r="B12034" s="24"/>
    </row>
    <row r="12035" spans="2:2">
      <c r="B12035" s="24"/>
    </row>
    <row r="12036" spans="2:2">
      <c r="B12036" s="24"/>
    </row>
    <row r="12037" spans="2:2">
      <c r="B12037" s="24"/>
    </row>
    <row r="12038" spans="2:2">
      <c r="B12038" s="24"/>
    </row>
    <row r="12039" spans="2:2">
      <c r="B12039" s="24"/>
    </row>
    <row r="12040" spans="2:2">
      <c r="B12040" s="24"/>
    </row>
    <row r="12041" spans="2:2">
      <c r="B12041" s="24"/>
    </row>
    <row r="12042" spans="2:2">
      <c r="B12042" s="24"/>
    </row>
    <row r="12043" spans="2:2">
      <c r="B12043" s="24"/>
    </row>
    <row r="12044" spans="2:2">
      <c r="B12044" s="24"/>
    </row>
    <row r="12045" spans="2:2">
      <c r="B12045" s="24"/>
    </row>
    <row r="12046" spans="2:2">
      <c r="B12046" s="24"/>
    </row>
    <row r="12047" spans="2:2">
      <c r="B12047" s="24"/>
    </row>
    <row r="12048" spans="2:2">
      <c r="B12048" s="24"/>
    </row>
    <row r="12049" spans="2:2">
      <c r="B12049" s="24"/>
    </row>
    <row r="12050" spans="2:2">
      <c r="B12050" s="24"/>
    </row>
    <row r="12051" spans="2:2">
      <c r="B12051" s="24"/>
    </row>
    <row r="12052" spans="2:2">
      <c r="B12052" s="24"/>
    </row>
    <row r="12053" spans="2:2">
      <c r="B12053" s="24"/>
    </row>
    <row r="12054" spans="2:2">
      <c r="B12054" s="24"/>
    </row>
    <row r="12055" spans="2:2">
      <c r="B12055" s="24"/>
    </row>
    <row r="12056" spans="2:2">
      <c r="B12056" s="24"/>
    </row>
    <row r="12057" spans="2:2">
      <c r="B12057" s="24"/>
    </row>
    <row r="12058" spans="2:2">
      <c r="B12058" s="24"/>
    </row>
    <row r="12059" spans="2:2">
      <c r="B12059" s="24"/>
    </row>
    <row r="12060" spans="2:2">
      <c r="B12060" s="24"/>
    </row>
    <row r="12061" spans="2:2">
      <c r="B12061" s="24"/>
    </row>
    <row r="12062" spans="2:2">
      <c r="B12062" s="24"/>
    </row>
    <row r="12063" spans="2:2">
      <c r="B12063" s="24"/>
    </row>
    <row r="12064" spans="2:2">
      <c r="B12064" s="24"/>
    </row>
    <row r="12065" spans="2:2">
      <c r="B12065" s="24"/>
    </row>
    <row r="12066" spans="2:2">
      <c r="B12066" s="24"/>
    </row>
    <row r="12067" spans="2:2">
      <c r="B12067" s="24"/>
    </row>
    <row r="12068" spans="2:2">
      <c r="B12068" s="24"/>
    </row>
    <row r="12069" spans="2:2">
      <c r="B12069" s="24"/>
    </row>
    <row r="12070" spans="2:2">
      <c r="B12070" s="24"/>
    </row>
    <row r="12071" spans="2:2">
      <c r="B12071" s="24"/>
    </row>
    <row r="12072" spans="2:2">
      <c r="B12072" s="24"/>
    </row>
    <row r="12073" spans="2:2">
      <c r="B12073" s="24"/>
    </row>
    <row r="12074" spans="2:2">
      <c r="B12074" s="24"/>
    </row>
    <row r="12075" spans="2:2">
      <c r="B12075" s="24"/>
    </row>
    <row r="12076" spans="2:2">
      <c r="B12076" s="24"/>
    </row>
    <row r="12077" spans="2:2">
      <c r="B12077" s="24"/>
    </row>
    <row r="12078" spans="2:2">
      <c r="B12078" s="24"/>
    </row>
    <row r="12079" spans="2:2">
      <c r="B12079" s="24"/>
    </row>
    <row r="12080" spans="2:2">
      <c r="B12080" s="24"/>
    </row>
    <row r="12081" spans="2:2">
      <c r="B12081" s="24"/>
    </row>
    <row r="12082" spans="2:2">
      <c r="B12082" s="24"/>
    </row>
    <row r="12083" spans="2:2">
      <c r="B12083" s="24"/>
    </row>
    <row r="12084" spans="2:2">
      <c r="B12084" s="24"/>
    </row>
    <row r="12085" spans="2:2">
      <c r="B12085" s="24"/>
    </row>
    <row r="12086" spans="2:2">
      <c r="B12086" s="24"/>
    </row>
    <row r="12087" spans="2:2">
      <c r="B12087" s="24"/>
    </row>
    <row r="12088" spans="2:2">
      <c r="B12088" s="24"/>
    </row>
    <row r="12089" spans="2:2">
      <c r="B12089" s="24"/>
    </row>
    <row r="12090" spans="2:2">
      <c r="B12090" s="24"/>
    </row>
    <row r="12091" spans="2:2">
      <c r="B12091" s="24"/>
    </row>
    <row r="12092" spans="2:2">
      <c r="B12092" s="24"/>
    </row>
    <row r="12093" spans="2:2">
      <c r="B12093" s="24"/>
    </row>
    <row r="12094" spans="2:2">
      <c r="B12094" s="24"/>
    </row>
    <row r="12095" spans="2:2">
      <c r="B12095" s="24"/>
    </row>
    <row r="12096" spans="2:2">
      <c r="B12096" s="24"/>
    </row>
    <row r="12097" spans="2:2">
      <c r="B12097" s="24"/>
    </row>
    <row r="12098" spans="2:2">
      <c r="B12098" s="24"/>
    </row>
    <row r="12099" spans="2:2">
      <c r="B12099" s="24"/>
    </row>
    <row r="12100" spans="2:2">
      <c r="B12100" s="24"/>
    </row>
    <row r="12101" spans="2:2">
      <c r="B12101" s="24"/>
    </row>
    <row r="12102" spans="2:2">
      <c r="B12102" s="24"/>
    </row>
    <row r="12103" spans="2:2">
      <c r="B12103" s="24"/>
    </row>
    <row r="12104" spans="2:2">
      <c r="B12104" s="24"/>
    </row>
    <row r="12105" spans="2:2">
      <c r="B12105" s="24"/>
    </row>
    <row r="12106" spans="2:2">
      <c r="B12106" s="24"/>
    </row>
    <row r="12107" spans="2:2">
      <c r="B12107" s="24"/>
    </row>
    <row r="12108" spans="2:2">
      <c r="B12108" s="24"/>
    </row>
    <row r="12109" spans="2:2">
      <c r="B12109" s="24"/>
    </row>
    <row r="12110" spans="2:2">
      <c r="B12110" s="24"/>
    </row>
    <row r="12111" spans="2:2">
      <c r="B12111" s="24"/>
    </row>
    <row r="12112" spans="2:2">
      <c r="B12112" s="24"/>
    </row>
    <row r="12113" spans="2:2">
      <c r="B12113" s="24"/>
    </row>
    <row r="12114" spans="2:2">
      <c r="B12114" s="24"/>
    </row>
    <row r="12115" spans="2:2">
      <c r="B12115" s="24"/>
    </row>
    <row r="12116" spans="2:2">
      <c r="B12116" s="24"/>
    </row>
    <row r="12117" spans="2:2">
      <c r="B12117" s="24"/>
    </row>
    <row r="12118" spans="2:2">
      <c r="B12118" s="24"/>
    </row>
    <row r="12119" spans="2:2">
      <c r="B12119" s="24"/>
    </row>
    <row r="12120" spans="2:2">
      <c r="B12120" s="24"/>
    </row>
    <row r="12121" spans="2:2">
      <c r="B12121" s="24"/>
    </row>
    <row r="12122" spans="2:2">
      <c r="B12122" s="24"/>
    </row>
    <row r="12123" spans="2:2">
      <c r="B12123" s="24"/>
    </row>
    <row r="12124" spans="2:2">
      <c r="B12124" s="24"/>
    </row>
    <row r="12125" spans="2:2">
      <c r="B12125" s="24"/>
    </row>
    <row r="12126" spans="2:2">
      <c r="B12126" s="24"/>
    </row>
    <row r="12127" spans="2:2">
      <c r="B12127" s="24"/>
    </row>
    <row r="12128" spans="2:2">
      <c r="B12128" s="24"/>
    </row>
    <row r="12129" spans="2:2">
      <c r="B12129" s="24"/>
    </row>
    <row r="12130" spans="2:2">
      <c r="B12130" s="24"/>
    </row>
    <row r="12131" spans="2:2">
      <c r="B12131" s="24"/>
    </row>
    <row r="12132" spans="2:2">
      <c r="B12132" s="24"/>
    </row>
    <row r="12133" spans="2:2">
      <c r="B12133" s="24"/>
    </row>
    <row r="12134" spans="2:2">
      <c r="B12134" s="24"/>
    </row>
    <row r="12135" spans="2:2">
      <c r="B12135" s="24"/>
    </row>
    <row r="12136" spans="2:2">
      <c r="B12136" s="24"/>
    </row>
    <row r="12137" spans="2:2">
      <c r="B12137" s="24"/>
    </row>
    <row r="12138" spans="2:2">
      <c r="B12138" s="24"/>
    </row>
    <row r="12139" spans="2:2">
      <c r="B12139" s="24"/>
    </row>
    <row r="12140" spans="2:2">
      <c r="B12140" s="24"/>
    </row>
    <row r="12141" spans="2:2">
      <c r="B12141" s="24"/>
    </row>
    <row r="12142" spans="2:2">
      <c r="B12142" s="24"/>
    </row>
    <row r="12143" spans="2:2">
      <c r="B12143" s="24"/>
    </row>
    <row r="12144" spans="2:2">
      <c r="B12144" s="24"/>
    </row>
    <row r="12145" spans="2:2">
      <c r="B12145" s="24"/>
    </row>
    <row r="12146" spans="2:2">
      <c r="B12146" s="24"/>
    </row>
    <row r="12147" spans="2:2">
      <c r="B12147" s="24"/>
    </row>
    <row r="12148" spans="2:2">
      <c r="B12148" s="24"/>
    </row>
    <row r="12149" spans="2:2">
      <c r="B12149" s="24"/>
    </row>
    <row r="12150" spans="2:2">
      <c r="B12150" s="24"/>
    </row>
    <row r="12151" spans="2:2">
      <c r="B12151" s="24"/>
    </row>
    <row r="12152" spans="2:2">
      <c r="B12152" s="24"/>
    </row>
    <row r="12153" spans="2:2">
      <c r="B12153" s="24"/>
    </row>
    <row r="12154" spans="2:2">
      <c r="B12154" s="24"/>
    </row>
    <row r="12155" spans="2:2">
      <c r="B12155" s="24"/>
    </row>
    <row r="12156" spans="2:2">
      <c r="B12156" s="24"/>
    </row>
    <row r="12157" spans="2:2">
      <c r="B12157" s="24"/>
    </row>
    <row r="12158" spans="2:2">
      <c r="B12158" s="24"/>
    </row>
    <row r="12159" spans="2:2">
      <c r="B12159" s="24"/>
    </row>
    <row r="12160" spans="2:2">
      <c r="B12160" s="24"/>
    </row>
    <row r="12161" spans="2:2">
      <c r="B12161" s="24"/>
    </row>
    <row r="12162" spans="2:2">
      <c r="B12162" s="24"/>
    </row>
    <row r="12163" spans="2:2">
      <c r="B12163" s="24"/>
    </row>
    <row r="12164" spans="2:2">
      <c r="B12164" s="24"/>
    </row>
    <row r="12165" spans="2:2">
      <c r="B12165" s="24"/>
    </row>
    <row r="12166" spans="2:2">
      <c r="B12166" s="24"/>
    </row>
    <row r="12167" spans="2:2">
      <c r="B12167" s="24"/>
    </row>
    <row r="12168" spans="2:2">
      <c r="B12168" s="24"/>
    </row>
    <row r="12169" spans="2:2">
      <c r="B12169" s="24"/>
    </row>
    <row r="12170" spans="2:2">
      <c r="B12170" s="24"/>
    </row>
    <row r="12171" spans="2:2">
      <c r="B12171" s="24"/>
    </row>
    <row r="12172" spans="2:2">
      <c r="B12172" s="24"/>
    </row>
    <row r="12173" spans="2:2">
      <c r="B12173" s="24"/>
    </row>
    <row r="12174" spans="2:2">
      <c r="B12174" s="24"/>
    </row>
    <row r="12175" spans="2:2">
      <c r="B12175" s="24"/>
    </row>
    <row r="12176" spans="2:2">
      <c r="B12176" s="24"/>
    </row>
    <row r="12177" spans="2:2">
      <c r="B12177" s="24"/>
    </row>
    <row r="12178" spans="2:2">
      <c r="B12178" s="24"/>
    </row>
    <row r="12179" spans="2:2">
      <c r="B12179" s="24"/>
    </row>
    <row r="12180" spans="2:2">
      <c r="B12180" s="24"/>
    </row>
    <row r="12181" spans="2:2">
      <c r="B12181" s="24"/>
    </row>
    <row r="12182" spans="2:2">
      <c r="B12182" s="24"/>
    </row>
    <row r="12183" spans="2:2">
      <c r="B12183" s="24"/>
    </row>
    <row r="12184" spans="2:2">
      <c r="B12184" s="24"/>
    </row>
    <row r="12185" spans="2:2">
      <c r="B12185" s="24"/>
    </row>
    <row r="12186" spans="2:2">
      <c r="B12186" s="24"/>
    </row>
    <row r="12187" spans="2:2">
      <c r="B12187" s="24"/>
    </row>
    <row r="12188" spans="2:2">
      <c r="B12188" s="24"/>
    </row>
    <row r="12189" spans="2:2">
      <c r="B12189" s="24"/>
    </row>
    <row r="12190" spans="2:2">
      <c r="B12190" s="24"/>
    </row>
    <row r="12191" spans="2:2">
      <c r="B12191" s="24"/>
    </row>
    <row r="12192" spans="2:2">
      <c r="B12192" s="24"/>
    </row>
    <row r="12193" spans="2:2">
      <c r="B12193" s="24"/>
    </row>
    <row r="12194" spans="2:2">
      <c r="B12194" s="24"/>
    </row>
    <row r="12195" spans="2:2">
      <c r="B12195" s="24"/>
    </row>
    <row r="12196" spans="2:2">
      <c r="B12196" s="24"/>
    </row>
    <row r="12197" spans="2:2">
      <c r="B12197" s="24"/>
    </row>
    <row r="12198" spans="2:2">
      <c r="B12198" s="24"/>
    </row>
    <row r="12199" spans="2:2">
      <c r="B12199" s="24"/>
    </row>
    <row r="12200" spans="2:2">
      <c r="B12200" s="24"/>
    </row>
    <row r="12201" spans="2:2">
      <c r="B12201" s="24"/>
    </row>
    <row r="12202" spans="2:2">
      <c r="B12202" s="24"/>
    </row>
    <row r="12203" spans="2:2">
      <c r="B12203" s="24"/>
    </row>
    <row r="12204" spans="2:2">
      <c r="B12204" s="24"/>
    </row>
    <row r="12205" spans="2:2">
      <c r="B12205" s="24"/>
    </row>
    <row r="12206" spans="2:2">
      <c r="B12206" s="24"/>
    </row>
    <row r="12207" spans="2:2">
      <c r="B12207" s="24"/>
    </row>
    <row r="12208" spans="2:2">
      <c r="B12208" s="24"/>
    </row>
    <row r="12209" spans="2:2">
      <c r="B12209" s="24"/>
    </row>
    <row r="12210" spans="2:2">
      <c r="B12210" s="24"/>
    </row>
    <row r="12211" spans="2:2">
      <c r="B12211" s="24"/>
    </row>
    <row r="12212" spans="2:2">
      <c r="B12212" s="24"/>
    </row>
    <row r="12213" spans="2:2">
      <c r="B12213" s="24"/>
    </row>
    <row r="12214" spans="2:2">
      <c r="B12214" s="24"/>
    </row>
    <row r="12215" spans="2:2">
      <c r="B12215" s="24"/>
    </row>
    <row r="12216" spans="2:2">
      <c r="B12216" s="24"/>
    </row>
    <row r="12217" spans="2:2">
      <c r="B12217" s="24"/>
    </row>
    <row r="12218" spans="2:2">
      <c r="B12218" s="24"/>
    </row>
    <row r="12219" spans="2:2">
      <c r="B12219" s="24"/>
    </row>
    <row r="12220" spans="2:2">
      <c r="B12220" s="24"/>
    </row>
    <row r="12221" spans="2:2">
      <c r="B12221" s="24"/>
    </row>
    <row r="12222" spans="2:2">
      <c r="B12222" s="24"/>
    </row>
    <row r="12223" spans="2:2">
      <c r="B12223" s="24"/>
    </row>
    <row r="12224" spans="2:2">
      <c r="B12224" s="24"/>
    </row>
    <row r="12225" spans="2:2">
      <c r="B12225" s="24"/>
    </row>
    <row r="12226" spans="2:2">
      <c r="B12226" s="24"/>
    </row>
    <row r="12227" spans="2:2">
      <c r="B12227" s="24"/>
    </row>
    <row r="12228" spans="2:2">
      <c r="B12228" s="24"/>
    </row>
    <row r="12229" spans="2:2">
      <c r="B12229" s="24"/>
    </row>
    <row r="12230" spans="2:2">
      <c r="B12230" s="24"/>
    </row>
    <row r="12231" spans="2:2">
      <c r="B12231" s="24"/>
    </row>
    <row r="12232" spans="2:2">
      <c r="B12232" s="24"/>
    </row>
    <row r="12233" spans="2:2">
      <c r="B12233" s="24"/>
    </row>
    <row r="12234" spans="2:2">
      <c r="B12234" s="24"/>
    </row>
    <row r="12235" spans="2:2">
      <c r="B12235" s="24"/>
    </row>
    <row r="12236" spans="2:2">
      <c r="B12236" s="24"/>
    </row>
    <row r="12237" spans="2:2">
      <c r="B12237" s="24"/>
    </row>
    <row r="12238" spans="2:2">
      <c r="B12238" s="24"/>
    </row>
    <row r="12239" spans="2:2">
      <c r="B12239" s="24"/>
    </row>
    <row r="12240" spans="2:2">
      <c r="B12240" s="24"/>
    </row>
    <row r="12241" spans="2:2">
      <c r="B12241" s="24"/>
    </row>
    <row r="12242" spans="2:2">
      <c r="B12242" s="24"/>
    </row>
    <row r="12243" spans="2:2">
      <c r="B12243" s="24"/>
    </row>
    <row r="12244" spans="2:2">
      <c r="B12244" s="24"/>
    </row>
    <row r="12245" spans="2:2">
      <c r="B12245" s="24"/>
    </row>
    <row r="12246" spans="2:2">
      <c r="B12246" s="24"/>
    </row>
    <row r="12247" spans="2:2">
      <c r="B12247" s="24"/>
    </row>
    <row r="12248" spans="2:2">
      <c r="B12248" s="24"/>
    </row>
    <row r="12249" spans="2:2">
      <c r="B12249" s="24"/>
    </row>
    <row r="12250" spans="2:2">
      <c r="B12250" s="24"/>
    </row>
    <row r="12251" spans="2:2">
      <c r="B12251" s="24"/>
    </row>
    <row r="12252" spans="2:2">
      <c r="B12252" s="24"/>
    </row>
    <row r="12253" spans="2:2">
      <c r="B12253" s="24"/>
    </row>
    <row r="12254" spans="2:2">
      <c r="B12254" s="24"/>
    </row>
    <row r="12255" spans="2:2">
      <c r="B12255" s="24"/>
    </row>
    <row r="12256" spans="2:2">
      <c r="B12256" s="24"/>
    </row>
    <row r="12257" spans="2:2">
      <c r="B12257" s="24"/>
    </row>
    <row r="12258" spans="2:2">
      <c r="B12258" s="24"/>
    </row>
    <row r="12259" spans="2:2">
      <c r="B12259" s="24"/>
    </row>
    <row r="12260" spans="2:2">
      <c r="B12260" s="24"/>
    </row>
    <row r="12261" spans="2:2">
      <c r="B12261" s="24"/>
    </row>
    <row r="12262" spans="2:2">
      <c r="B12262" s="24"/>
    </row>
    <row r="12263" spans="2:2">
      <c r="B12263" s="24"/>
    </row>
    <row r="12264" spans="2:2">
      <c r="B12264" s="24"/>
    </row>
    <row r="12265" spans="2:2">
      <c r="B12265" s="24"/>
    </row>
    <row r="12266" spans="2:2">
      <c r="B12266" s="24"/>
    </row>
    <row r="12267" spans="2:2">
      <c r="B12267" s="24"/>
    </row>
    <row r="12268" spans="2:2">
      <c r="B12268" s="24"/>
    </row>
    <row r="12269" spans="2:2">
      <c r="B12269" s="24"/>
    </row>
    <row r="12270" spans="2:2">
      <c r="B12270" s="24"/>
    </row>
    <row r="12271" spans="2:2">
      <c r="B12271" s="24"/>
    </row>
    <row r="12272" spans="2:2">
      <c r="B12272" s="24"/>
    </row>
    <row r="12273" spans="2:2">
      <c r="B12273" s="24"/>
    </row>
    <row r="12274" spans="2:2">
      <c r="B12274" s="24"/>
    </row>
    <row r="12275" spans="2:2">
      <c r="B12275" s="24"/>
    </row>
    <row r="12276" spans="2:2">
      <c r="B12276" s="24"/>
    </row>
    <row r="12277" spans="2:2">
      <c r="B12277" s="24"/>
    </row>
    <row r="12278" spans="2:2">
      <c r="B12278" s="24"/>
    </row>
    <row r="12279" spans="2:2">
      <c r="B12279" s="24"/>
    </row>
    <row r="12280" spans="2:2">
      <c r="B12280" s="24"/>
    </row>
    <row r="12281" spans="2:2">
      <c r="B12281" s="24"/>
    </row>
    <row r="12282" spans="2:2">
      <c r="B12282" s="24"/>
    </row>
    <row r="12283" spans="2:2">
      <c r="B12283" s="24"/>
    </row>
    <row r="12284" spans="2:2">
      <c r="B12284" s="24"/>
    </row>
    <row r="12285" spans="2:2">
      <c r="B12285" s="24"/>
    </row>
    <row r="12286" spans="2:2">
      <c r="B12286" s="24"/>
    </row>
    <row r="12287" spans="2:2">
      <c r="B12287" s="24"/>
    </row>
    <row r="12288" spans="2:2">
      <c r="B12288" s="24"/>
    </row>
    <row r="12289" spans="2:2">
      <c r="B12289" s="24"/>
    </row>
    <row r="12290" spans="2:2">
      <c r="B12290" s="24"/>
    </row>
    <row r="12291" spans="2:2">
      <c r="B12291" s="24"/>
    </row>
    <row r="12292" spans="2:2">
      <c r="B12292" s="24"/>
    </row>
    <row r="12293" spans="2:2">
      <c r="B12293" s="24"/>
    </row>
    <row r="12294" spans="2:2">
      <c r="B12294" s="24"/>
    </row>
    <row r="12295" spans="2:2">
      <c r="B12295" s="24"/>
    </row>
    <row r="12296" spans="2:2">
      <c r="B12296" s="24"/>
    </row>
    <row r="12297" spans="2:2">
      <c r="B12297" s="24"/>
    </row>
    <row r="12298" spans="2:2">
      <c r="B12298" s="24"/>
    </row>
    <row r="12299" spans="2:2">
      <c r="B12299" s="24"/>
    </row>
    <row r="12300" spans="2:2">
      <c r="B12300" s="24"/>
    </row>
    <row r="12301" spans="2:2">
      <c r="B12301" s="24"/>
    </row>
    <row r="12302" spans="2:2">
      <c r="B12302" s="24"/>
    </row>
    <row r="12303" spans="2:2">
      <c r="B12303" s="24"/>
    </row>
    <row r="12304" spans="2:2">
      <c r="B12304" s="24"/>
    </row>
    <row r="12305" spans="2:2">
      <c r="B12305" s="24"/>
    </row>
    <row r="12306" spans="2:2">
      <c r="B12306" s="24"/>
    </row>
    <row r="12307" spans="2:2">
      <c r="B12307" s="24"/>
    </row>
    <row r="12308" spans="2:2">
      <c r="B12308" s="24"/>
    </row>
    <row r="12309" spans="2:2">
      <c r="B12309" s="24"/>
    </row>
    <row r="12310" spans="2:2">
      <c r="B12310" s="24"/>
    </row>
    <row r="12311" spans="2:2">
      <c r="B12311" s="24"/>
    </row>
    <row r="12312" spans="2:2">
      <c r="B12312" s="24"/>
    </row>
    <row r="12313" spans="2:2">
      <c r="B12313" s="24"/>
    </row>
    <row r="12314" spans="2:2">
      <c r="B12314" s="24"/>
    </row>
    <row r="12315" spans="2:2">
      <c r="B12315" s="24"/>
    </row>
    <row r="12316" spans="2:2">
      <c r="B12316" s="24"/>
    </row>
    <row r="12317" spans="2:2">
      <c r="B12317" s="24"/>
    </row>
    <row r="12318" spans="2:2">
      <c r="B12318" s="24"/>
    </row>
    <row r="12319" spans="2:2">
      <c r="B12319" s="24"/>
    </row>
    <row r="12320" spans="2:2">
      <c r="B12320" s="24"/>
    </row>
    <row r="12321" spans="2:2">
      <c r="B12321" s="24"/>
    </row>
    <row r="12322" spans="2:2">
      <c r="B12322" s="24"/>
    </row>
    <row r="12323" spans="2:2">
      <c r="B12323" s="24"/>
    </row>
    <row r="12324" spans="2:2">
      <c r="B12324" s="24"/>
    </row>
    <row r="12325" spans="2:2">
      <c r="B12325" s="24"/>
    </row>
    <row r="12326" spans="2:2">
      <c r="B12326" s="24"/>
    </row>
    <row r="12327" spans="2:2">
      <c r="B12327" s="24"/>
    </row>
    <row r="12328" spans="2:2">
      <c r="B12328" s="24"/>
    </row>
    <row r="12329" spans="2:2">
      <c r="B12329" s="24"/>
    </row>
    <row r="12330" spans="2:2">
      <c r="B12330" s="24"/>
    </row>
    <row r="12331" spans="2:2">
      <c r="B12331" s="24"/>
    </row>
    <row r="12332" spans="2:2">
      <c r="B12332" s="24"/>
    </row>
    <row r="12333" spans="2:2">
      <c r="B12333" s="24"/>
    </row>
    <row r="12334" spans="2:2">
      <c r="B12334" s="24"/>
    </row>
    <row r="12335" spans="2:2">
      <c r="B12335" s="24"/>
    </row>
    <row r="12336" spans="2:2">
      <c r="B12336" s="24"/>
    </row>
    <row r="12337" spans="2:2">
      <c r="B12337" s="24"/>
    </row>
    <row r="12338" spans="2:2">
      <c r="B12338" s="24"/>
    </row>
    <row r="12339" spans="2:2">
      <c r="B12339" s="24"/>
    </row>
    <row r="12340" spans="2:2">
      <c r="B12340" s="24"/>
    </row>
    <row r="12341" spans="2:2">
      <c r="B12341" s="24"/>
    </row>
    <row r="12342" spans="2:2">
      <c r="B12342" s="24"/>
    </row>
    <row r="12343" spans="2:2">
      <c r="B12343" s="24"/>
    </row>
    <row r="12344" spans="2:2">
      <c r="B12344" s="24"/>
    </row>
    <row r="12345" spans="2:2">
      <c r="B12345" s="24"/>
    </row>
    <row r="12346" spans="2:2">
      <c r="B12346" s="24"/>
    </row>
    <row r="12347" spans="2:2">
      <c r="B12347" s="24"/>
    </row>
    <row r="12348" spans="2:2">
      <c r="B12348" s="24"/>
    </row>
    <row r="12349" spans="2:2">
      <c r="B12349" s="24"/>
    </row>
    <row r="12350" spans="2:2">
      <c r="B12350" s="24"/>
    </row>
    <row r="12351" spans="2:2">
      <c r="B12351" s="24"/>
    </row>
    <row r="12352" spans="2:2">
      <c r="B12352" s="24"/>
    </row>
    <row r="12353" spans="2:2">
      <c r="B12353" s="24"/>
    </row>
    <row r="12354" spans="2:2">
      <c r="B12354" s="24"/>
    </row>
    <row r="12355" spans="2:2">
      <c r="B12355" s="24"/>
    </row>
    <row r="12356" spans="2:2">
      <c r="B12356" s="24"/>
    </row>
    <row r="12357" spans="2:2">
      <c r="B12357" s="24"/>
    </row>
    <row r="12358" spans="2:2">
      <c r="B12358" s="24"/>
    </row>
    <row r="12359" spans="2:2">
      <c r="B12359" s="24"/>
    </row>
    <row r="12360" spans="2:2">
      <c r="B12360" s="24"/>
    </row>
    <row r="12361" spans="2:2">
      <c r="B12361" s="24"/>
    </row>
    <row r="12362" spans="2:2">
      <c r="B12362" s="24"/>
    </row>
    <row r="12363" spans="2:2">
      <c r="B12363" s="24"/>
    </row>
    <row r="12364" spans="2:2">
      <c r="B12364" s="24"/>
    </row>
    <row r="12365" spans="2:2">
      <c r="B12365" s="24"/>
    </row>
    <row r="12366" spans="2:2">
      <c r="B12366" s="24"/>
    </row>
    <row r="12367" spans="2:2">
      <c r="B12367" s="24"/>
    </row>
    <row r="12368" spans="2:2">
      <c r="B12368" s="24"/>
    </row>
    <row r="12369" spans="2:2">
      <c r="B12369" s="24"/>
    </row>
    <row r="12370" spans="2:2">
      <c r="B12370" s="24"/>
    </row>
    <row r="12371" spans="2:2">
      <c r="B12371" s="24"/>
    </row>
    <row r="12372" spans="2:2">
      <c r="B12372" s="24"/>
    </row>
    <row r="12373" spans="2:2">
      <c r="B12373" s="24"/>
    </row>
    <row r="12374" spans="2:2">
      <c r="B12374" s="24"/>
    </row>
    <row r="12375" spans="2:2">
      <c r="B12375" s="24"/>
    </row>
    <row r="12376" spans="2:2">
      <c r="B12376" s="24"/>
    </row>
    <row r="12377" spans="2:2">
      <c r="B12377" s="24"/>
    </row>
    <row r="12378" spans="2:2">
      <c r="B12378" s="24"/>
    </row>
    <row r="12379" spans="2:2">
      <c r="B12379" s="24"/>
    </row>
    <row r="12380" spans="2:2">
      <c r="B12380" s="24"/>
    </row>
    <row r="12381" spans="2:2">
      <c r="B12381" s="24"/>
    </row>
    <row r="12382" spans="2:2">
      <c r="B12382" s="24"/>
    </row>
    <row r="12383" spans="2:2">
      <c r="B12383" s="24"/>
    </row>
    <row r="12384" spans="2:2">
      <c r="B12384" s="24"/>
    </row>
    <row r="12385" spans="2:2">
      <c r="B12385" s="24"/>
    </row>
    <row r="12386" spans="2:2">
      <c r="B12386" s="24"/>
    </row>
    <row r="12387" spans="2:2">
      <c r="B12387" s="24"/>
    </row>
    <row r="12388" spans="2:2">
      <c r="B12388" s="24"/>
    </row>
    <row r="12389" spans="2:2">
      <c r="B12389" s="24"/>
    </row>
    <row r="12390" spans="2:2">
      <c r="B12390" s="24"/>
    </row>
    <row r="12391" spans="2:2">
      <c r="B12391" s="24"/>
    </row>
    <row r="12392" spans="2:2">
      <c r="B12392" s="24"/>
    </row>
    <row r="12393" spans="2:2">
      <c r="B12393" s="24"/>
    </row>
    <row r="12394" spans="2:2">
      <c r="B12394" s="24"/>
    </row>
    <row r="12395" spans="2:2">
      <c r="B12395" s="24"/>
    </row>
    <row r="12396" spans="2:2">
      <c r="B12396" s="24"/>
    </row>
    <row r="12397" spans="2:2">
      <c r="B12397" s="24"/>
    </row>
    <row r="12398" spans="2:2">
      <c r="B12398" s="24"/>
    </row>
    <row r="12399" spans="2:2">
      <c r="B12399" s="24"/>
    </row>
    <row r="12400" spans="2:2">
      <c r="B12400" s="24"/>
    </row>
    <row r="12401" spans="2:2">
      <c r="B12401" s="24"/>
    </row>
    <row r="12402" spans="2:2">
      <c r="B12402" s="24"/>
    </row>
    <row r="12403" spans="2:2">
      <c r="B12403" s="24"/>
    </row>
    <row r="12404" spans="2:2">
      <c r="B12404" s="24"/>
    </row>
    <row r="12405" spans="2:2">
      <c r="B12405" s="24"/>
    </row>
    <row r="12406" spans="2:2">
      <c r="B12406" s="24"/>
    </row>
    <row r="12407" spans="2:2">
      <c r="B12407" s="24"/>
    </row>
    <row r="12408" spans="2:2">
      <c r="B12408" s="24"/>
    </row>
    <row r="12409" spans="2:2">
      <c r="B12409" s="24"/>
    </row>
    <row r="12410" spans="2:2">
      <c r="B12410" s="24"/>
    </row>
    <row r="12411" spans="2:2">
      <c r="B12411" s="24"/>
    </row>
    <row r="12412" spans="2:2">
      <c r="B12412" s="24"/>
    </row>
    <row r="12413" spans="2:2">
      <c r="B12413" s="24"/>
    </row>
    <row r="12414" spans="2:2">
      <c r="B12414" s="24"/>
    </row>
    <row r="12415" spans="2:2">
      <c r="B12415" s="24"/>
    </row>
    <row r="12416" spans="2:2">
      <c r="B12416" s="24"/>
    </row>
    <row r="12417" spans="2:2">
      <c r="B12417" s="24"/>
    </row>
    <row r="12418" spans="2:2">
      <c r="B12418" s="24"/>
    </row>
    <row r="12419" spans="2:2">
      <c r="B12419" s="24"/>
    </row>
    <row r="12420" spans="2:2">
      <c r="B12420" s="24"/>
    </row>
    <row r="12421" spans="2:2">
      <c r="B12421" s="24"/>
    </row>
    <row r="12422" spans="2:2">
      <c r="B12422" s="24"/>
    </row>
    <row r="12423" spans="2:2">
      <c r="B12423" s="24"/>
    </row>
    <row r="12424" spans="2:2">
      <c r="B12424" s="24"/>
    </row>
    <row r="12425" spans="2:2">
      <c r="B12425" s="24"/>
    </row>
    <row r="12426" spans="2:2">
      <c r="B12426" s="24"/>
    </row>
    <row r="12427" spans="2:2">
      <c r="B12427" s="24"/>
    </row>
    <row r="12428" spans="2:2">
      <c r="B12428" s="24"/>
    </row>
    <row r="12429" spans="2:2">
      <c r="B12429" s="24"/>
    </row>
    <row r="12430" spans="2:2">
      <c r="B12430" s="24"/>
    </row>
    <row r="12431" spans="2:2">
      <c r="B12431" s="24"/>
    </row>
    <row r="12432" spans="2:2">
      <c r="B12432" s="24"/>
    </row>
    <row r="12433" spans="2:2">
      <c r="B12433" s="24"/>
    </row>
    <row r="12434" spans="2:2">
      <c r="B12434" s="24"/>
    </row>
    <row r="12435" spans="2:2">
      <c r="B12435" s="24"/>
    </row>
    <row r="12436" spans="2:2">
      <c r="B12436" s="24"/>
    </row>
    <row r="12437" spans="2:2">
      <c r="B12437" s="24"/>
    </row>
    <row r="12438" spans="2:2">
      <c r="B12438" s="24"/>
    </row>
    <row r="12439" spans="2:2">
      <c r="B12439" s="24"/>
    </row>
    <row r="12440" spans="2:2">
      <c r="B12440" s="24"/>
    </row>
    <row r="12441" spans="2:2">
      <c r="B12441" s="24"/>
    </row>
    <row r="12442" spans="2:2">
      <c r="B12442" s="24"/>
    </row>
    <row r="12443" spans="2:2">
      <c r="B12443" s="24"/>
    </row>
    <row r="12444" spans="2:2">
      <c r="B12444" s="24"/>
    </row>
    <row r="12445" spans="2:2">
      <c r="B12445" s="24"/>
    </row>
    <row r="12446" spans="2:2">
      <c r="B12446" s="24"/>
    </row>
    <row r="12447" spans="2:2">
      <c r="B12447" s="24"/>
    </row>
    <row r="12448" spans="2:2">
      <c r="B12448" s="24"/>
    </row>
    <row r="12449" spans="2:2">
      <c r="B12449" s="24"/>
    </row>
    <row r="12450" spans="2:2">
      <c r="B12450" s="24"/>
    </row>
    <row r="12451" spans="2:2">
      <c r="B12451" s="24"/>
    </row>
    <row r="12452" spans="2:2">
      <c r="B12452" s="24"/>
    </row>
    <row r="12453" spans="2:2">
      <c r="B12453" s="24"/>
    </row>
    <row r="12454" spans="2:2">
      <c r="B12454" s="24"/>
    </row>
    <row r="12455" spans="2:2">
      <c r="B12455" s="24"/>
    </row>
    <row r="12456" spans="2:2">
      <c r="B12456" s="24"/>
    </row>
    <row r="12457" spans="2:2">
      <c r="B12457" s="24"/>
    </row>
    <row r="12458" spans="2:2">
      <c r="B12458" s="24"/>
    </row>
    <row r="12459" spans="2:2">
      <c r="B12459" s="24"/>
    </row>
    <row r="12460" spans="2:2">
      <c r="B12460" s="24"/>
    </row>
    <row r="12461" spans="2:2">
      <c r="B12461" s="24"/>
    </row>
    <row r="12462" spans="2:2">
      <c r="B12462" s="24"/>
    </row>
    <row r="12463" spans="2:2">
      <c r="B12463" s="24"/>
    </row>
    <row r="12464" spans="2:2">
      <c r="B12464" s="24"/>
    </row>
    <row r="12465" spans="2:2">
      <c r="B12465" s="24"/>
    </row>
    <row r="12466" spans="2:2">
      <c r="B12466" s="24"/>
    </row>
    <row r="12467" spans="2:2">
      <c r="B12467" s="24"/>
    </row>
    <row r="12468" spans="2:2">
      <c r="B12468" s="24"/>
    </row>
    <row r="12469" spans="2:2">
      <c r="B12469" s="24"/>
    </row>
    <row r="12470" spans="2:2">
      <c r="B12470" s="24"/>
    </row>
    <row r="12471" spans="2:2">
      <c r="B12471" s="24"/>
    </row>
    <row r="12472" spans="2:2">
      <c r="B12472" s="24"/>
    </row>
    <row r="12473" spans="2:2">
      <c r="B12473" s="24"/>
    </row>
    <row r="12474" spans="2:2">
      <c r="B12474" s="24"/>
    </row>
    <row r="12475" spans="2:2">
      <c r="B12475" s="24"/>
    </row>
    <row r="12476" spans="2:2">
      <c r="B12476" s="24"/>
    </row>
    <row r="12477" spans="2:2">
      <c r="B12477" s="24"/>
    </row>
    <row r="12478" spans="2:2">
      <c r="B12478" s="24"/>
    </row>
    <row r="12479" spans="2:2">
      <c r="B12479" s="24"/>
    </row>
    <row r="12480" spans="2:2">
      <c r="B12480" s="24"/>
    </row>
    <row r="12481" spans="2:2">
      <c r="B12481" s="24"/>
    </row>
    <row r="12482" spans="2:2">
      <c r="B12482" s="24"/>
    </row>
    <row r="12483" spans="2:2">
      <c r="B12483" s="24"/>
    </row>
    <row r="12484" spans="2:2">
      <c r="B12484" s="24"/>
    </row>
    <row r="12485" spans="2:2">
      <c r="B12485" s="24"/>
    </row>
    <row r="12486" spans="2:2">
      <c r="B12486" s="24"/>
    </row>
    <row r="12487" spans="2:2">
      <c r="B12487" s="24"/>
    </row>
    <row r="12488" spans="2:2">
      <c r="B12488" s="24"/>
    </row>
    <row r="12489" spans="2:2">
      <c r="B12489" s="24"/>
    </row>
    <row r="12490" spans="2:2">
      <c r="B12490" s="24"/>
    </row>
    <row r="12491" spans="2:2">
      <c r="B12491" s="24"/>
    </row>
    <row r="12492" spans="2:2">
      <c r="B12492" s="24"/>
    </row>
    <row r="12493" spans="2:2">
      <c r="B12493" s="24"/>
    </row>
    <row r="12494" spans="2:2">
      <c r="B12494" s="24"/>
    </row>
    <row r="12495" spans="2:2">
      <c r="B12495" s="24"/>
    </row>
    <row r="12496" spans="2:2">
      <c r="B12496" s="24"/>
    </row>
    <row r="12497" spans="2:2">
      <c r="B12497" s="24"/>
    </row>
    <row r="12498" spans="2:2">
      <c r="B12498" s="24"/>
    </row>
    <row r="12499" spans="2:2">
      <c r="B12499" s="24"/>
    </row>
    <row r="12500" spans="2:2">
      <c r="B12500" s="24"/>
    </row>
    <row r="12501" spans="2:2">
      <c r="B12501" s="24"/>
    </row>
    <row r="12502" spans="2:2">
      <c r="B12502" s="24"/>
    </row>
    <row r="12503" spans="2:2">
      <c r="B12503" s="24"/>
    </row>
    <row r="12504" spans="2:2">
      <c r="B12504" s="24"/>
    </row>
    <row r="12505" spans="2:2">
      <c r="B12505" s="24"/>
    </row>
    <row r="12506" spans="2:2">
      <c r="B12506" s="24"/>
    </row>
    <row r="12507" spans="2:2">
      <c r="B12507" s="24"/>
    </row>
    <row r="12508" spans="2:2">
      <c r="B12508" s="24"/>
    </row>
    <row r="12509" spans="2:2">
      <c r="B12509" s="24"/>
    </row>
    <row r="12510" spans="2:2">
      <c r="B12510" s="24"/>
    </row>
    <row r="12511" spans="2:2">
      <c r="B12511" s="24"/>
    </row>
    <row r="12512" spans="2:2">
      <c r="B12512" s="24"/>
    </row>
    <row r="12513" spans="2:2">
      <c r="B12513" s="24"/>
    </row>
    <row r="12514" spans="2:2">
      <c r="B12514" s="24"/>
    </row>
    <row r="12515" spans="2:2">
      <c r="B12515" s="24"/>
    </row>
    <row r="12516" spans="2:2">
      <c r="B12516" s="24"/>
    </row>
    <row r="12517" spans="2:2">
      <c r="B12517" s="24"/>
    </row>
    <row r="12518" spans="2:2">
      <c r="B12518" s="24"/>
    </row>
    <row r="12519" spans="2:2">
      <c r="B12519" s="24"/>
    </row>
    <row r="12520" spans="2:2">
      <c r="B12520" s="24"/>
    </row>
    <row r="12521" spans="2:2">
      <c r="B12521" s="24"/>
    </row>
    <row r="12522" spans="2:2">
      <c r="B12522" s="24"/>
    </row>
    <row r="12523" spans="2:2">
      <c r="B12523" s="24"/>
    </row>
    <row r="12524" spans="2:2">
      <c r="B12524" s="24"/>
    </row>
    <row r="12525" spans="2:2">
      <c r="B12525" s="24"/>
    </row>
    <row r="12526" spans="2:2">
      <c r="B12526" s="24"/>
    </row>
    <row r="12527" spans="2:2">
      <c r="B12527" s="24"/>
    </row>
    <row r="12528" spans="2:2">
      <c r="B12528" s="24"/>
    </row>
    <row r="12529" spans="2:2">
      <c r="B12529" s="24"/>
    </row>
    <row r="12530" spans="2:2">
      <c r="B12530" s="24"/>
    </row>
    <row r="12531" spans="2:2">
      <c r="B12531" s="24"/>
    </row>
    <row r="12532" spans="2:2">
      <c r="B12532" s="24"/>
    </row>
    <row r="12533" spans="2:2">
      <c r="B12533" s="24"/>
    </row>
    <row r="12534" spans="2:2">
      <c r="B12534" s="24"/>
    </row>
    <row r="12535" spans="2:2">
      <c r="B12535" s="24"/>
    </row>
    <row r="12536" spans="2:2">
      <c r="B12536" s="24"/>
    </row>
    <row r="12537" spans="2:2">
      <c r="B12537" s="24"/>
    </row>
    <row r="12538" spans="2:2">
      <c r="B12538" s="24"/>
    </row>
    <row r="12539" spans="2:2">
      <c r="B12539" s="24"/>
    </row>
    <row r="12540" spans="2:2">
      <c r="B12540" s="24"/>
    </row>
    <row r="12541" spans="2:2">
      <c r="B12541" s="24"/>
    </row>
    <row r="12542" spans="2:2">
      <c r="B12542" s="24"/>
    </row>
    <row r="12543" spans="2:2">
      <c r="B12543" s="24"/>
    </row>
    <row r="12544" spans="2:2">
      <c r="B12544" s="24"/>
    </row>
    <row r="12545" spans="2:2">
      <c r="B12545" s="24"/>
    </row>
    <row r="12546" spans="2:2">
      <c r="B12546" s="24"/>
    </row>
    <row r="12547" spans="2:2">
      <c r="B12547" s="24"/>
    </row>
    <row r="12548" spans="2:2">
      <c r="B12548" s="24"/>
    </row>
    <row r="12549" spans="2:2">
      <c r="B12549" s="24"/>
    </row>
    <row r="12550" spans="2:2">
      <c r="B12550" s="24"/>
    </row>
    <row r="12551" spans="2:2">
      <c r="B12551" s="24"/>
    </row>
    <row r="12552" spans="2:2">
      <c r="B12552" s="24"/>
    </row>
    <row r="12553" spans="2:2">
      <c r="B12553" s="24"/>
    </row>
    <row r="12554" spans="2:2">
      <c r="B12554" s="24"/>
    </row>
    <row r="12555" spans="2:2">
      <c r="B12555" s="24"/>
    </row>
    <row r="12556" spans="2:2">
      <c r="B12556" s="24"/>
    </row>
    <row r="12557" spans="2:2">
      <c r="B12557" s="24"/>
    </row>
    <row r="12558" spans="2:2">
      <c r="B12558" s="24"/>
    </row>
    <row r="12559" spans="2:2">
      <c r="B12559" s="24"/>
    </row>
    <row r="12560" spans="2:2">
      <c r="B12560" s="24"/>
    </row>
    <row r="12561" spans="2:2">
      <c r="B12561" s="24"/>
    </row>
    <row r="12562" spans="2:2">
      <c r="B12562" s="24"/>
    </row>
    <row r="12563" spans="2:2">
      <c r="B12563" s="24"/>
    </row>
    <row r="12564" spans="2:2">
      <c r="B12564" s="24"/>
    </row>
    <row r="12565" spans="2:2">
      <c r="B12565" s="24"/>
    </row>
    <row r="12566" spans="2:2">
      <c r="B12566" s="24"/>
    </row>
    <row r="12567" spans="2:2">
      <c r="B12567" s="24"/>
    </row>
    <row r="12568" spans="2:2">
      <c r="B12568" s="24"/>
    </row>
    <row r="12569" spans="2:2">
      <c r="B12569" s="24"/>
    </row>
    <row r="12570" spans="2:2">
      <c r="B12570" s="24"/>
    </row>
    <row r="12571" spans="2:2">
      <c r="B12571" s="24"/>
    </row>
    <row r="12572" spans="2:2">
      <c r="B12572" s="24"/>
    </row>
    <row r="12573" spans="2:2">
      <c r="B12573" s="24"/>
    </row>
    <row r="12574" spans="2:2">
      <c r="B12574" s="24"/>
    </row>
    <row r="12575" spans="2:2">
      <c r="B12575" s="24"/>
    </row>
    <row r="12576" spans="2:2">
      <c r="B12576" s="24"/>
    </row>
    <row r="12577" spans="2:2">
      <c r="B12577" s="24"/>
    </row>
    <row r="12578" spans="2:2">
      <c r="B12578" s="24"/>
    </row>
    <row r="12579" spans="2:2">
      <c r="B12579" s="24"/>
    </row>
    <row r="12580" spans="2:2">
      <c r="B12580" s="24"/>
    </row>
    <row r="12581" spans="2:2">
      <c r="B12581" s="24"/>
    </row>
    <row r="12582" spans="2:2">
      <c r="B12582" s="24"/>
    </row>
    <row r="12583" spans="2:2">
      <c r="B12583" s="24"/>
    </row>
    <row r="12584" spans="2:2">
      <c r="B12584" s="24"/>
    </row>
    <row r="12585" spans="2:2">
      <c r="B12585" s="24"/>
    </row>
    <row r="12586" spans="2:2">
      <c r="B12586" s="24"/>
    </row>
    <row r="12587" spans="2:2">
      <c r="B12587" s="24"/>
    </row>
    <row r="12588" spans="2:2">
      <c r="B12588" s="24"/>
    </row>
    <row r="12589" spans="2:2">
      <c r="B12589" s="24"/>
    </row>
    <row r="12590" spans="2:2">
      <c r="B12590" s="24"/>
    </row>
    <row r="12591" spans="2:2">
      <c r="B12591" s="24"/>
    </row>
    <row r="12592" spans="2:2">
      <c r="B12592" s="24"/>
    </row>
    <row r="12593" spans="2:2">
      <c r="B12593" s="24"/>
    </row>
    <row r="12594" spans="2:2">
      <c r="B12594" s="24"/>
    </row>
    <row r="12595" spans="2:2">
      <c r="B12595" s="24"/>
    </row>
    <row r="12596" spans="2:2">
      <c r="B12596" s="24"/>
    </row>
    <row r="12597" spans="2:2">
      <c r="B12597" s="24"/>
    </row>
    <row r="12598" spans="2:2">
      <c r="B12598" s="24"/>
    </row>
    <row r="12599" spans="2:2">
      <c r="B12599" s="24"/>
    </row>
    <row r="12600" spans="2:2">
      <c r="B12600" s="24"/>
    </row>
    <row r="12601" spans="2:2">
      <c r="B12601" s="24"/>
    </row>
    <row r="12602" spans="2:2">
      <c r="B12602" s="24"/>
    </row>
    <row r="12603" spans="2:2">
      <c r="B12603" s="24"/>
    </row>
    <row r="12604" spans="2:2">
      <c r="B12604" s="24"/>
    </row>
    <row r="12605" spans="2:2">
      <c r="B12605" s="24"/>
    </row>
    <row r="12606" spans="2:2">
      <c r="B12606" s="24"/>
    </row>
    <row r="12607" spans="2:2">
      <c r="B12607" s="24"/>
    </row>
    <row r="12608" spans="2:2">
      <c r="B12608" s="24"/>
    </row>
    <row r="12609" spans="2:2">
      <c r="B12609" s="24"/>
    </row>
    <row r="12610" spans="2:2">
      <c r="B12610" s="24"/>
    </row>
    <row r="12611" spans="2:2">
      <c r="B12611" s="24"/>
    </row>
    <row r="12612" spans="2:2">
      <c r="B12612" s="24"/>
    </row>
    <row r="12613" spans="2:2">
      <c r="B12613" s="24"/>
    </row>
    <row r="12614" spans="2:2">
      <c r="B12614" s="24"/>
    </row>
    <row r="12615" spans="2:2">
      <c r="B12615" s="24"/>
    </row>
    <row r="12616" spans="2:2">
      <c r="B12616" s="24"/>
    </row>
    <row r="12617" spans="2:2">
      <c r="B12617" s="24"/>
    </row>
    <row r="12618" spans="2:2">
      <c r="B12618" s="24"/>
    </row>
    <row r="12619" spans="2:2">
      <c r="B12619" s="24"/>
    </row>
    <row r="12620" spans="2:2">
      <c r="B12620" s="24"/>
    </row>
    <row r="12621" spans="2:2">
      <c r="B12621" s="24"/>
    </row>
    <row r="12622" spans="2:2">
      <c r="B12622" s="24"/>
    </row>
    <row r="12623" spans="2:2">
      <c r="B12623" s="24"/>
    </row>
    <row r="12624" spans="2:2">
      <c r="B12624" s="24"/>
    </row>
    <row r="12625" spans="2:2">
      <c r="B12625" s="24"/>
    </row>
    <row r="12626" spans="2:2">
      <c r="B12626" s="24"/>
    </row>
    <row r="12627" spans="2:2">
      <c r="B12627" s="24"/>
    </row>
    <row r="12628" spans="2:2">
      <c r="B12628" s="24"/>
    </row>
    <row r="12629" spans="2:2">
      <c r="B12629" s="24"/>
    </row>
    <row r="12630" spans="2:2">
      <c r="B12630" s="24"/>
    </row>
    <row r="12631" spans="2:2">
      <c r="B12631" s="24"/>
    </row>
    <row r="12632" spans="2:2">
      <c r="B12632" s="24"/>
    </row>
    <row r="12633" spans="2:2">
      <c r="B12633" s="24"/>
    </row>
    <row r="12634" spans="2:2">
      <c r="B12634" s="24"/>
    </row>
    <row r="12635" spans="2:2">
      <c r="B12635" s="24"/>
    </row>
    <row r="12636" spans="2:2">
      <c r="B12636" s="24"/>
    </row>
    <row r="12637" spans="2:2">
      <c r="B12637" s="24"/>
    </row>
    <row r="12638" spans="2:2">
      <c r="B12638" s="24"/>
    </row>
    <row r="12639" spans="2:2">
      <c r="B12639" s="24"/>
    </row>
    <row r="12640" spans="2:2">
      <c r="B12640" s="24"/>
    </row>
    <row r="12641" spans="2:2">
      <c r="B12641" s="24"/>
    </row>
    <row r="12642" spans="2:2">
      <c r="B12642" s="24"/>
    </row>
    <row r="12643" spans="2:2">
      <c r="B12643" s="24"/>
    </row>
    <row r="12644" spans="2:2">
      <c r="B12644" s="24"/>
    </row>
    <row r="12645" spans="2:2">
      <c r="B12645" s="24"/>
    </row>
    <row r="12646" spans="2:2">
      <c r="B12646" s="24"/>
    </row>
    <row r="12647" spans="2:2">
      <c r="B12647" s="24"/>
    </row>
    <row r="12648" spans="2:2">
      <c r="B12648" s="24"/>
    </row>
    <row r="12649" spans="2:2">
      <c r="B12649" s="24"/>
    </row>
    <row r="12650" spans="2:2">
      <c r="B12650" s="24"/>
    </row>
    <row r="12651" spans="2:2">
      <c r="B12651" s="24"/>
    </row>
    <row r="12652" spans="2:2">
      <c r="B12652" s="24"/>
    </row>
    <row r="12653" spans="2:2">
      <c r="B12653" s="24"/>
    </row>
    <row r="12654" spans="2:2">
      <c r="B12654" s="24"/>
    </row>
    <row r="12655" spans="2:2">
      <c r="B12655" s="24"/>
    </row>
    <row r="12656" spans="2:2">
      <c r="B12656" s="24"/>
    </row>
    <row r="12657" spans="2:2">
      <c r="B12657" s="24"/>
    </row>
    <row r="12658" spans="2:2">
      <c r="B12658" s="24"/>
    </row>
    <row r="12659" spans="2:2">
      <c r="B12659" s="24"/>
    </row>
    <row r="12660" spans="2:2">
      <c r="B12660" s="24"/>
    </row>
    <row r="12661" spans="2:2">
      <c r="B12661" s="24"/>
    </row>
    <row r="12662" spans="2:2">
      <c r="B12662" s="24"/>
    </row>
    <row r="12663" spans="2:2">
      <c r="B12663" s="24"/>
    </row>
    <row r="12664" spans="2:2">
      <c r="B12664" s="24"/>
    </row>
    <row r="12665" spans="2:2">
      <c r="B12665" s="24"/>
    </row>
    <row r="12666" spans="2:2">
      <c r="B12666" s="24"/>
    </row>
    <row r="12667" spans="2:2">
      <c r="B12667" s="24"/>
    </row>
    <row r="12668" spans="2:2">
      <c r="B12668" s="24"/>
    </row>
    <row r="12669" spans="2:2">
      <c r="B12669" s="24"/>
    </row>
    <row r="12670" spans="2:2">
      <c r="B12670" s="24"/>
    </row>
    <row r="12671" spans="2:2">
      <c r="B12671" s="24"/>
    </row>
    <row r="12672" spans="2:2">
      <c r="B12672" s="24"/>
    </row>
    <row r="12673" spans="2:2">
      <c r="B12673" s="24"/>
    </row>
    <row r="12674" spans="2:2">
      <c r="B12674" s="24"/>
    </row>
    <row r="12675" spans="2:2">
      <c r="B12675" s="24"/>
    </row>
    <row r="12676" spans="2:2">
      <c r="B12676" s="24"/>
    </row>
    <row r="12677" spans="2:2">
      <c r="B12677" s="24"/>
    </row>
    <row r="12678" spans="2:2">
      <c r="B12678" s="24"/>
    </row>
    <row r="12679" spans="2:2">
      <c r="B12679" s="24"/>
    </row>
    <row r="12680" spans="2:2">
      <c r="B12680" s="24"/>
    </row>
    <row r="12681" spans="2:2">
      <c r="B12681" s="24"/>
    </row>
    <row r="12682" spans="2:2">
      <c r="B12682" s="24"/>
    </row>
    <row r="12683" spans="2:2">
      <c r="B12683" s="24"/>
    </row>
    <row r="12684" spans="2:2">
      <c r="B12684" s="24"/>
    </row>
    <row r="12685" spans="2:2">
      <c r="B12685" s="24"/>
    </row>
    <row r="12686" spans="2:2">
      <c r="B12686" s="24"/>
    </row>
    <row r="12687" spans="2:2">
      <c r="B12687" s="24"/>
    </row>
    <row r="12688" spans="2:2">
      <c r="B12688" s="24"/>
    </row>
    <row r="12689" spans="2:2">
      <c r="B12689" s="24"/>
    </row>
    <row r="12690" spans="2:2">
      <c r="B12690" s="24"/>
    </row>
    <row r="12691" spans="2:2">
      <c r="B12691" s="24"/>
    </row>
    <row r="12692" spans="2:2">
      <c r="B12692" s="24"/>
    </row>
    <row r="12693" spans="2:2">
      <c r="B12693" s="24"/>
    </row>
    <row r="12694" spans="2:2">
      <c r="B12694" s="24"/>
    </row>
    <row r="12695" spans="2:2">
      <c r="B12695" s="24"/>
    </row>
    <row r="12696" spans="2:2">
      <c r="B12696" s="24"/>
    </row>
    <row r="12697" spans="2:2">
      <c r="B12697" s="24"/>
    </row>
    <row r="12698" spans="2:2">
      <c r="B12698" s="24"/>
    </row>
    <row r="12699" spans="2:2">
      <c r="B12699" s="24"/>
    </row>
    <row r="12700" spans="2:2">
      <c r="B12700" s="24"/>
    </row>
    <row r="12701" spans="2:2">
      <c r="B12701" s="24"/>
    </row>
    <row r="12702" spans="2:2">
      <c r="B12702" s="24"/>
    </row>
    <row r="12703" spans="2:2">
      <c r="B12703" s="24"/>
    </row>
    <row r="12704" spans="2:2">
      <c r="B12704" s="24"/>
    </row>
    <row r="12705" spans="2:2">
      <c r="B12705" s="24"/>
    </row>
    <row r="12706" spans="2:2">
      <c r="B12706" s="24"/>
    </row>
    <row r="12707" spans="2:2">
      <c r="B12707" s="24"/>
    </row>
    <row r="12708" spans="2:2">
      <c r="B12708" s="24"/>
    </row>
    <row r="12709" spans="2:2">
      <c r="B12709" s="24"/>
    </row>
    <row r="12710" spans="2:2">
      <c r="B12710" s="24"/>
    </row>
    <row r="12711" spans="2:2">
      <c r="B12711" s="24"/>
    </row>
    <row r="12712" spans="2:2">
      <c r="B12712" s="24"/>
    </row>
    <row r="12713" spans="2:2">
      <c r="B12713" s="24"/>
    </row>
    <row r="12714" spans="2:2">
      <c r="B12714" s="24"/>
    </row>
    <row r="12715" spans="2:2">
      <c r="B12715" s="24"/>
    </row>
    <row r="12716" spans="2:2">
      <c r="B12716" s="24"/>
    </row>
    <row r="12717" spans="2:2">
      <c r="B12717" s="24"/>
    </row>
    <row r="12718" spans="2:2">
      <c r="B12718" s="24"/>
    </row>
    <row r="12719" spans="2:2">
      <c r="B12719" s="24"/>
    </row>
    <row r="12720" spans="2:2">
      <c r="B12720" s="24"/>
    </row>
    <row r="12721" spans="2:2">
      <c r="B12721" s="24"/>
    </row>
    <row r="12722" spans="2:2">
      <c r="B12722" s="24"/>
    </row>
    <row r="12723" spans="2:2">
      <c r="B12723" s="24"/>
    </row>
    <row r="12724" spans="2:2">
      <c r="B12724" s="24"/>
    </row>
    <row r="12725" spans="2:2">
      <c r="B12725" s="24"/>
    </row>
    <row r="12726" spans="2:2">
      <c r="B12726" s="24"/>
    </row>
    <row r="12727" spans="2:2">
      <c r="B12727" s="24"/>
    </row>
    <row r="12728" spans="2:2">
      <c r="B12728" s="24"/>
    </row>
    <row r="12729" spans="2:2">
      <c r="B12729" s="24"/>
    </row>
    <row r="12730" spans="2:2">
      <c r="B12730" s="24"/>
    </row>
    <row r="12731" spans="2:2">
      <c r="B12731" s="24"/>
    </row>
    <row r="12732" spans="2:2">
      <c r="B12732" s="24"/>
    </row>
    <row r="12733" spans="2:2">
      <c r="B12733" s="24"/>
    </row>
    <row r="12734" spans="2:2">
      <c r="B12734" s="24"/>
    </row>
    <row r="12735" spans="2:2">
      <c r="B12735" s="24"/>
    </row>
    <row r="12736" spans="2:2">
      <c r="B12736" s="24"/>
    </row>
    <row r="12737" spans="2:2">
      <c r="B12737" s="24"/>
    </row>
    <row r="12738" spans="2:2">
      <c r="B12738" s="24"/>
    </row>
    <row r="12739" spans="2:2">
      <c r="B12739" s="24"/>
    </row>
    <row r="12740" spans="2:2">
      <c r="B12740" s="24"/>
    </row>
    <row r="12741" spans="2:2">
      <c r="B12741" s="24"/>
    </row>
    <row r="12742" spans="2:2">
      <c r="B12742" s="24"/>
    </row>
    <row r="12743" spans="2:2">
      <c r="B12743" s="24"/>
    </row>
    <row r="12744" spans="2:2">
      <c r="B12744" s="24"/>
    </row>
    <row r="12745" spans="2:2">
      <c r="B12745" s="24"/>
    </row>
    <row r="12746" spans="2:2">
      <c r="B12746" s="24"/>
    </row>
    <row r="12747" spans="2:2">
      <c r="B12747" s="24"/>
    </row>
    <row r="12748" spans="2:2">
      <c r="B12748" s="24"/>
    </row>
    <row r="12749" spans="2:2">
      <c r="B12749" s="24"/>
    </row>
    <row r="12750" spans="2:2">
      <c r="B12750" s="24"/>
    </row>
    <row r="12751" spans="2:2">
      <c r="B12751" s="24"/>
    </row>
    <row r="12752" spans="2:2">
      <c r="B12752" s="24"/>
    </row>
    <row r="12753" spans="2:2">
      <c r="B12753" s="24"/>
    </row>
    <row r="12754" spans="2:2">
      <c r="B12754" s="24"/>
    </row>
    <row r="12755" spans="2:2">
      <c r="B12755" s="24"/>
    </row>
    <row r="12756" spans="2:2">
      <c r="B12756" s="24"/>
    </row>
    <row r="12757" spans="2:2">
      <c r="B12757" s="24"/>
    </row>
    <row r="12758" spans="2:2">
      <c r="B12758" s="24"/>
    </row>
    <row r="12759" spans="2:2">
      <c r="B12759" s="24"/>
    </row>
    <row r="12760" spans="2:2">
      <c r="B12760" s="24"/>
    </row>
    <row r="12761" spans="2:2">
      <c r="B12761" s="24"/>
    </row>
    <row r="12762" spans="2:2">
      <c r="B12762" s="24"/>
    </row>
    <row r="12763" spans="2:2">
      <c r="B12763" s="24"/>
    </row>
    <row r="12764" spans="2:2">
      <c r="B12764" s="24"/>
    </row>
    <row r="12765" spans="2:2">
      <c r="B12765" s="24"/>
    </row>
    <row r="12766" spans="2:2">
      <c r="B12766" s="24"/>
    </row>
    <row r="12767" spans="2:2">
      <c r="B12767" s="24"/>
    </row>
    <row r="12768" spans="2:2">
      <c r="B12768" s="24"/>
    </row>
    <row r="12769" spans="2:2">
      <c r="B12769" s="24"/>
    </row>
    <row r="12770" spans="2:2">
      <c r="B12770" s="24"/>
    </row>
    <row r="12771" spans="2:2">
      <c r="B12771" s="24"/>
    </row>
    <row r="12772" spans="2:2">
      <c r="B12772" s="24"/>
    </row>
    <row r="12773" spans="2:2">
      <c r="B12773" s="24"/>
    </row>
    <row r="12774" spans="2:2">
      <c r="B12774" s="24"/>
    </row>
    <row r="12775" spans="2:2">
      <c r="B12775" s="24"/>
    </row>
    <row r="12776" spans="2:2">
      <c r="B12776" s="24"/>
    </row>
    <row r="12777" spans="2:2">
      <c r="B12777" s="24"/>
    </row>
    <row r="12778" spans="2:2">
      <c r="B12778" s="24"/>
    </row>
    <row r="12779" spans="2:2">
      <c r="B12779" s="24"/>
    </row>
    <row r="12780" spans="2:2">
      <c r="B12780" s="24"/>
    </row>
    <row r="12781" spans="2:2">
      <c r="B12781" s="24"/>
    </row>
    <row r="12782" spans="2:2">
      <c r="B12782" s="24"/>
    </row>
    <row r="12783" spans="2:2">
      <c r="B12783" s="24"/>
    </row>
    <row r="12784" spans="2:2">
      <c r="B12784" s="24"/>
    </row>
    <row r="12785" spans="2:2">
      <c r="B12785" s="24"/>
    </row>
    <row r="12786" spans="2:2">
      <c r="B12786" s="24"/>
    </row>
    <row r="12787" spans="2:2">
      <c r="B12787" s="24"/>
    </row>
    <row r="12788" spans="2:2">
      <c r="B12788" s="24"/>
    </row>
    <row r="12789" spans="2:2">
      <c r="B12789" s="24"/>
    </row>
    <row r="12790" spans="2:2">
      <c r="B12790" s="24"/>
    </row>
    <row r="12791" spans="2:2">
      <c r="B12791" s="24"/>
    </row>
    <row r="12792" spans="2:2">
      <c r="B12792" s="24"/>
    </row>
    <row r="12793" spans="2:2">
      <c r="B12793" s="24"/>
    </row>
    <row r="12794" spans="2:2">
      <c r="B12794" s="24"/>
    </row>
    <row r="12795" spans="2:2">
      <c r="B12795" s="24"/>
    </row>
    <row r="12796" spans="2:2">
      <c r="B12796" s="24"/>
    </row>
    <row r="12797" spans="2:2">
      <c r="B12797" s="24"/>
    </row>
    <row r="12798" spans="2:2">
      <c r="B12798" s="24"/>
    </row>
    <row r="12799" spans="2:2">
      <c r="B12799" s="24"/>
    </row>
    <row r="12800" spans="2:2">
      <c r="B12800" s="24"/>
    </row>
    <row r="12801" spans="2:2">
      <c r="B12801" s="24"/>
    </row>
    <row r="12802" spans="2:2">
      <c r="B12802" s="24"/>
    </row>
    <row r="12803" spans="2:2">
      <c r="B12803" s="24"/>
    </row>
    <row r="12804" spans="2:2">
      <c r="B12804" s="24"/>
    </row>
    <row r="12805" spans="2:2">
      <c r="B12805" s="24"/>
    </row>
    <row r="12806" spans="2:2">
      <c r="B12806" s="24"/>
    </row>
    <row r="12807" spans="2:2">
      <c r="B12807" s="24"/>
    </row>
    <row r="12808" spans="2:2">
      <c r="B12808" s="24"/>
    </row>
    <row r="12809" spans="2:2">
      <c r="B12809" s="24"/>
    </row>
    <row r="12810" spans="2:2">
      <c r="B12810" s="24"/>
    </row>
    <row r="12811" spans="2:2">
      <c r="B12811" s="24"/>
    </row>
    <row r="12812" spans="2:2">
      <c r="B12812" s="24"/>
    </row>
    <row r="12813" spans="2:2">
      <c r="B12813" s="24"/>
    </row>
    <row r="12814" spans="2:2">
      <c r="B12814" s="24"/>
    </row>
    <row r="12815" spans="2:2">
      <c r="B12815" s="24"/>
    </row>
    <row r="12816" spans="2:2">
      <c r="B12816" s="24"/>
    </row>
    <row r="12817" spans="2:2">
      <c r="B12817" s="24"/>
    </row>
    <row r="12818" spans="2:2">
      <c r="B12818" s="24"/>
    </row>
    <row r="12819" spans="2:2">
      <c r="B12819" s="24"/>
    </row>
    <row r="12820" spans="2:2">
      <c r="B12820" s="24"/>
    </row>
    <row r="12821" spans="2:2">
      <c r="B12821" s="24"/>
    </row>
    <row r="12822" spans="2:2">
      <c r="B12822" s="24"/>
    </row>
    <row r="12823" spans="2:2">
      <c r="B12823" s="24"/>
    </row>
    <row r="12824" spans="2:2">
      <c r="B12824" s="24"/>
    </row>
    <row r="12825" spans="2:2">
      <c r="B12825" s="24"/>
    </row>
    <row r="12826" spans="2:2">
      <c r="B12826" s="24"/>
    </row>
    <row r="12827" spans="2:2">
      <c r="B12827" s="24"/>
    </row>
    <row r="12828" spans="2:2">
      <c r="B12828" s="24"/>
    </row>
    <row r="12829" spans="2:2">
      <c r="B12829" s="24"/>
    </row>
    <row r="12830" spans="2:2">
      <c r="B12830" s="24"/>
    </row>
    <row r="12831" spans="2:2">
      <c r="B12831" s="24"/>
    </row>
    <row r="12832" spans="2:2">
      <c r="B12832" s="24"/>
    </row>
    <row r="12833" spans="2:2">
      <c r="B12833" s="24"/>
    </row>
    <row r="12834" spans="2:2">
      <c r="B12834" s="24"/>
    </row>
    <row r="12835" spans="2:2">
      <c r="B12835" s="24"/>
    </row>
    <row r="12836" spans="2:2">
      <c r="B12836" s="24"/>
    </row>
    <row r="12837" spans="2:2">
      <c r="B12837" s="24"/>
    </row>
    <row r="12838" spans="2:2">
      <c r="B12838" s="24"/>
    </row>
    <row r="12839" spans="2:2">
      <c r="B12839" s="24"/>
    </row>
    <row r="12840" spans="2:2">
      <c r="B12840" s="24"/>
    </row>
    <row r="12841" spans="2:2">
      <c r="B12841" s="24"/>
    </row>
    <row r="12842" spans="2:2">
      <c r="B12842" s="24"/>
    </row>
    <row r="12843" spans="2:2">
      <c r="B12843" s="24"/>
    </row>
    <row r="12844" spans="2:2">
      <c r="B12844" s="24"/>
    </row>
    <row r="12845" spans="2:2">
      <c r="B12845" s="24"/>
    </row>
    <row r="12846" spans="2:2">
      <c r="B12846" s="24"/>
    </row>
    <row r="12847" spans="2:2">
      <c r="B12847" s="24"/>
    </row>
    <row r="12848" spans="2:2">
      <c r="B12848" s="24"/>
    </row>
    <row r="12849" spans="2:2">
      <c r="B12849" s="24"/>
    </row>
    <row r="12850" spans="2:2">
      <c r="B12850" s="24"/>
    </row>
    <row r="12851" spans="2:2">
      <c r="B12851" s="24"/>
    </row>
    <row r="12852" spans="2:2">
      <c r="B12852" s="24"/>
    </row>
    <row r="12853" spans="2:2">
      <c r="B12853" s="24"/>
    </row>
    <row r="12854" spans="2:2">
      <c r="B12854" s="24"/>
    </row>
    <row r="12855" spans="2:2">
      <c r="B12855" s="24"/>
    </row>
    <row r="12856" spans="2:2">
      <c r="B12856" s="24"/>
    </row>
    <row r="12857" spans="2:2">
      <c r="B12857" s="24"/>
    </row>
    <row r="12858" spans="2:2">
      <c r="B12858" s="24"/>
    </row>
    <row r="12859" spans="2:2">
      <c r="B12859" s="24"/>
    </row>
    <row r="12860" spans="2:2">
      <c r="B12860" s="24"/>
    </row>
    <row r="12861" spans="2:2">
      <c r="B12861" s="24"/>
    </row>
    <row r="12862" spans="2:2">
      <c r="B12862" s="24"/>
    </row>
    <row r="12863" spans="2:2">
      <c r="B12863" s="24"/>
    </row>
    <row r="12864" spans="2:2">
      <c r="B12864" s="24"/>
    </row>
    <row r="12865" spans="2:2">
      <c r="B12865" s="24"/>
    </row>
    <row r="12866" spans="2:2">
      <c r="B12866" s="24"/>
    </row>
    <row r="12867" spans="2:2">
      <c r="B12867" s="24"/>
    </row>
    <row r="12868" spans="2:2">
      <c r="B12868" s="24"/>
    </row>
    <row r="12869" spans="2:2">
      <c r="B12869" s="24"/>
    </row>
    <row r="12870" spans="2:2">
      <c r="B12870" s="24"/>
    </row>
    <row r="12871" spans="2:2">
      <c r="B12871" s="24"/>
    </row>
    <row r="12872" spans="2:2">
      <c r="B12872" s="24"/>
    </row>
    <row r="12873" spans="2:2">
      <c r="B12873" s="24"/>
    </row>
    <row r="12874" spans="2:2">
      <c r="B12874" s="24"/>
    </row>
    <row r="12875" spans="2:2">
      <c r="B12875" s="24"/>
    </row>
    <row r="12876" spans="2:2">
      <c r="B12876" s="24"/>
    </row>
    <row r="12877" spans="2:2">
      <c r="B12877" s="24"/>
    </row>
    <row r="12878" spans="2:2">
      <c r="B12878" s="24"/>
    </row>
    <row r="12879" spans="2:2">
      <c r="B12879" s="24"/>
    </row>
    <row r="12880" spans="2:2">
      <c r="B12880" s="24"/>
    </row>
    <row r="12881" spans="2:2">
      <c r="B12881" s="24"/>
    </row>
    <row r="12882" spans="2:2">
      <c r="B12882" s="24"/>
    </row>
    <row r="12883" spans="2:2">
      <c r="B12883" s="24"/>
    </row>
    <row r="12884" spans="2:2">
      <c r="B12884" s="24"/>
    </row>
    <row r="12885" spans="2:2">
      <c r="B12885" s="24"/>
    </row>
    <row r="12886" spans="2:2">
      <c r="B12886" s="24"/>
    </row>
    <row r="12887" spans="2:2">
      <c r="B12887" s="24"/>
    </row>
    <row r="12888" spans="2:2">
      <c r="B12888" s="24"/>
    </row>
    <row r="12889" spans="2:2">
      <c r="B12889" s="24"/>
    </row>
    <row r="12890" spans="2:2">
      <c r="B12890" s="24"/>
    </row>
    <row r="12891" spans="2:2">
      <c r="B12891" s="24"/>
    </row>
    <row r="12892" spans="2:2">
      <c r="B12892" s="24"/>
    </row>
    <row r="12893" spans="2:2">
      <c r="B12893" s="24"/>
    </row>
    <row r="12894" spans="2:2">
      <c r="B12894" s="24"/>
    </row>
    <row r="12895" spans="2:2">
      <c r="B12895" s="24"/>
    </row>
    <row r="12896" spans="2:2">
      <c r="B12896" s="24"/>
    </row>
    <row r="12897" spans="2:2">
      <c r="B12897" s="24"/>
    </row>
    <row r="12898" spans="2:2">
      <c r="B12898" s="24"/>
    </row>
    <row r="12899" spans="2:2">
      <c r="B12899" s="24"/>
    </row>
    <row r="12900" spans="2:2">
      <c r="B12900" s="24"/>
    </row>
    <row r="12901" spans="2:2">
      <c r="B12901" s="24"/>
    </row>
    <row r="12902" spans="2:2">
      <c r="B12902" s="24"/>
    </row>
    <row r="12903" spans="2:2">
      <c r="B12903" s="24"/>
    </row>
    <row r="12904" spans="2:2">
      <c r="B12904" s="24"/>
    </row>
    <row r="12905" spans="2:2">
      <c r="B12905" s="24"/>
    </row>
    <row r="12906" spans="2:2">
      <c r="B12906" s="24"/>
    </row>
    <row r="12907" spans="2:2">
      <c r="B12907" s="24"/>
    </row>
    <row r="12908" spans="2:2">
      <c r="B12908" s="24"/>
    </row>
    <row r="12909" spans="2:2">
      <c r="B12909" s="24"/>
    </row>
    <row r="12910" spans="2:2">
      <c r="B12910" s="24"/>
    </row>
    <row r="12911" spans="2:2">
      <c r="B12911" s="24"/>
    </row>
    <row r="12912" spans="2:2">
      <c r="B12912" s="24"/>
    </row>
    <row r="12913" spans="2:2">
      <c r="B12913" s="24"/>
    </row>
    <row r="12914" spans="2:2">
      <c r="B12914" s="24"/>
    </row>
    <row r="12915" spans="2:2">
      <c r="B12915" s="24"/>
    </row>
    <row r="12916" spans="2:2">
      <c r="B12916" s="24"/>
    </row>
    <row r="12917" spans="2:2">
      <c r="B12917" s="24"/>
    </row>
    <row r="12918" spans="2:2">
      <c r="B12918" s="24"/>
    </row>
    <row r="12919" spans="2:2">
      <c r="B12919" s="24"/>
    </row>
    <row r="12920" spans="2:2">
      <c r="B12920" s="24"/>
    </row>
    <row r="12921" spans="2:2">
      <c r="B12921" s="24"/>
    </row>
    <row r="12922" spans="2:2">
      <c r="B12922" s="24"/>
    </row>
    <row r="12923" spans="2:2">
      <c r="B12923" s="24"/>
    </row>
    <row r="12924" spans="2:2">
      <c r="B12924" s="24"/>
    </row>
    <row r="12925" spans="2:2">
      <c r="B12925" s="24"/>
    </row>
    <row r="12926" spans="2:2">
      <c r="B12926" s="24"/>
    </row>
    <row r="12927" spans="2:2">
      <c r="B12927" s="24"/>
    </row>
    <row r="12928" spans="2:2">
      <c r="B12928" s="24"/>
    </row>
    <row r="12929" spans="2:2">
      <c r="B12929" s="24"/>
    </row>
    <row r="12930" spans="2:2">
      <c r="B12930" s="24"/>
    </row>
    <row r="12931" spans="2:2">
      <c r="B12931" s="24"/>
    </row>
    <row r="12932" spans="2:2">
      <c r="B12932" s="24"/>
    </row>
    <row r="12933" spans="2:2">
      <c r="B12933" s="24"/>
    </row>
    <row r="12934" spans="2:2">
      <c r="B12934" s="24"/>
    </row>
    <row r="12935" spans="2:2">
      <c r="B12935" s="24"/>
    </row>
    <row r="12936" spans="2:2">
      <c r="B12936" s="24"/>
    </row>
    <row r="12937" spans="2:2">
      <c r="B12937" s="24"/>
    </row>
    <row r="12938" spans="2:2">
      <c r="B12938" s="24"/>
    </row>
    <row r="12939" spans="2:2">
      <c r="B12939" s="24"/>
    </row>
    <row r="12940" spans="2:2">
      <c r="B12940" s="24"/>
    </row>
    <row r="12941" spans="2:2">
      <c r="B12941" s="24"/>
    </row>
    <row r="12942" spans="2:2">
      <c r="B12942" s="24"/>
    </row>
    <row r="12943" spans="2:2">
      <c r="B12943" s="24"/>
    </row>
    <row r="12944" spans="2:2">
      <c r="B12944" s="24"/>
    </row>
    <row r="12945" spans="2:2">
      <c r="B12945" s="24"/>
    </row>
    <row r="12946" spans="2:2">
      <c r="B12946" s="24"/>
    </row>
    <row r="12947" spans="2:2">
      <c r="B12947" s="24"/>
    </row>
    <row r="12948" spans="2:2">
      <c r="B12948" s="24"/>
    </row>
    <row r="12949" spans="2:2">
      <c r="B12949" s="24"/>
    </row>
    <row r="12950" spans="2:2">
      <c r="B12950" s="24"/>
    </row>
    <row r="12951" spans="2:2">
      <c r="B12951" s="24"/>
    </row>
    <row r="12952" spans="2:2">
      <c r="B12952" s="24"/>
    </row>
    <row r="12953" spans="2:2">
      <c r="B12953" s="24"/>
    </row>
    <row r="12954" spans="2:2">
      <c r="B12954" s="24"/>
    </row>
    <row r="12955" spans="2:2">
      <c r="B12955" s="24"/>
    </row>
    <row r="12956" spans="2:2">
      <c r="B12956" s="24"/>
    </row>
    <row r="12957" spans="2:2">
      <c r="B12957" s="24"/>
    </row>
    <row r="12958" spans="2:2">
      <c r="B12958" s="24"/>
    </row>
    <row r="12959" spans="2:2">
      <c r="B12959" s="24"/>
    </row>
    <row r="12960" spans="2:2">
      <c r="B12960" s="24"/>
    </row>
    <row r="12961" spans="2:2">
      <c r="B12961" s="24"/>
    </row>
    <row r="12962" spans="2:2">
      <c r="B12962" s="24"/>
    </row>
    <row r="12963" spans="2:2">
      <c r="B12963" s="24"/>
    </row>
    <row r="12964" spans="2:2">
      <c r="B12964" s="24"/>
    </row>
    <row r="12965" spans="2:2">
      <c r="B12965" s="24"/>
    </row>
    <row r="12966" spans="2:2">
      <c r="B12966" s="24"/>
    </row>
    <row r="12967" spans="2:2">
      <c r="B12967" s="24"/>
    </row>
    <row r="12968" spans="2:2">
      <c r="B12968" s="24"/>
    </row>
    <row r="12969" spans="2:2">
      <c r="B12969" s="24"/>
    </row>
    <row r="12970" spans="2:2">
      <c r="B12970" s="24"/>
    </row>
    <row r="12971" spans="2:2">
      <c r="B12971" s="24"/>
    </row>
    <row r="12972" spans="2:2">
      <c r="B12972" s="24"/>
    </row>
    <row r="12973" spans="2:2">
      <c r="B12973" s="24"/>
    </row>
    <row r="12974" spans="2:2">
      <c r="B12974" s="24"/>
    </row>
    <row r="12975" spans="2:2">
      <c r="B12975" s="24"/>
    </row>
    <row r="12976" spans="2:2">
      <c r="B12976" s="24"/>
    </row>
    <row r="12977" spans="2:2">
      <c r="B12977" s="24"/>
    </row>
    <row r="12978" spans="2:2">
      <c r="B12978" s="24"/>
    </row>
    <row r="12979" spans="2:2">
      <c r="B12979" s="24"/>
    </row>
    <row r="12980" spans="2:2">
      <c r="B12980" s="24"/>
    </row>
    <row r="12981" spans="2:2">
      <c r="B12981" s="24"/>
    </row>
    <row r="12982" spans="2:2">
      <c r="B12982" s="24"/>
    </row>
    <row r="12983" spans="2:2">
      <c r="B12983" s="24"/>
    </row>
    <row r="12984" spans="2:2">
      <c r="B12984" s="24"/>
    </row>
    <row r="12985" spans="2:2">
      <c r="B12985" s="24"/>
    </row>
    <row r="12986" spans="2:2">
      <c r="B12986" s="24"/>
    </row>
    <row r="12987" spans="2:2">
      <c r="B12987" s="24"/>
    </row>
    <row r="12988" spans="2:2">
      <c r="B12988" s="24"/>
    </row>
    <row r="12989" spans="2:2">
      <c r="B12989" s="24"/>
    </row>
    <row r="12990" spans="2:2">
      <c r="B12990" s="24"/>
    </row>
    <row r="12991" spans="2:2">
      <c r="B12991" s="24"/>
    </row>
    <row r="12992" spans="2:2">
      <c r="B12992" s="24"/>
    </row>
    <row r="12993" spans="2:2">
      <c r="B12993" s="24"/>
    </row>
    <row r="12994" spans="2:2">
      <c r="B12994" s="24"/>
    </row>
    <row r="12995" spans="2:2">
      <c r="B12995" s="24"/>
    </row>
    <row r="12996" spans="2:2">
      <c r="B12996" s="24"/>
    </row>
    <row r="12997" spans="2:2">
      <c r="B12997" s="24"/>
    </row>
    <row r="12998" spans="2:2">
      <c r="B12998" s="24"/>
    </row>
    <row r="12999" spans="2:2">
      <c r="B12999" s="24"/>
    </row>
    <row r="13000" spans="2:2">
      <c r="B13000" s="24"/>
    </row>
    <row r="13001" spans="2:2">
      <c r="B13001" s="24"/>
    </row>
    <row r="13002" spans="2:2">
      <c r="B13002" s="24"/>
    </row>
    <row r="13003" spans="2:2">
      <c r="B13003" s="24"/>
    </row>
    <row r="13004" spans="2:2">
      <c r="B13004" s="24"/>
    </row>
    <row r="13005" spans="2:2">
      <c r="B13005" s="24"/>
    </row>
    <row r="13006" spans="2:2">
      <c r="B13006" s="24"/>
    </row>
    <row r="13007" spans="2:2">
      <c r="B13007" s="24"/>
    </row>
    <row r="13008" spans="2:2">
      <c r="B13008" s="24"/>
    </row>
    <row r="13009" spans="2:2">
      <c r="B13009" s="24"/>
    </row>
    <row r="13010" spans="2:2">
      <c r="B13010" s="24"/>
    </row>
    <row r="13011" spans="2:2">
      <c r="B13011" s="24"/>
    </row>
    <row r="13012" spans="2:2">
      <c r="B13012" s="24"/>
    </row>
    <row r="13013" spans="2:2">
      <c r="B13013" s="24"/>
    </row>
    <row r="13014" spans="2:2">
      <c r="B13014" s="24"/>
    </row>
    <row r="13015" spans="2:2">
      <c r="B13015" s="24"/>
    </row>
    <row r="13016" spans="2:2">
      <c r="B13016" s="24"/>
    </row>
    <row r="13017" spans="2:2">
      <c r="B13017" s="24"/>
    </row>
    <row r="13018" spans="2:2">
      <c r="B13018" s="24"/>
    </row>
    <row r="13019" spans="2:2">
      <c r="B13019" s="24"/>
    </row>
    <row r="13020" spans="2:2">
      <c r="B13020" s="24"/>
    </row>
    <row r="13021" spans="2:2">
      <c r="B13021" s="24"/>
    </row>
    <row r="13022" spans="2:2">
      <c r="B13022" s="24"/>
    </row>
    <row r="13023" spans="2:2">
      <c r="B13023" s="24"/>
    </row>
    <row r="13024" spans="2:2">
      <c r="B13024" s="24"/>
    </row>
    <row r="13025" spans="2:2">
      <c r="B13025" s="24"/>
    </row>
    <row r="13026" spans="2:2">
      <c r="B13026" s="24"/>
    </row>
    <row r="13027" spans="2:2">
      <c r="B13027" s="24"/>
    </row>
    <row r="13028" spans="2:2">
      <c r="B13028" s="24"/>
    </row>
    <row r="13029" spans="2:2">
      <c r="B13029" s="24"/>
    </row>
    <row r="13030" spans="2:2">
      <c r="B13030" s="24"/>
    </row>
    <row r="13031" spans="2:2">
      <c r="B13031" s="24"/>
    </row>
    <row r="13032" spans="2:2">
      <c r="B13032" s="24"/>
    </row>
    <row r="13033" spans="2:2">
      <c r="B13033" s="24"/>
    </row>
    <row r="13034" spans="2:2">
      <c r="B13034" s="24"/>
    </row>
    <row r="13035" spans="2:2">
      <c r="B13035" s="24"/>
    </row>
    <row r="13036" spans="2:2">
      <c r="B13036" s="24"/>
    </row>
    <row r="13037" spans="2:2">
      <c r="B13037" s="24"/>
    </row>
    <row r="13038" spans="2:2">
      <c r="B13038" s="24"/>
    </row>
    <row r="13039" spans="2:2">
      <c r="B13039" s="24"/>
    </row>
    <row r="13040" spans="2:2">
      <c r="B13040" s="24"/>
    </row>
    <row r="13041" spans="2:2">
      <c r="B13041" s="24"/>
    </row>
    <row r="13042" spans="2:2">
      <c r="B13042" s="24"/>
    </row>
    <row r="13043" spans="2:2">
      <c r="B13043" s="24"/>
    </row>
    <row r="13044" spans="2:2">
      <c r="B13044" s="24"/>
    </row>
    <row r="13045" spans="2:2">
      <c r="B13045" s="24"/>
    </row>
    <row r="13046" spans="2:2">
      <c r="B13046" s="24"/>
    </row>
    <row r="13047" spans="2:2">
      <c r="B13047" s="24"/>
    </row>
    <row r="13048" spans="2:2">
      <c r="B13048" s="24"/>
    </row>
    <row r="13049" spans="2:2">
      <c r="B13049" s="24"/>
    </row>
    <row r="13050" spans="2:2">
      <c r="B13050" s="24"/>
    </row>
    <row r="13051" spans="2:2">
      <c r="B13051" s="24"/>
    </row>
    <row r="13052" spans="2:2">
      <c r="B13052" s="24"/>
    </row>
    <row r="13053" spans="2:2">
      <c r="B13053" s="24"/>
    </row>
    <row r="13054" spans="2:2">
      <c r="B13054" s="24"/>
    </row>
    <row r="13055" spans="2:2">
      <c r="B13055" s="24"/>
    </row>
    <row r="13056" spans="2:2">
      <c r="B13056" s="24"/>
    </row>
    <row r="13057" spans="2:2">
      <c r="B13057" s="24"/>
    </row>
    <row r="13058" spans="2:2">
      <c r="B13058" s="24"/>
    </row>
    <row r="13059" spans="2:2">
      <c r="B13059" s="24"/>
    </row>
    <row r="13060" spans="2:2">
      <c r="B13060" s="24"/>
    </row>
    <row r="13061" spans="2:2">
      <c r="B13061" s="24"/>
    </row>
    <row r="13062" spans="2:2">
      <c r="B13062" s="24"/>
    </row>
    <row r="13063" spans="2:2">
      <c r="B13063" s="24"/>
    </row>
    <row r="13064" spans="2:2">
      <c r="B13064" s="24"/>
    </row>
    <row r="13065" spans="2:2">
      <c r="B13065" s="24"/>
    </row>
    <row r="13066" spans="2:2">
      <c r="B13066" s="24"/>
    </row>
    <row r="13067" spans="2:2">
      <c r="B13067" s="24"/>
    </row>
    <row r="13068" spans="2:2">
      <c r="B13068" s="24"/>
    </row>
    <row r="13069" spans="2:2">
      <c r="B13069" s="24"/>
    </row>
    <row r="13070" spans="2:2">
      <c r="B13070" s="24"/>
    </row>
    <row r="13071" spans="2:2">
      <c r="B13071" s="24"/>
    </row>
    <row r="13072" spans="2:2">
      <c r="B13072" s="24"/>
    </row>
    <row r="13073" spans="2:2">
      <c r="B13073" s="24"/>
    </row>
    <row r="13074" spans="2:2">
      <c r="B13074" s="24"/>
    </row>
    <row r="13075" spans="2:2">
      <c r="B13075" s="24"/>
    </row>
    <row r="13076" spans="2:2">
      <c r="B13076" s="24"/>
    </row>
    <row r="13077" spans="2:2">
      <c r="B13077" s="24"/>
    </row>
    <row r="13078" spans="2:2">
      <c r="B13078" s="24"/>
    </row>
    <row r="13079" spans="2:2">
      <c r="B13079" s="24"/>
    </row>
    <row r="13080" spans="2:2">
      <c r="B13080" s="24"/>
    </row>
    <row r="13081" spans="2:2">
      <c r="B13081" s="24"/>
    </row>
    <row r="13082" spans="2:2">
      <c r="B13082" s="24"/>
    </row>
    <row r="13083" spans="2:2">
      <c r="B13083" s="24"/>
    </row>
    <row r="13084" spans="2:2">
      <c r="B13084" s="24"/>
    </row>
    <row r="13085" spans="2:2">
      <c r="B13085" s="24"/>
    </row>
    <row r="13086" spans="2:2">
      <c r="B13086" s="24"/>
    </row>
    <row r="13087" spans="2:2">
      <c r="B13087" s="24"/>
    </row>
    <row r="13088" spans="2:2">
      <c r="B13088" s="24"/>
    </row>
    <row r="13089" spans="2:2">
      <c r="B13089" s="24"/>
    </row>
    <row r="13090" spans="2:2">
      <c r="B13090" s="24"/>
    </row>
    <row r="13091" spans="2:2">
      <c r="B13091" s="24"/>
    </row>
    <row r="13092" spans="2:2">
      <c r="B13092" s="24"/>
    </row>
    <row r="13093" spans="2:2">
      <c r="B13093" s="24"/>
    </row>
    <row r="13094" spans="2:2">
      <c r="B13094" s="24"/>
    </row>
    <row r="13095" spans="2:2">
      <c r="B13095" s="24"/>
    </row>
    <row r="13096" spans="2:2">
      <c r="B13096" s="24"/>
    </row>
    <row r="13097" spans="2:2">
      <c r="B13097" s="24"/>
    </row>
    <row r="13098" spans="2:2">
      <c r="B13098" s="24"/>
    </row>
    <row r="13099" spans="2:2">
      <c r="B13099" s="24"/>
    </row>
    <row r="13100" spans="2:2">
      <c r="B13100" s="24"/>
    </row>
    <row r="13101" spans="2:2">
      <c r="B13101" s="24"/>
    </row>
    <row r="13102" spans="2:2">
      <c r="B13102" s="24"/>
    </row>
    <row r="13103" spans="2:2">
      <c r="B13103" s="24"/>
    </row>
    <row r="13104" spans="2:2">
      <c r="B13104" s="24"/>
    </row>
    <row r="13105" spans="2:2">
      <c r="B13105" s="24"/>
    </row>
    <row r="13106" spans="2:2">
      <c r="B13106" s="24"/>
    </row>
    <row r="13107" spans="2:2">
      <c r="B13107" s="24"/>
    </row>
    <row r="13108" spans="2:2">
      <c r="B13108" s="24"/>
    </row>
    <row r="13109" spans="2:2">
      <c r="B13109" s="24"/>
    </row>
    <row r="13110" spans="2:2">
      <c r="B13110" s="24"/>
    </row>
    <row r="13111" spans="2:2">
      <c r="B13111" s="24"/>
    </row>
    <row r="13112" spans="2:2">
      <c r="B13112" s="24"/>
    </row>
    <row r="13113" spans="2:2">
      <c r="B13113" s="24"/>
    </row>
    <row r="13114" spans="2:2">
      <c r="B13114" s="24"/>
    </row>
    <row r="13115" spans="2:2">
      <c r="B13115" s="24"/>
    </row>
    <row r="13116" spans="2:2">
      <c r="B13116" s="24"/>
    </row>
    <row r="13117" spans="2:2">
      <c r="B13117" s="24"/>
    </row>
    <row r="13118" spans="2:2">
      <c r="B13118" s="24"/>
    </row>
    <row r="13119" spans="2:2">
      <c r="B13119" s="24"/>
    </row>
    <row r="13120" spans="2:2">
      <c r="B13120" s="24"/>
    </row>
    <row r="13121" spans="2:2">
      <c r="B13121" s="24"/>
    </row>
    <row r="13122" spans="2:2">
      <c r="B13122" s="24"/>
    </row>
    <row r="13123" spans="2:2">
      <c r="B13123" s="24"/>
    </row>
    <row r="13124" spans="2:2">
      <c r="B13124" s="24"/>
    </row>
    <row r="13125" spans="2:2">
      <c r="B13125" s="24"/>
    </row>
    <row r="13126" spans="2:2">
      <c r="B13126" s="24"/>
    </row>
    <row r="13127" spans="2:2">
      <c r="B13127" s="24"/>
    </row>
    <row r="13128" spans="2:2">
      <c r="B13128" s="24"/>
    </row>
    <row r="13129" spans="2:2">
      <c r="B13129" s="24"/>
    </row>
    <row r="13130" spans="2:2">
      <c r="B13130" s="24"/>
    </row>
    <row r="13131" spans="2:2">
      <c r="B13131" s="24"/>
    </row>
    <row r="13132" spans="2:2">
      <c r="B13132" s="24"/>
    </row>
    <row r="13133" spans="2:2">
      <c r="B13133" s="24"/>
    </row>
    <row r="13134" spans="2:2">
      <c r="B13134" s="24"/>
    </row>
    <row r="13135" spans="2:2">
      <c r="B13135" s="24"/>
    </row>
    <row r="13136" spans="2:2">
      <c r="B13136" s="24"/>
    </row>
    <row r="13137" spans="2:2">
      <c r="B13137" s="24"/>
    </row>
    <row r="13138" spans="2:2">
      <c r="B13138" s="24"/>
    </row>
    <row r="13139" spans="2:2">
      <c r="B13139" s="24"/>
    </row>
    <row r="13140" spans="2:2">
      <c r="B13140" s="24"/>
    </row>
    <row r="13141" spans="2:2">
      <c r="B13141" s="24"/>
    </row>
    <row r="13142" spans="2:2">
      <c r="B13142" s="24"/>
    </row>
    <row r="13143" spans="2:2">
      <c r="B13143" s="24"/>
    </row>
    <row r="13144" spans="2:2">
      <c r="B13144" s="24"/>
    </row>
    <row r="13145" spans="2:2">
      <c r="B13145" s="24"/>
    </row>
    <row r="13146" spans="2:2">
      <c r="B13146" s="24"/>
    </row>
    <row r="13147" spans="2:2">
      <c r="B13147" s="24"/>
    </row>
    <row r="13148" spans="2:2">
      <c r="B13148" s="24"/>
    </row>
    <row r="13149" spans="2:2">
      <c r="B13149" s="24"/>
    </row>
    <row r="13150" spans="2:2">
      <c r="B13150" s="24"/>
    </row>
    <row r="13151" spans="2:2">
      <c r="B13151" s="24"/>
    </row>
    <row r="13152" spans="2:2">
      <c r="B13152" s="24"/>
    </row>
    <row r="13153" spans="2:2">
      <c r="B13153" s="24"/>
    </row>
    <row r="13154" spans="2:2">
      <c r="B13154" s="24"/>
    </row>
    <row r="13155" spans="2:2">
      <c r="B13155" s="24"/>
    </row>
    <row r="13156" spans="2:2">
      <c r="B13156" s="24"/>
    </row>
    <row r="13157" spans="2:2">
      <c r="B13157" s="24"/>
    </row>
    <row r="13158" spans="2:2">
      <c r="B13158" s="24"/>
    </row>
    <row r="13159" spans="2:2">
      <c r="B13159" s="24"/>
    </row>
    <row r="13160" spans="2:2">
      <c r="B13160" s="24"/>
    </row>
    <row r="13161" spans="2:2">
      <c r="B13161" s="24"/>
    </row>
    <row r="13162" spans="2:2">
      <c r="B13162" s="24"/>
    </row>
    <row r="13163" spans="2:2">
      <c r="B13163" s="24"/>
    </row>
    <row r="13164" spans="2:2">
      <c r="B13164" s="24"/>
    </row>
    <row r="13165" spans="2:2">
      <c r="B13165" s="24"/>
    </row>
    <row r="13166" spans="2:2">
      <c r="B13166" s="24"/>
    </row>
    <row r="13167" spans="2:2">
      <c r="B13167" s="24"/>
    </row>
    <row r="13168" spans="2:2">
      <c r="B13168" s="24"/>
    </row>
    <row r="13169" spans="2:2">
      <c r="B13169" s="24"/>
    </row>
    <row r="13170" spans="2:2">
      <c r="B13170" s="24"/>
    </row>
    <row r="13171" spans="2:2">
      <c r="B13171" s="24"/>
    </row>
    <row r="13172" spans="2:2">
      <c r="B13172" s="24"/>
    </row>
    <row r="13173" spans="2:2">
      <c r="B13173" s="24"/>
    </row>
    <row r="13174" spans="2:2">
      <c r="B13174" s="24"/>
    </row>
    <row r="13175" spans="2:2">
      <c r="B13175" s="24"/>
    </row>
    <row r="13176" spans="2:2">
      <c r="B13176" s="24"/>
    </row>
    <row r="13177" spans="2:2">
      <c r="B13177" s="24"/>
    </row>
    <row r="13178" spans="2:2">
      <c r="B13178" s="24"/>
    </row>
    <row r="13179" spans="2:2">
      <c r="B13179" s="24"/>
    </row>
    <row r="13180" spans="2:2">
      <c r="B13180" s="24"/>
    </row>
    <row r="13181" spans="2:2">
      <c r="B13181" s="24"/>
    </row>
    <row r="13182" spans="2:2">
      <c r="B13182" s="24"/>
    </row>
    <row r="13183" spans="2:2">
      <c r="B13183" s="24"/>
    </row>
    <row r="13184" spans="2:2">
      <c r="B13184" s="24"/>
    </row>
    <row r="13185" spans="2:2">
      <c r="B13185" s="24"/>
    </row>
    <row r="13186" spans="2:2">
      <c r="B13186" s="24"/>
    </row>
    <row r="13187" spans="2:2">
      <c r="B13187" s="24"/>
    </row>
    <row r="13188" spans="2:2">
      <c r="B13188" s="24"/>
    </row>
    <row r="13189" spans="2:2">
      <c r="B13189" s="24"/>
    </row>
    <row r="13190" spans="2:2">
      <c r="B13190" s="24"/>
    </row>
    <row r="13191" spans="2:2">
      <c r="B13191" s="24"/>
    </row>
    <row r="13192" spans="2:2">
      <c r="B13192" s="24"/>
    </row>
    <row r="13193" spans="2:2">
      <c r="B13193" s="24"/>
    </row>
    <row r="13194" spans="2:2">
      <c r="B13194" s="24"/>
    </row>
    <row r="13195" spans="2:2">
      <c r="B13195" s="24"/>
    </row>
    <row r="13196" spans="2:2">
      <c r="B13196" s="24"/>
    </row>
    <row r="13197" spans="2:2">
      <c r="B13197" s="24"/>
    </row>
    <row r="13198" spans="2:2">
      <c r="B13198" s="24"/>
    </row>
    <row r="13199" spans="2:2">
      <c r="B13199" s="24"/>
    </row>
    <row r="13200" spans="2:2">
      <c r="B13200" s="24"/>
    </row>
    <row r="13201" spans="2:2">
      <c r="B13201" s="24"/>
    </row>
    <row r="13202" spans="2:2">
      <c r="B13202" s="24"/>
    </row>
    <row r="13203" spans="2:2">
      <c r="B13203" s="24"/>
    </row>
    <row r="13204" spans="2:2">
      <c r="B13204" s="24"/>
    </row>
    <row r="13205" spans="2:2">
      <c r="B13205" s="24"/>
    </row>
    <row r="13206" spans="2:2">
      <c r="B13206" s="24"/>
    </row>
    <row r="13207" spans="2:2">
      <c r="B13207" s="24"/>
    </row>
    <row r="13208" spans="2:2">
      <c r="B13208" s="24"/>
    </row>
    <row r="13209" spans="2:2">
      <c r="B13209" s="24"/>
    </row>
    <row r="13210" spans="2:2">
      <c r="B13210" s="24"/>
    </row>
    <row r="13211" spans="2:2">
      <c r="B13211" s="24"/>
    </row>
    <row r="13212" spans="2:2">
      <c r="B13212" s="24"/>
    </row>
    <row r="13213" spans="2:2">
      <c r="B13213" s="24"/>
    </row>
    <row r="13214" spans="2:2">
      <c r="B13214" s="24"/>
    </row>
    <row r="13215" spans="2:2">
      <c r="B13215" s="24"/>
    </row>
    <row r="13216" spans="2:2">
      <c r="B13216" s="24"/>
    </row>
    <row r="13217" spans="2:2">
      <c r="B13217" s="24"/>
    </row>
    <row r="13218" spans="2:2">
      <c r="B13218" s="24"/>
    </row>
    <row r="13219" spans="2:2">
      <c r="B13219" s="24"/>
    </row>
    <row r="13220" spans="2:2">
      <c r="B13220" s="24"/>
    </row>
    <row r="13221" spans="2:2">
      <c r="B13221" s="24"/>
    </row>
    <row r="13222" spans="2:2">
      <c r="B13222" s="24"/>
    </row>
    <row r="13223" spans="2:2">
      <c r="B13223" s="24"/>
    </row>
    <row r="13224" spans="2:2">
      <c r="B13224" s="24"/>
    </row>
    <row r="13225" spans="2:2">
      <c r="B13225" s="24"/>
    </row>
    <row r="13226" spans="2:2">
      <c r="B13226" s="24"/>
    </row>
    <row r="13227" spans="2:2">
      <c r="B13227" s="24"/>
    </row>
    <row r="13228" spans="2:2">
      <c r="B13228" s="24"/>
    </row>
    <row r="13229" spans="2:2">
      <c r="B13229" s="24"/>
    </row>
    <row r="13230" spans="2:2">
      <c r="B13230" s="24"/>
    </row>
    <row r="13231" spans="2:2">
      <c r="B13231" s="24"/>
    </row>
    <row r="13232" spans="2:2">
      <c r="B13232" s="24"/>
    </row>
    <row r="13233" spans="2:2">
      <c r="B13233" s="24"/>
    </row>
    <row r="13234" spans="2:2">
      <c r="B13234" s="24"/>
    </row>
    <row r="13235" spans="2:2">
      <c r="B13235" s="24"/>
    </row>
    <row r="13236" spans="2:2">
      <c r="B13236" s="24"/>
    </row>
    <row r="13237" spans="2:2">
      <c r="B13237" s="24"/>
    </row>
    <row r="13238" spans="2:2">
      <c r="B13238" s="24"/>
    </row>
    <row r="13239" spans="2:2">
      <c r="B13239" s="24"/>
    </row>
    <row r="13240" spans="2:2">
      <c r="B13240" s="24"/>
    </row>
    <row r="13241" spans="2:2">
      <c r="B13241" s="24"/>
    </row>
    <row r="13242" spans="2:2">
      <c r="B13242" s="24"/>
    </row>
    <row r="13243" spans="2:2">
      <c r="B13243" s="24"/>
    </row>
    <row r="13244" spans="2:2">
      <c r="B13244" s="24"/>
    </row>
    <row r="13245" spans="2:2">
      <c r="B13245" s="24"/>
    </row>
    <row r="13246" spans="2:2">
      <c r="B13246" s="24"/>
    </row>
    <row r="13247" spans="2:2">
      <c r="B13247" s="24"/>
    </row>
    <row r="13248" spans="2:2">
      <c r="B13248" s="24"/>
    </row>
    <row r="13249" spans="2:2">
      <c r="B13249" s="24"/>
    </row>
    <row r="13250" spans="2:2">
      <c r="B13250" s="24"/>
    </row>
    <row r="13251" spans="2:2">
      <c r="B13251" s="24"/>
    </row>
    <row r="13252" spans="2:2">
      <c r="B13252" s="24"/>
    </row>
    <row r="13253" spans="2:2">
      <c r="B13253" s="24"/>
    </row>
    <row r="13254" spans="2:2">
      <c r="B13254" s="24"/>
    </row>
    <row r="13255" spans="2:2">
      <c r="B13255" s="24"/>
    </row>
    <row r="13256" spans="2:2">
      <c r="B13256" s="24"/>
    </row>
    <row r="13257" spans="2:2">
      <c r="B13257" s="24"/>
    </row>
    <row r="13258" spans="2:2">
      <c r="B13258" s="24"/>
    </row>
    <row r="13259" spans="2:2">
      <c r="B13259" s="24"/>
    </row>
    <row r="13260" spans="2:2">
      <c r="B13260" s="24"/>
    </row>
    <row r="13261" spans="2:2">
      <c r="B13261" s="24"/>
    </row>
    <row r="13262" spans="2:2">
      <c r="B13262" s="24"/>
    </row>
    <row r="13263" spans="2:2">
      <c r="B13263" s="24"/>
    </row>
    <row r="13264" spans="2:2">
      <c r="B13264" s="24"/>
    </row>
    <row r="13265" spans="2:2">
      <c r="B13265" s="24"/>
    </row>
    <row r="13266" spans="2:2">
      <c r="B13266" s="24"/>
    </row>
    <row r="13267" spans="2:2">
      <c r="B13267" s="24"/>
    </row>
    <row r="13268" spans="2:2">
      <c r="B13268" s="24"/>
    </row>
    <row r="13269" spans="2:2">
      <c r="B13269" s="24"/>
    </row>
    <row r="13270" spans="2:2">
      <c r="B13270" s="24"/>
    </row>
    <row r="13271" spans="2:2">
      <c r="B13271" s="24"/>
    </row>
    <row r="13272" spans="2:2">
      <c r="B13272" s="24"/>
    </row>
    <row r="13273" spans="2:2">
      <c r="B13273" s="24"/>
    </row>
    <row r="13274" spans="2:2">
      <c r="B13274" s="24"/>
    </row>
    <row r="13275" spans="2:2">
      <c r="B13275" s="24"/>
    </row>
    <row r="13276" spans="2:2">
      <c r="B13276" s="24"/>
    </row>
    <row r="13277" spans="2:2">
      <c r="B13277" s="24"/>
    </row>
    <row r="13278" spans="2:2">
      <c r="B13278" s="24"/>
    </row>
    <row r="13279" spans="2:2">
      <c r="B13279" s="24"/>
    </row>
    <row r="13280" spans="2:2">
      <c r="B13280" s="24"/>
    </row>
    <row r="13281" spans="2:2">
      <c r="B13281" s="24"/>
    </row>
    <row r="13282" spans="2:2">
      <c r="B13282" s="24"/>
    </row>
    <row r="13283" spans="2:2">
      <c r="B13283" s="24"/>
    </row>
    <row r="13284" spans="2:2">
      <c r="B13284" s="24"/>
    </row>
    <row r="13285" spans="2:2">
      <c r="B13285" s="24"/>
    </row>
    <row r="13286" spans="2:2">
      <c r="B13286" s="24"/>
    </row>
    <row r="13287" spans="2:2">
      <c r="B13287" s="24"/>
    </row>
    <row r="13288" spans="2:2">
      <c r="B13288" s="24"/>
    </row>
    <row r="13289" spans="2:2">
      <c r="B13289" s="24"/>
    </row>
    <row r="13290" spans="2:2">
      <c r="B13290" s="24"/>
    </row>
    <row r="13291" spans="2:2">
      <c r="B13291" s="24"/>
    </row>
    <row r="13292" spans="2:2">
      <c r="B13292" s="24"/>
    </row>
    <row r="13293" spans="2:2">
      <c r="B13293" s="24"/>
    </row>
    <row r="13294" spans="2:2">
      <c r="B13294" s="24"/>
    </row>
    <row r="13295" spans="2:2">
      <c r="B13295" s="24"/>
    </row>
    <row r="13296" spans="2:2">
      <c r="B13296" s="24"/>
    </row>
    <row r="13297" spans="2:2">
      <c r="B13297" s="24"/>
    </row>
    <row r="13298" spans="2:2">
      <c r="B13298" s="24"/>
    </row>
    <row r="13299" spans="2:2">
      <c r="B13299" s="24"/>
    </row>
    <row r="13300" spans="2:2">
      <c r="B13300" s="24"/>
    </row>
    <row r="13301" spans="2:2">
      <c r="B13301" s="24"/>
    </row>
    <row r="13302" spans="2:2">
      <c r="B13302" s="24"/>
    </row>
    <row r="13303" spans="2:2">
      <c r="B13303" s="24"/>
    </row>
    <row r="13304" spans="2:2">
      <c r="B13304" s="24"/>
    </row>
    <row r="13305" spans="2:2">
      <c r="B13305" s="24"/>
    </row>
    <row r="13306" spans="2:2">
      <c r="B13306" s="24"/>
    </row>
    <row r="13307" spans="2:2">
      <c r="B13307" s="24"/>
    </row>
    <row r="13308" spans="2:2">
      <c r="B13308" s="24"/>
    </row>
    <row r="13309" spans="2:2">
      <c r="B13309" s="24"/>
    </row>
    <row r="13310" spans="2:2">
      <c r="B13310" s="24"/>
    </row>
    <row r="13311" spans="2:2">
      <c r="B13311" s="24"/>
    </row>
    <row r="13312" spans="2:2">
      <c r="B13312" s="24"/>
    </row>
    <row r="13313" spans="2:2">
      <c r="B13313" s="24"/>
    </row>
    <row r="13314" spans="2:2">
      <c r="B13314" s="24"/>
    </row>
    <row r="13315" spans="2:2">
      <c r="B13315" s="24"/>
    </row>
    <row r="13316" spans="2:2">
      <c r="B13316" s="24"/>
    </row>
    <row r="13317" spans="2:2">
      <c r="B13317" s="24"/>
    </row>
    <row r="13318" spans="2:2">
      <c r="B13318" s="24"/>
    </row>
    <row r="13319" spans="2:2">
      <c r="B13319" s="24"/>
    </row>
    <row r="13320" spans="2:2">
      <c r="B13320" s="24"/>
    </row>
    <row r="13321" spans="2:2">
      <c r="B13321" s="24"/>
    </row>
    <row r="13322" spans="2:2">
      <c r="B13322" s="24"/>
    </row>
    <row r="13323" spans="2:2">
      <c r="B13323" s="24"/>
    </row>
    <row r="13324" spans="2:2">
      <c r="B13324" s="24"/>
    </row>
    <row r="13325" spans="2:2">
      <c r="B13325" s="24"/>
    </row>
    <row r="13326" spans="2:2">
      <c r="B13326" s="24"/>
    </row>
    <row r="13327" spans="2:2">
      <c r="B13327" s="24"/>
    </row>
    <row r="13328" spans="2:2">
      <c r="B13328" s="24"/>
    </row>
    <row r="13329" spans="2:2">
      <c r="B13329" s="24"/>
    </row>
    <row r="13330" spans="2:2">
      <c r="B13330" s="24"/>
    </row>
    <row r="13331" spans="2:2">
      <c r="B13331" s="24"/>
    </row>
    <row r="13332" spans="2:2">
      <c r="B13332" s="24"/>
    </row>
    <row r="13333" spans="2:2">
      <c r="B13333" s="24"/>
    </row>
    <row r="13334" spans="2:2">
      <c r="B13334" s="24"/>
    </row>
    <row r="13335" spans="2:2">
      <c r="B13335" s="24"/>
    </row>
    <row r="13336" spans="2:2">
      <c r="B13336" s="24"/>
    </row>
    <row r="13337" spans="2:2">
      <c r="B13337" s="24"/>
    </row>
    <row r="13338" spans="2:2">
      <c r="B13338" s="24"/>
    </row>
    <row r="13339" spans="2:2">
      <c r="B13339" s="24"/>
    </row>
    <row r="13340" spans="2:2">
      <c r="B13340" s="24"/>
    </row>
    <row r="13341" spans="2:2">
      <c r="B13341" s="24"/>
    </row>
    <row r="13342" spans="2:2">
      <c r="B13342" s="24"/>
    </row>
    <row r="13343" spans="2:2">
      <c r="B13343" s="24"/>
    </row>
    <row r="13344" spans="2:2">
      <c r="B13344" s="24"/>
    </row>
    <row r="13345" spans="2:2">
      <c r="B13345" s="24"/>
    </row>
    <row r="13346" spans="2:2">
      <c r="B13346" s="24"/>
    </row>
    <row r="13347" spans="2:2">
      <c r="B13347" s="24"/>
    </row>
    <row r="13348" spans="2:2">
      <c r="B13348" s="24"/>
    </row>
    <row r="13349" spans="2:2">
      <c r="B13349" s="24"/>
    </row>
    <row r="13350" spans="2:2">
      <c r="B13350" s="24"/>
    </row>
    <row r="13351" spans="2:2">
      <c r="B13351" s="24"/>
    </row>
    <row r="13352" spans="2:2">
      <c r="B13352" s="24"/>
    </row>
    <row r="13353" spans="2:2">
      <c r="B13353" s="24"/>
    </row>
    <row r="13354" spans="2:2">
      <c r="B13354" s="24"/>
    </row>
    <row r="13355" spans="2:2">
      <c r="B13355" s="24"/>
    </row>
    <row r="13356" spans="2:2">
      <c r="B13356" s="24"/>
    </row>
    <row r="13357" spans="2:2">
      <c r="B13357" s="24"/>
    </row>
    <row r="13358" spans="2:2">
      <c r="B13358" s="24"/>
    </row>
    <row r="13359" spans="2:2">
      <c r="B13359" s="24"/>
    </row>
    <row r="13360" spans="2:2">
      <c r="B13360" s="24"/>
    </row>
    <row r="13361" spans="2:2">
      <c r="B13361" s="24"/>
    </row>
    <row r="13362" spans="2:2">
      <c r="B13362" s="24"/>
    </row>
    <row r="13363" spans="2:2">
      <c r="B13363" s="24"/>
    </row>
    <row r="13364" spans="2:2">
      <c r="B13364" s="24"/>
    </row>
    <row r="13365" spans="2:2">
      <c r="B13365" s="24"/>
    </row>
    <row r="13366" spans="2:2">
      <c r="B13366" s="24"/>
    </row>
    <row r="13367" spans="2:2">
      <c r="B13367" s="24"/>
    </row>
    <row r="13368" spans="2:2">
      <c r="B13368" s="24"/>
    </row>
    <row r="13369" spans="2:2">
      <c r="B13369" s="24"/>
    </row>
    <row r="13370" spans="2:2">
      <c r="B13370" s="24"/>
    </row>
    <row r="13371" spans="2:2">
      <c r="B13371" s="24"/>
    </row>
    <row r="13372" spans="2:2">
      <c r="B13372" s="24"/>
    </row>
    <row r="13373" spans="2:2">
      <c r="B13373" s="24"/>
    </row>
    <row r="13374" spans="2:2">
      <c r="B13374" s="24"/>
    </row>
    <row r="13375" spans="2:2">
      <c r="B13375" s="24"/>
    </row>
    <row r="13376" spans="2:2">
      <c r="B13376" s="24"/>
    </row>
    <row r="13377" spans="2:2">
      <c r="B13377" s="24"/>
    </row>
    <row r="13378" spans="2:2">
      <c r="B13378" s="24"/>
    </row>
    <row r="13379" spans="2:2">
      <c r="B13379" s="24"/>
    </row>
    <row r="13380" spans="2:2">
      <c r="B13380" s="24"/>
    </row>
    <row r="13381" spans="2:2">
      <c r="B13381" s="24"/>
    </row>
    <row r="13382" spans="2:2">
      <c r="B13382" s="24"/>
    </row>
    <row r="13383" spans="2:2">
      <c r="B13383" s="24"/>
    </row>
    <row r="13384" spans="2:2">
      <c r="B13384" s="24"/>
    </row>
    <row r="13385" spans="2:2">
      <c r="B13385" s="24"/>
    </row>
    <row r="13386" spans="2:2">
      <c r="B13386" s="24"/>
    </row>
    <row r="13387" spans="2:2">
      <c r="B13387" s="24"/>
    </row>
    <row r="13388" spans="2:2">
      <c r="B13388" s="24"/>
    </row>
    <row r="13389" spans="2:2">
      <c r="B13389" s="24"/>
    </row>
    <row r="13390" spans="2:2">
      <c r="B13390" s="24"/>
    </row>
    <row r="13391" spans="2:2">
      <c r="B13391" s="24"/>
    </row>
    <row r="13392" spans="2:2">
      <c r="B13392" s="24"/>
    </row>
    <row r="13393" spans="2:2">
      <c r="B13393" s="24"/>
    </row>
    <row r="13394" spans="2:2">
      <c r="B13394" s="24"/>
    </row>
    <row r="13395" spans="2:2">
      <c r="B13395" s="24"/>
    </row>
    <row r="13396" spans="2:2">
      <c r="B13396" s="24"/>
    </row>
    <row r="13397" spans="2:2">
      <c r="B13397" s="24"/>
    </row>
    <row r="13398" spans="2:2">
      <c r="B13398" s="24"/>
    </row>
    <row r="13399" spans="2:2">
      <c r="B13399" s="24"/>
    </row>
    <row r="13400" spans="2:2">
      <c r="B13400" s="24"/>
    </row>
    <row r="13401" spans="2:2">
      <c r="B13401" s="24"/>
    </row>
    <row r="13402" spans="2:2">
      <c r="B13402" s="24"/>
    </row>
    <row r="13403" spans="2:2">
      <c r="B13403" s="24"/>
    </row>
    <row r="13404" spans="2:2">
      <c r="B13404" s="24"/>
    </row>
    <row r="13405" spans="2:2">
      <c r="B13405" s="24"/>
    </row>
    <row r="13406" spans="2:2">
      <c r="B13406" s="24"/>
    </row>
    <row r="13407" spans="2:2">
      <c r="B13407" s="24"/>
    </row>
    <row r="13408" spans="2:2">
      <c r="B13408" s="24"/>
    </row>
    <row r="13409" spans="2:2">
      <c r="B13409" s="24"/>
    </row>
    <row r="13410" spans="2:2">
      <c r="B13410" s="24"/>
    </row>
    <row r="13411" spans="2:2">
      <c r="B13411" s="24"/>
    </row>
    <row r="13412" spans="2:2">
      <c r="B13412" s="24"/>
    </row>
    <row r="13413" spans="2:2">
      <c r="B13413" s="24"/>
    </row>
    <row r="13414" spans="2:2">
      <c r="B13414" s="24"/>
    </row>
    <row r="13415" spans="2:2">
      <c r="B13415" s="24"/>
    </row>
    <row r="13416" spans="2:2">
      <c r="B13416" s="24"/>
    </row>
    <row r="13417" spans="2:2">
      <c r="B13417" s="24"/>
    </row>
    <row r="13418" spans="2:2">
      <c r="B13418" s="24"/>
    </row>
    <row r="13419" spans="2:2">
      <c r="B13419" s="24"/>
    </row>
    <row r="13420" spans="2:2">
      <c r="B13420" s="24"/>
    </row>
    <row r="13421" spans="2:2">
      <c r="B13421" s="24"/>
    </row>
    <row r="13422" spans="2:2">
      <c r="B13422" s="24"/>
    </row>
    <row r="13423" spans="2:2">
      <c r="B13423" s="24"/>
    </row>
    <row r="13424" spans="2:2">
      <c r="B13424" s="24"/>
    </row>
    <row r="13425" spans="2:2">
      <c r="B13425" s="24"/>
    </row>
    <row r="13426" spans="2:2">
      <c r="B13426" s="24"/>
    </row>
    <row r="13427" spans="2:2">
      <c r="B13427" s="24"/>
    </row>
    <row r="13428" spans="2:2">
      <c r="B13428" s="24"/>
    </row>
    <row r="13429" spans="2:2">
      <c r="B13429" s="24"/>
    </row>
    <row r="13430" spans="2:2">
      <c r="B13430" s="24"/>
    </row>
    <row r="13431" spans="2:2">
      <c r="B13431" s="24"/>
    </row>
    <row r="13432" spans="2:2">
      <c r="B13432" s="24"/>
    </row>
    <row r="13433" spans="2:2">
      <c r="B13433" s="24"/>
    </row>
    <row r="13434" spans="2:2">
      <c r="B13434" s="24"/>
    </row>
    <row r="13435" spans="2:2">
      <c r="B13435" s="24"/>
    </row>
    <row r="13436" spans="2:2">
      <c r="B13436" s="24"/>
    </row>
    <row r="13437" spans="2:2">
      <c r="B13437" s="24"/>
    </row>
    <row r="13438" spans="2:2">
      <c r="B13438" s="24"/>
    </row>
    <row r="13439" spans="2:2">
      <c r="B13439" s="24"/>
    </row>
    <row r="13440" spans="2:2">
      <c r="B13440" s="24"/>
    </row>
    <row r="13441" spans="2:2">
      <c r="B13441" s="24"/>
    </row>
    <row r="13442" spans="2:2">
      <c r="B13442" s="24"/>
    </row>
    <row r="13443" spans="2:2">
      <c r="B13443" s="24"/>
    </row>
    <row r="13444" spans="2:2">
      <c r="B13444" s="24"/>
    </row>
    <row r="13445" spans="2:2">
      <c r="B13445" s="24"/>
    </row>
    <row r="13446" spans="2:2">
      <c r="B13446" s="24"/>
    </row>
    <row r="13447" spans="2:2">
      <c r="B13447" s="24"/>
    </row>
    <row r="13448" spans="2:2">
      <c r="B13448" s="24"/>
    </row>
    <row r="13449" spans="2:2">
      <c r="B13449" s="24"/>
    </row>
    <row r="13450" spans="2:2">
      <c r="B13450" s="24"/>
    </row>
    <row r="13451" spans="2:2">
      <c r="B13451" s="24"/>
    </row>
    <row r="13452" spans="2:2">
      <c r="B13452" s="24"/>
    </row>
    <row r="13453" spans="2:2">
      <c r="B13453" s="24"/>
    </row>
    <row r="13454" spans="2:2">
      <c r="B13454" s="24"/>
    </row>
    <row r="13455" spans="2:2">
      <c r="B13455" s="24"/>
    </row>
    <row r="13456" spans="2:2">
      <c r="B13456" s="24"/>
    </row>
    <row r="13457" spans="2:2">
      <c r="B13457" s="24"/>
    </row>
    <row r="13458" spans="2:2">
      <c r="B13458" s="24"/>
    </row>
    <row r="13459" spans="2:2">
      <c r="B13459" s="24"/>
    </row>
    <row r="13460" spans="2:2">
      <c r="B13460" s="24"/>
    </row>
    <row r="13461" spans="2:2">
      <c r="B13461" s="24"/>
    </row>
    <row r="13462" spans="2:2">
      <c r="B13462" s="24"/>
    </row>
    <row r="13463" spans="2:2">
      <c r="B13463" s="24"/>
    </row>
    <row r="13464" spans="2:2">
      <c r="B13464" s="24"/>
    </row>
    <row r="13465" spans="2:2">
      <c r="B13465" s="24"/>
    </row>
    <row r="13466" spans="2:2">
      <c r="B13466" s="24"/>
    </row>
    <row r="13467" spans="2:2">
      <c r="B13467" s="24"/>
    </row>
    <row r="13468" spans="2:2">
      <c r="B13468" s="24"/>
    </row>
    <row r="13469" spans="2:2">
      <c r="B13469" s="24"/>
    </row>
    <row r="13470" spans="2:2">
      <c r="B13470" s="24"/>
    </row>
    <row r="13471" spans="2:2">
      <c r="B13471" s="24"/>
    </row>
    <row r="13472" spans="2:2">
      <c r="B13472" s="24"/>
    </row>
    <row r="13473" spans="2:2">
      <c r="B13473" s="24"/>
    </row>
    <row r="13474" spans="2:2">
      <c r="B13474" s="24"/>
    </row>
    <row r="13475" spans="2:2">
      <c r="B13475" s="24"/>
    </row>
    <row r="13476" spans="2:2">
      <c r="B13476" s="24"/>
    </row>
    <row r="13477" spans="2:2">
      <c r="B13477" s="24"/>
    </row>
    <row r="13478" spans="2:2">
      <c r="B13478" s="24"/>
    </row>
    <row r="13479" spans="2:2">
      <c r="B13479" s="24"/>
    </row>
    <row r="13480" spans="2:2">
      <c r="B13480" s="24"/>
    </row>
    <row r="13481" spans="2:2">
      <c r="B13481" s="24"/>
    </row>
    <row r="13482" spans="2:2">
      <c r="B13482" s="24"/>
    </row>
    <row r="13483" spans="2:2">
      <c r="B13483" s="24"/>
    </row>
    <row r="13484" spans="2:2">
      <c r="B13484" s="24"/>
    </row>
    <row r="13485" spans="2:2">
      <c r="B13485" s="24"/>
    </row>
    <row r="13486" spans="2:2">
      <c r="B13486" s="24"/>
    </row>
    <row r="13487" spans="2:2">
      <c r="B13487" s="24"/>
    </row>
    <row r="13488" spans="2:2">
      <c r="B13488" s="24"/>
    </row>
    <row r="13489" spans="2:2">
      <c r="B13489" s="24"/>
    </row>
    <row r="13490" spans="2:2">
      <c r="B13490" s="24"/>
    </row>
    <row r="13491" spans="2:2">
      <c r="B13491" s="24"/>
    </row>
    <row r="13492" spans="2:2">
      <c r="B13492" s="24"/>
    </row>
    <row r="13493" spans="2:2">
      <c r="B13493" s="24"/>
    </row>
    <row r="13494" spans="2:2">
      <c r="B13494" s="24"/>
    </row>
    <row r="13495" spans="2:2">
      <c r="B13495" s="24"/>
    </row>
    <row r="13496" spans="2:2">
      <c r="B13496" s="24"/>
    </row>
    <row r="13497" spans="2:2">
      <c r="B13497" s="24"/>
    </row>
    <row r="13498" spans="2:2">
      <c r="B13498" s="24"/>
    </row>
    <row r="13499" spans="2:2">
      <c r="B13499" s="24"/>
    </row>
    <row r="13500" spans="2:2">
      <c r="B13500" s="24"/>
    </row>
    <row r="13501" spans="2:2">
      <c r="B13501" s="24"/>
    </row>
    <row r="13502" spans="2:2">
      <c r="B13502" s="24"/>
    </row>
    <row r="13503" spans="2:2">
      <c r="B13503" s="24"/>
    </row>
    <row r="13504" spans="2:2">
      <c r="B13504" s="24"/>
    </row>
    <row r="13505" spans="2:2">
      <c r="B13505" s="24"/>
    </row>
    <row r="13506" spans="2:2">
      <c r="B13506" s="24"/>
    </row>
    <row r="13507" spans="2:2">
      <c r="B13507" s="24"/>
    </row>
    <row r="13508" spans="2:2">
      <c r="B13508" s="24"/>
    </row>
    <row r="13509" spans="2:2">
      <c r="B13509" s="24"/>
    </row>
    <row r="13510" spans="2:2">
      <c r="B13510" s="24"/>
    </row>
    <row r="13511" spans="2:2">
      <c r="B13511" s="24"/>
    </row>
    <row r="13512" spans="2:2">
      <c r="B13512" s="24"/>
    </row>
    <row r="13513" spans="2:2">
      <c r="B13513" s="24"/>
    </row>
    <row r="13514" spans="2:2">
      <c r="B13514" s="24"/>
    </row>
    <row r="13515" spans="2:2">
      <c r="B13515" s="24"/>
    </row>
    <row r="13516" spans="2:2">
      <c r="B13516" s="24"/>
    </row>
    <row r="13517" spans="2:2">
      <c r="B13517" s="24"/>
    </row>
    <row r="13518" spans="2:2">
      <c r="B13518" s="24"/>
    </row>
    <row r="13519" spans="2:2">
      <c r="B13519" s="24"/>
    </row>
    <row r="13520" spans="2:2">
      <c r="B13520" s="24"/>
    </row>
    <row r="13521" spans="2:2">
      <c r="B13521" s="24"/>
    </row>
    <row r="13522" spans="2:2">
      <c r="B13522" s="24"/>
    </row>
    <row r="13523" spans="2:2">
      <c r="B13523" s="24"/>
    </row>
    <row r="13524" spans="2:2">
      <c r="B13524" s="24"/>
    </row>
    <row r="13525" spans="2:2">
      <c r="B13525" s="24"/>
    </row>
    <row r="13526" spans="2:2">
      <c r="B13526" s="24"/>
    </row>
    <row r="13527" spans="2:2">
      <c r="B13527" s="24"/>
    </row>
    <row r="13528" spans="2:2">
      <c r="B13528" s="24"/>
    </row>
    <row r="13529" spans="2:2">
      <c r="B13529" s="24"/>
    </row>
    <row r="13530" spans="2:2">
      <c r="B13530" s="24"/>
    </row>
    <row r="13531" spans="2:2">
      <c r="B13531" s="24"/>
    </row>
    <row r="13532" spans="2:2">
      <c r="B13532" s="24"/>
    </row>
    <row r="13533" spans="2:2">
      <c r="B13533" s="24"/>
    </row>
    <row r="13534" spans="2:2">
      <c r="B13534" s="24"/>
    </row>
    <row r="13535" spans="2:2">
      <c r="B13535" s="24"/>
    </row>
    <row r="13536" spans="2:2">
      <c r="B13536" s="24"/>
    </row>
    <row r="13537" spans="2:2">
      <c r="B13537" s="24"/>
    </row>
    <row r="13538" spans="2:2">
      <c r="B13538" s="24"/>
    </row>
    <row r="13539" spans="2:2">
      <c r="B13539" s="24"/>
    </row>
    <row r="13540" spans="2:2">
      <c r="B13540" s="24"/>
    </row>
    <row r="13541" spans="2:2">
      <c r="B13541" s="24"/>
    </row>
    <row r="13542" spans="2:2">
      <c r="B13542" s="24"/>
    </row>
    <row r="13543" spans="2:2">
      <c r="B13543" s="24"/>
    </row>
    <row r="13544" spans="2:2">
      <c r="B13544" s="24"/>
    </row>
    <row r="13545" spans="2:2">
      <c r="B13545" s="24"/>
    </row>
    <row r="13546" spans="2:2">
      <c r="B13546" s="24"/>
    </row>
    <row r="13547" spans="2:2">
      <c r="B13547" s="24"/>
    </row>
    <row r="13548" spans="2:2">
      <c r="B13548" s="24"/>
    </row>
    <row r="13549" spans="2:2">
      <c r="B13549" s="24"/>
    </row>
    <row r="13550" spans="2:2">
      <c r="B13550" s="24"/>
    </row>
    <row r="13551" spans="2:2">
      <c r="B13551" s="24"/>
    </row>
    <row r="13552" spans="2:2">
      <c r="B13552" s="24"/>
    </row>
    <row r="13553" spans="2:2">
      <c r="B13553" s="24"/>
    </row>
    <row r="13554" spans="2:2">
      <c r="B13554" s="24"/>
    </row>
    <row r="13555" spans="2:2">
      <c r="B13555" s="24"/>
    </row>
    <row r="13556" spans="2:2">
      <c r="B13556" s="24"/>
    </row>
    <row r="13557" spans="2:2">
      <c r="B13557" s="24"/>
    </row>
    <row r="13558" spans="2:2">
      <c r="B13558" s="24"/>
    </row>
    <row r="13559" spans="2:2">
      <c r="B13559" s="24"/>
    </row>
    <row r="13560" spans="2:2">
      <c r="B13560" s="24"/>
    </row>
    <row r="13561" spans="2:2">
      <c r="B13561" s="24"/>
    </row>
    <row r="13562" spans="2:2">
      <c r="B13562" s="24"/>
    </row>
    <row r="13563" spans="2:2">
      <c r="B13563" s="24"/>
    </row>
    <row r="13564" spans="2:2">
      <c r="B13564" s="24"/>
    </row>
    <row r="13565" spans="2:2">
      <c r="B13565" s="24"/>
    </row>
    <row r="13566" spans="2:2">
      <c r="B13566" s="24"/>
    </row>
    <row r="13567" spans="2:2">
      <c r="B13567" s="24"/>
    </row>
    <row r="13568" spans="2:2">
      <c r="B13568" s="24"/>
    </row>
    <row r="13569" spans="2:2">
      <c r="B13569" s="24"/>
    </row>
    <row r="13570" spans="2:2">
      <c r="B13570" s="24"/>
    </row>
    <row r="13571" spans="2:2">
      <c r="B13571" s="24"/>
    </row>
    <row r="13572" spans="2:2">
      <c r="B13572" s="24"/>
    </row>
    <row r="13573" spans="2:2">
      <c r="B13573" s="24"/>
    </row>
    <row r="13574" spans="2:2">
      <c r="B13574" s="24"/>
    </row>
    <row r="13575" spans="2:2">
      <c r="B13575" s="24"/>
    </row>
    <row r="13576" spans="2:2">
      <c r="B13576" s="24"/>
    </row>
    <row r="13577" spans="2:2">
      <c r="B13577" s="24"/>
    </row>
    <row r="13578" spans="2:2">
      <c r="B13578" s="24"/>
    </row>
    <row r="13579" spans="2:2">
      <c r="B13579" s="24"/>
    </row>
    <row r="13580" spans="2:2">
      <c r="B13580" s="24"/>
    </row>
    <row r="13581" spans="2:2">
      <c r="B13581" s="24"/>
    </row>
    <row r="13582" spans="2:2">
      <c r="B13582" s="24"/>
    </row>
    <row r="13583" spans="2:2">
      <c r="B13583" s="24"/>
    </row>
    <row r="13584" spans="2:2">
      <c r="B13584" s="24"/>
    </row>
    <row r="13585" spans="2:2">
      <c r="B13585" s="24"/>
    </row>
    <row r="13586" spans="2:2">
      <c r="B13586" s="24"/>
    </row>
    <row r="13587" spans="2:2">
      <c r="B13587" s="24"/>
    </row>
    <row r="13588" spans="2:2">
      <c r="B13588" s="24"/>
    </row>
    <row r="13589" spans="2:2">
      <c r="B13589" s="24"/>
    </row>
    <row r="13590" spans="2:2">
      <c r="B13590" s="24"/>
    </row>
    <row r="13591" spans="2:2">
      <c r="B13591" s="24"/>
    </row>
    <row r="13592" spans="2:2">
      <c r="B13592" s="24"/>
    </row>
    <row r="13593" spans="2:2">
      <c r="B13593" s="24"/>
    </row>
    <row r="13594" spans="2:2">
      <c r="B13594" s="24"/>
    </row>
    <row r="13595" spans="2:2">
      <c r="B13595" s="24"/>
    </row>
    <row r="13596" spans="2:2">
      <c r="B13596" s="24"/>
    </row>
    <row r="13597" spans="2:2">
      <c r="B13597" s="24"/>
    </row>
    <row r="13598" spans="2:2">
      <c r="B13598" s="24"/>
    </row>
    <row r="13599" spans="2:2">
      <c r="B13599" s="24"/>
    </row>
    <row r="13600" spans="2:2">
      <c r="B13600" s="24"/>
    </row>
    <row r="13601" spans="2:2">
      <c r="B13601" s="24"/>
    </row>
    <row r="13602" spans="2:2">
      <c r="B13602" s="24"/>
    </row>
    <row r="13603" spans="2:2">
      <c r="B13603" s="24"/>
    </row>
    <row r="13604" spans="2:2">
      <c r="B13604" s="24"/>
    </row>
    <row r="13605" spans="2:2">
      <c r="B13605" s="24"/>
    </row>
    <row r="13606" spans="2:2">
      <c r="B13606" s="24"/>
    </row>
    <row r="13607" spans="2:2">
      <c r="B13607" s="24"/>
    </row>
    <row r="13608" spans="2:2">
      <c r="B13608" s="24"/>
    </row>
    <row r="13609" spans="2:2">
      <c r="B13609" s="24"/>
    </row>
    <row r="13610" spans="2:2">
      <c r="B13610" s="24"/>
    </row>
    <row r="13611" spans="2:2">
      <c r="B13611" s="24"/>
    </row>
    <row r="13612" spans="2:2">
      <c r="B13612" s="24"/>
    </row>
    <row r="13613" spans="2:2">
      <c r="B13613" s="24"/>
    </row>
    <row r="13614" spans="2:2">
      <c r="B13614" s="24"/>
    </row>
    <row r="13615" spans="2:2">
      <c r="B13615" s="24"/>
    </row>
    <row r="13616" spans="2:2">
      <c r="B13616" s="24"/>
    </row>
    <row r="13617" spans="2:2">
      <c r="B13617" s="24"/>
    </row>
    <row r="13618" spans="2:2">
      <c r="B13618" s="24"/>
    </row>
    <row r="13619" spans="2:2">
      <c r="B13619" s="24"/>
    </row>
    <row r="13620" spans="2:2">
      <c r="B13620" s="24"/>
    </row>
    <row r="13621" spans="2:2">
      <c r="B13621" s="24"/>
    </row>
    <row r="13622" spans="2:2">
      <c r="B13622" s="24"/>
    </row>
    <row r="13623" spans="2:2">
      <c r="B13623" s="24"/>
    </row>
    <row r="13624" spans="2:2">
      <c r="B13624" s="24"/>
    </row>
    <row r="13625" spans="2:2">
      <c r="B13625" s="24"/>
    </row>
    <row r="13626" spans="2:2">
      <c r="B13626" s="24"/>
    </row>
    <row r="13627" spans="2:2">
      <c r="B13627" s="24"/>
    </row>
    <row r="13628" spans="2:2">
      <c r="B13628" s="24"/>
    </row>
    <row r="13629" spans="2:2">
      <c r="B13629" s="24"/>
    </row>
    <row r="13630" spans="2:2">
      <c r="B13630" s="24"/>
    </row>
    <row r="13631" spans="2:2">
      <c r="B13631" s="24"/>
    </row>
    <row r="13632" spans="2:2">
      <c r="B13632" s="24"/>
    </row>
    <row r="13633" spans="2:2">
      <c r="B13633" s="24"/>
    </row>
    <row r="13634" spans="2:2">
      <c r="B13634" s="24"/>
    </row>
    <row r="13635" spans="2:2">
      <c r="B13635" s="24"/>
    </row>
    <row r="13636" spans="2:2">
      <c r="B13636" s="24"/>
    </row>
    <row r="13637" spans="2:2">
      <c r="B13637" s="24"/>
    </row>
    <row r="13638" spans="2:2">
      <c r="B13638" s="24"/>
    </row>
    <row r="13639" spans="2:2">
      <c r="B13639" s="24"/>
    </row>
    <row r="13640" spans="2:2">
      <c r="B13640" s="24"/>
    </row>
    <row r="13641" spans="2:2">
      <c r="B13641" s="24"/>
    </row>
    <row r="13642" spans="2:2">
      <c r="B13642" s="24"/>
    </row>
    <row r="13643" spans="2:2">
      <c r="B13643" s="24"/>
    </row>
    <row r="13644" spans="2:2">
      <c r="B13644" s="24"/>
    </row>
    <row r="13645" spans="2:2">
      <c r="B13645" s="24"/>
    </row>
    <row r="13646" spans="2:2">
      <c r="B13646" s="24"/>
    </row>
    <row r="13647" spans="2:2">
      <c r="B13647" s="24"/>
    </row>
    <row r="13648" spans="2:2">
      <c r="B13648" s="24"/>
    </row>
    <row r="13649" spans="2:2">
      <c r="B13649" s="24"/>
    </row>
    <row r="13650" spans="2:2">
      <c r="B13650" s="24"/>
    </row>
    <row r="13651" spans="2:2">
      <c r="B13651" s="24"/>
    </row>
    <row r="13652" spans="2:2">
      <c r="B13652" s="24"/>
    </row>
    <row r="13653" spans="2:2">
      <c r="B13653" s="24"/>
    </row>
    <row r="13654" spans="2:2">
      <c r="B13654" s="24"/>
    </row>
    <row r="13655" spans="2:2">
      <c r="B13655" s="24"/>
    </row>
    <row r="13656" spans="2:2">
      <c r="B13656" s="24"/>
    </row>
    <row r="13657" spans="2:2">
      <c r="B13657" s="24"/>
    </row>
    <row r="13658" spans="2:2">
      <c r="B13658" s="24"/>
    </row>
    <row r="13659" spans="2:2">
      <c r="B13659" s="24"/>
    </row>
    <row r="13660" spans="2:2">
      <c r="B13660" s="24"/>
    </row>
    <row r="13661" spans="2:2">
      <c r="B13661" s="24"/>
    </row>
    <row r="13662" spans="2:2">
      <c r="B13662" s="24"/>
    </row>
    <row r="13663" spans="2:2">
      <c r="B13663" s="24"/>
    </row>
    <row r="13664" spans="2:2">
      <c r="B13664" s="24"/>
    </row>
    <row r="13665" spans="2:2">
      <c r="B13665" s="24"/>
    </row>
    <row r="13666" spans="2:2">
      <c r="B13666" s="24"/>
    </row>
    <row r="13667" spans="2:2">
      <c r="B13667" s="24"/>
    </row>
    <row r="13668" spans="2:2">
      <c r="B13668" s="24"/>
    </row>
    <row r="13669" spans="2:2">
      <c r="B13669" s="24"/>
    </row>
    <row r="13670" spans="2:2">
      <c r="B13670" s="24"/>
    </row>
    <row r="13671" spans="2:2">
      <c r="B13671" s="24"/>
    </row>
    <row r="13672" spans="2:2">
      <c r="B13672" s="24"/>
    </row>
    <row r="13673" spans="2:2">
      <c r="B13673" s="24"/>
    </row>
    <row r="13674" spans="2:2">
      <c r="B13674" s="24"/>
    </row>
    <row r="13675" spans="2:2">
      <c r="B13675" s="24"/>
    </row>
    <row r="13676" spans="2:2">
      <c r="B13676" s="24"/>
    </row>
    <row r="13677" spans="2:2">
      <c r="B13677" s="24"/>
    </row>
    <row r="13678" spans="2:2">
      <c r="B13678" s="24"/>
    </row>
    <row r="13679" spans="2:2">
      <c r="B13679" s="24"/>
    </row>
    <row r="13680" spans="2:2">
      <c r="B13680" s="24"/>
    </row>
    <row r="13681" spans="2:2">
      <c r="B13681" s="24"/>
    </row>
    <row r="13682" spans="2:2">
      <c r="B13682" s="24"/>
    </row>
    <row r="13683" spans="2:2">
      <c r="B13683" s="24"/>
    </row>
    <row r="13684" spans="2:2">
      <c r="B13684" s="24"/>
    </row>
    <row r="13685" spans="2:2">
      <c r="B13685" s="24"/>
    </row>
    <row r="13686" spans="2:2">
      <c r="B13686" s="24"/>
    </row>
    <row r="13687" spans="2:2">
      <c r="B13687" s="24"/>
    </row>
    <row r="13688" spans="2:2">
      <c r="B13688" s="24"/>
    </row>
    <row r="13689" spans="2:2">
      <c r="B13689" s="24"/>
    </row>
    <row r="13690" spans="2:2">
      <c r="B13690" s="24"/>
    </row>
    <row r="13691" spans="2:2">
      <c r="B13691" s="24"/>
    </row>
    <row r="13692" spans="2:2">
      <c r="B13692" s="24"/>
    </row>
    <row r="13693" spans="2:2">
      <c r="B13693" s="24"/>
    </row>
    <row r="13694" spans="2:2">
      <c r="B13694" s="24"/>
    </row>
    <row r="13695" spans="2:2">
      <c r="B13695" s="24"/>
    </row>
    <row r="13696" spans="2:2">
      <c r="B13696" s="24"/>
    </row>
    <row r="13697" spans="2:2">
      <c r="B13697" s="24"/>
    </row>
    <row r="13698" spans="2:2">
      <c r="B13698" s="24"/>
    </row>
    <row r="13699" spans="2:2">
      <c r="B13699" s="24"/>
    </row>
    <row r="13700" spans="2:2">
      <c r="B13700" s="24"/>
    </row>
    <row r="13701" spans="2:2">
      <c r="B13701" s="24"/>
    </row>
    <row r="13702" spans="2:2">
      <c r="B13702" s="24"/>
    </row>
    <row r="13703" spans="2:2">
      <c r="B13703" s="24"/>
    </row>
    <row r="13704" spans="2:2">
      <c r="B13704" s="24"/>
    </row>
    <row r="13705" spans="2:2">
      <c r="B13705" s="24"/>
    </row>
    <row r="13706" spans="2:2">
      <c r="B13706" s="24"/>
    </row>
    <row r="13707" spans="2:2">
      <c r="B13707" s="24"/>
    </row>
    <row r="13708" spans="2:2">
      <c r="B13708" s="24"/>
    </row>
    <row r="13709" spans="2:2">
      <c r="B13709" s="24"/>
    </row>
    <row r="13710" spans="2:2">
      <c r="B13710" s="24"/>
    </row>
    <row r="13711" spans="2:2">
      <c r="B13711" s="24"/>
    </row>
    <row r="13712" spans="2:2">
      <c r="B13712" s="24"/>
    </row>
    <row r="13713" spans="2:2">
      <c r="B13713" s="24"/>
    </row>
    <row r="13714" spans="2:2">
      <c r="B13714" s="24"/>
    </row>
    <row r="13715" spans="2:2">
      <c r="B13715" s="24"/>
    </row>
    <row r="13716" spans="2:2">
      <c r="B13716" s="24"/>
    </row>
    <row r="13717" spans="2:2">
      <c r="B13717" s="24"/>
    </row>
    <row r="13718" spans="2:2">
      <c r="B13718" s="24"/>
    </row>
    <row r="13719" spans="2:2">
      <c r="B13719" s="24"/>
    </row>
    <row r="13720" spans="2:2">
      <c r="B13720" s="24"/>
    </row>
    <row r="13721" spans="2:2">
      <c r="B13721" s="24"/>
    </row>
    <row r="13722" spans="2:2">
      <c r="B13722" s="24"/>
    </row>
    <row r="13723" spans="2:2">
      <c r="B13723" s="24"/>
    </row>
    <row r="13724" spans="2:2">
      <c r="B13724" s="24"/>
    </row>
    <row r="13725" spans="2:2">
      <c r="B13725" s="24"/>
    </row>
    <row r="13726" spans="2:2">
      <c r="B13726" s="24"/>
    </row>
    <row r="13727" spans="2:2">
      <c r="B13727" s="24"/>
    </row>
    <row r="13728" spans="2:2">
      <c r="B13728" s="24"/>
    </row>
    <row r="13729" spans="2:2">
      <c r="B13729" s="24"/>
    </row>
    <row r="13730" spans="2:2">
      <c r="B13730" s="24"/>
    </row>
    <row r="13731" spans="2:2">
      <c r="B13731" s="24"/>
    </row>
    <row r="13732" spans="2:2">
      <c r="B13732" s="24"/>
    </row>
    <row r="13733" spans="2:2">
      <c r="B13733" s="24"/>
    </row>
    <row r="13734" spans="2:2">
      <c r="B13734" s="24"/>
    </row>
    <row r="13735" spans="2:2">
      <c r="B13735" s="24"/>
    </row>
    <row r="13736" spans="2:2">
      <c r="B13736" s="24"/>
    </row>
    <row r="13737" spans="2:2">
      <c r="B13737" s="24"/>
    </row>
    <row r="13738" spans="2:2">
      <c r="B13738" s="24"/>
    </row>
    <row r="13739" spans="2:2">
      <c r="B13739" s="24"/>
    </row>
    <row r="13740" spans="2:2">
      <c r="B13740" s="24"/>
    </row>
    <row r="13741" spans="2:2">
      <c r="B13741" s="24"/>
    </row>
    <row r="13742" spans="2:2">
      <c r="B13742" s="24"/>
    </row>
    <row r="13743" spans="2:2">
      <c r="B13743" s="24"/>
    </row>
    <row r="13744" spans="2:2">
      <c r="B13744" s="24"/>
    </row>
    <row r="13745" spans="2:2">
      <c r="B13745" s="24"/>
    </row>
    <row r="13746" spans="2:2">
      <c r="B13746" s="24"/>
    </row>
    <row r="13747" spans="2:2">
      <c r="B13747" s="24"/>
    </row>
    <row r="13748" spans="2:2">
      <c r="B13748" s="24"/>
    </row>
    <row r="13749" spans="2:2">
      <c r="B13749" s="24"/>
    </row>
    <row r="13750" spans="2:2">
      <c r="B13750" s="24"/>
    </row>
    <row r="13751" spans="2:2">
      <c r="B13751" s="24"/>
    </row>
    <row r="13752" spans="2:2">
      <c r="B13752" s="24"/>
    </row>
    <row r="13753" spans="2:2">
      <c r="B13753" s="24"/>
    </row>
    <row r="13754" spans="2:2">
      <c r="B13754" s="24"/>
    </row>
    <row r="13755" spans="2:2">
      <c r="B13755" s="24"/>
    </row>
    <row r="13756" spans="2:2">
      <c r="B13756" s="24"/>
    </row>
    <row r="13757" spans="2:2">
      <c r="B13757" s="24"/>
    </row>
    <row r="13758" spans="2:2">
      <c r="B13758" s="24"/>
    </row>
    <row r="13759" spans="2:2">
      <c r="B13759" s="24"/>
    </row>
    <row r="13760" spans="2:2">
      <c r="B13760" s="24"/>
    </row>
    <row r="13761" spans="2:2">
      <c r="B13761" s="24"/>
    </row>
    <row r="13762" spans="2:2">
      <c r="B13762" s="24"/>
    </row>
    <row r="13763" spans="2:2">
      <c r="B13763" s="24"/>
    </row>
    <row r="13764" spans="2:2">
      <c r="B13764" s="24"/>
    </row>
    <row r="13765" spans="2:2">
      <c r="B13765" s="24"/>
    </row>
    <row r="13766" spans="2:2">
      <c r="B13766" s="24"/>
    </row>
    <row r="13767" spans="2:2">
      <c r="B13767" s="24"/>
    </row>
    <row r="13768" spans="2:2">
      <c r="B13768" s="24"/>
    </row>
    <row r="13769" spans="2:2">
      <c r="B13769" s="24"/>
    </row>
    <row r="13770" spans="2:2">
      <c r="B13770" s="24"/>
    </row>
    <row r="13771" spans="2:2">
      <c r="B13771" s="24"/>
    </row>
    <row r="13772" spans="2:2">
      <c r="B13772" s="24"/>
    </row>
    <row r="13773" spans="2:2">
      <c r="B13773" s="24"/>
    </row>
    <row r="13774" spans="2:2">
      <c r="B13774" s="24"/>
    </row>
    <row r="13775" spans="2:2">
      <c r="B13775" s="24"/>
    </row>
    <row r="13776" spans="2:2">
      <c r="B13776" s="24"/>
    </row>
    <row r="13777" spans="2:2">
      <c r="B13777" s="24"/>
    </row>
    <row r="13778" spans="2:2">
      <c r="B13778" s="24"/>
    </row>
    <row r="13779" spans="2:2">
      <c r="B13779" s="24"/>
    </row>
    <row r="13780" spans="2:2">
      <c r="B13780" s="24"/>
    </row>
    <row r="13781" spans="2:2">
      <c r="B13781" s="24"/>
    </row>
    <row r="13782" spans="2:2">
      <c r="B13782" s="24"/>
    </row>
    <row r="13783" spans="2:2">
      <c r="B13783" s="24"/>
    </row>
    <row r="13784" spans="2:2">
      <c r="B13784" s="24"/>
    </row>
    <row r="13785" spans="2:2">
      <c r="B13785" s="24"/>
    </row>
    <row r="13786" spans="2:2">
      <c r="B13786" s="24"/>
    </row>
    <row r="13787" spans="2:2">
      <c r="B13787" s="24"/>
    </row>
    <row r="13788" spans="2:2">
      <c r="B13788" s="24"/>
    </row>
    <row r="13789" spans="2:2">
      <c r="B13789" s="24"/>
    </row>
    <row r="13790" spans="2:2">
      <c r="B13790" s="24"/>
    </row>
    <row r="13791" spans="2:2">
      <c r="B13791" s="24"/>
    </row>
    <row r="13792" spans="2:2">
      <c r="B13792" s="24"/>
    </row>
    <row r="13793" spans="2:2">
      <c r="B13793" s="24"/>
    </row>
    <row r="13794" spans="2:2">
      <c r="B13794" s="24"/>
    </row>
    <row r="13795" spans="2:2">
      <c r="B13795" s="24"/>
    </row>
    <row r="13796" spans="2:2">
      <c r="B13796" s="24"/>
    </row>
    <row r="13797" spans="2:2">
      <c r="B13797" s="24"/>
    </row>
    <row r="13798" spans="2:2">
      <c r="B13798" s="24"/>
    </row>
    <row r="13799" spans="2:2">
      <c r="B13799" s="24"/>
    </row>
    <row r="13800" spans="2:2">
      <c r="B13800" s="24"/>
    </row>
    <row r="13801" spans="2:2">
      <c r="B13801" s="24"/>
    </row>
    <row r="13802" spans="2:2">
      <c r="B13802" s="24"/>
    </row>
    <row r="13803" spans="2:2">
      <c r="B13803" s="24"/>
    </row>
    <row r="13804" spans="2:2">
      <c r="B13804" s="24"/>
    </row>
    <row r="13805" spans="2:2">
      <c r="B13805" s="24"/>
    </row>
    <row r="13806" spans="2:2">
      <c r="B13806" s="24"/>
    </row>
    <row r="13807" spans="2:2">
      <c r="B13807" s="24"/>
    </row>
    <row r="13808" spans="2:2">
      <c r="B13808" s="24"/>
    </row>
    <row r="13809" spans="2:2">
      <c r="B13809" s="24"/>
    </row>
    <row r="13810" spans="2:2">
      <c r="B13810" s="24"/>
    </row>
    <row r="13811" spans="2:2">
      <c r="B13811" s="24"/>
    </row>
    <row r="13812" spans="2:2">
      <c r="B13812" s="24"/>
    </row>
    <row r="13813" spans="2:2">
      <c r="B13813" s="24"/>
    </row>
    <row r="13814" spans="2:2">
      <c r="B13814" s="24"/>
    </row>
    <row r="13815" spans="2:2">
      <c r="B13815" s="24"/>
    </row>
    <row r="13816" spans="2:2">
      <c r="B13816" s="24"/>
    </row>
    <row r="13817" spans="2:2">
      <c r="B13817" s="24"/>
    </row>
    <row r="13818" spans="2:2">
      <c r="B13818" s="24"/>
    </row>
    <row r="13819" spans="2:2">
      <c r="B13819" s="24"/>
    </row>
    <row r="13820" spans="2:2">
      <c r="B13820" s="24"/>
    </row>
    <row r="13821" spans="2:2">
      <c r="B13821" s="24"/>
    </row>
    <row r="13822" spans="2:2">
      <c r="B13822" s="24"/>
    </row>
    <row r="13823" spans="2:2">
      <c r="B13823" s="24"/>
    </row>
    <row r="13824" spans="2:2">
      <c r="B13824" s="24"/>
    </row>
    <row r="13825" spans="2:2">
      <c r="B13825" s="24"/>
    </row>
    <row r="13826" spans="2:2">
      <c r="B13826" s="24"/>
    </row>
    <row r="13827" spans="2:2">
      <c r="B13827" s="24"/>
    </row>
    <row r="13828" spans="2:2">
      <c r="B13828" s="24"/>
    </row>
    <row r="13829" spans="2:2">
      <c r="B13829" s="24"/>
    </row>
    <row r="13830" spans="2:2">
      <c r="B13830" s="24"/>
    </row>
    <row r="13831" spans="2:2">
      <c r="B13831" s="24"/>
    </row>
    <row r="13832" spans="2:2">
      <c r="B13832" s="24"/>
    </row>
    <row r="13833" spans="2:2">
      <c r="B13833" s="24"/>
    </row>
    <row r="13834" spans="2:2">
      <c r="B13834" s="24"/>
    </row>
    <row r="13835" spans="2:2">
      <c r="B13835" s="24"/>
    </row>
    <row r="13836" spans="2:2">
      <c r="B13836" s="24"/>
    </row>
    <row r="13837" spans="2:2">
      <c r="B13837" s="24"/>
    </row>
    <row r="13838" spans="2:2">
      <c r="B13838" s="24"/>
    </row>
    <row r="13839" spans="2:2">
      <c r="B13839" s="24"/>
    </row>
    <row r="13840" spans="2:2">
      <c r="B13840" s="24"/>
    </row>
    <row r="13841" spans="2:2">
      <c r="B13841" s="24"/>
    </row>
    <row r="13842" spans="2:2">
      <c r="B13842" s="24"/>
    </row>
    <row r="13843" spans="2:2">
      <c r="B13843" s="24"/>
    </row>
    <row r="13844" spans="2:2">
      <c r="B13844" s="24"/>
    </row>
    <row r="13845" spans="2:2">
      <c r="B13845" s="24"/>
    </row>
    <row r="13846" spans="2:2">
      <c r="B13846" s="24"/>
    </row>
    <row r="13847" spans="2:2">
      <c r="B13847" s="24"/>
    </row>
    <row r="13848" spans="2:2">
      <c r="B13848" s="24"/>
    </row>
    <row r="13849" spans="2:2">
      <c r="B13849" s="24"/>
    </row>
    <row r="13850" spans="2:2">
      <c r="B13850" s="24"/>
    </row>
    <row r="13851" spans="2:2">
      <c r="B13851" s="24"/>
    </row>
    <row r="13852" spans="2:2">
      <c r="B13852" s="24"/>
    </row>
    <row r="13853" spans="2:2">
      <c r="B13853" s="24"/>
    </row>
    <row r="13854" spans="2:2">
      <c r="B13854" s="24"/>
    </row>
    <row r="13855" spans="2:2">
      <c r="B13855" s="24"/>
    </row>
    <row r="13856" spans="2:2">
      <c r="B13856" s="24"/>
    </row>
    <row r="13857" spans="2:2">
      <c r="B13857" s="24"/>
    </row>
    <row r="13858" spans="2:2">
      <c r="B13858" s="24"/>
    </row>
    <row r="13859" spans="2:2">
      <c r="B13859" s="24"/>
    </row>
    <row r="13860" spans="2:2">
      <c r="B13860" s="24"/>
    </row>
    <row r="13861" spans="2:2">
      <c r="B13861" s="24"/>
    </row>
    <row r="13862" spans="2:2">
      <c r="B13862" s="24"/>
    </row>
    <row r="13863" spans="2:2">
      <c r="B13863" s="24"/>
    </row>
    <row r="13864" spans="2:2">
      <c r="B13864" s="24"/>
    </row>
    <row r="13865" spans="2:2">
      <c r="B13865" s="24"/>
    </row>
    <row r="13866" spans="2:2">
      <c r="B13866" s="24"/>
    </row>
    <row r="13867" spans="2:2">
      <c r="B13867" s="24"/>
    </row>
    <row r="13868" spans="2:2">
      <c r="B13868" s="24"/>
    </row>
    <row r="13869" spans="2:2">
      <c r="B13869" s="24"/>
    </row>
    <row r="13870" spans="2:2">
      <c r="B13870" s="24"/>
    </row>
    <row r="13871" spans="2:2">
      <c r="B13871" s="24"/>
    </row>
    <row r="13872" spans="2:2">
      <c r="B13872" s="24"/>
    </row>
    <row r="13873" spans="2:2">
      <c r="B13873" s="24"/>
    </row>
    <row r="13874" spans="2:2">
      <c r="B13874" s="24"/>
    </row>
    <row r="13875" spans="2:2">
      <c r="B13875" s="24"/>
    </row>
    <row r="13876" spans="2:2">
      <c r="B13876" s="24"/>
    </row>
    <row r="13877" spans="2:2">
      <c r="B13877" s="24"/>
    </row>
    <row r="13878" spans="2:2">
      <c r="B13878" s="24"/>
    </row>
    <row r="13879" spans="2:2">
      <c r="B13879" s="24"/>
    </row>
    <row r="13880" spans="2:2">
      <c r="B13880" s="24"/>
    </row>
    <row r="13881" spans="2:2">
      <c r="B13881" s="24"/>
    </row>
    <row r="13882" spans="2:2">
      <c r="B13882" s="24"/>
    </row>
    <row r="13883" spans="2:2">
      <c r="B13883" s="24"/>
    </row>
    <row r="13884" spans="2:2">
      <c r="B13884" s="24"/>
    </row>
    <row r="13885" spans="2:2">
      <c r="B13885" s="24"/>
    </row>
    <row r="13886" spans="2:2">
      <c r="B13886" s="24"/>
    </row>
    <row r="13887" spans="2:2">
      <c r="B13887" s="24"/>
    </row>
    <row r="13888" spans="2:2">
      <c r="B13888" s="24"/>
    </row>
    <row r="13889" spans="2:2">
      <c r="B13889" s="24"/>
    </row>
    <row r="13890" spans="2:2">
      <c r="B13890" s="24"/>
    </row>
    <row r="13891" spans="2:2">
      <c r="B13891" s="24"/>
    </row>
    <row r="13892" spans="2:2">
      <c r="B13892" s="24"/>
    </row>
    <row r="13893" spans="2:2">
      <c r="B13893" s="24"/>
    </row>
    <row r="13894" spans="2:2">
      <c r="B13894" s="24"/>
    </row>
    <row r="13895" spans="2:2">
      <c r="B13895" s="24"/>
    </row>
    <row r="13896" spans="2:2">
      <c r="B13896" s="24"/>
    </row>
    <row r="13897" spans="2:2">
      <c r="B13897" s="24"/>
    </row>
    <row r="13898" spans="2:2">
      <c r="B13898" s="24"/>
    </row>
    <row r="13899" spans="2:2">
      <c r="B13899" s="24"/>
    </row>
    <row r="13900" spans="2:2">
      <c r="B13900" s="24"/>
    </row>
    <row r="13901" spans="2:2">
      <c r="B13901" s="24"/>
    </row>
    <row r="13902" spans="2:2">
      <c r="B13902" s="24"/>
    </row>
    <row r="13903" spans="2:2">
      <c r="B13903" s="24"/>
    </row>
    <row r="13904" spans="2:2">
      <c r="B13904" s="24"/>
    </row>
    <row r="13905" spans="2:2">
      <c r="B13905" s="24"/>
    </row>
    <row r="13906" spans="2:2">
      <c r="B13906" s="24"/>
    </row>
    <row r="13907" spans="2:2">
      <c r="B13907" s="24"/>
    </row>
    <row r="13908" spans="2:2">
      <c r="B13908" s="24"/>
    </row>
    <row r="13909" spans="2:2">
      <c r="B13909" s="24"/>
    </row>
    <row r="13910" spans="2:2">
      <c r="B13910" s="24"/>
    </row>
    <row r="13911" spans="2:2">
      <c r="B13911" s="24"/>
    </row>
    <row r="13912" spans="2:2">
      <c r="B13912" s="24"/>
    </row>
    <row r="13913" spans="2:2">
      <c r="B13913" s="24"/>
    </row>
    <row r="13914" spans="2:2">
      <c r="B13914" s="24"/>
    </row>
    <row r="13915" spans="2:2">
      <c r="B13915" s="24"/>
    </row>
    <row r="13916" spans="2:2">
      <c r="B13916" s="24"/>
    </row>
    <row r="13917" spans="2:2">
      <c r="B13917" s="24"/>
    </row>
    <row r="13918" spans="2:2">
      <c r="B13918" s="24"/>
    </row>
    <row r="13919" spans="2:2">
      <c r="B13919" s="24"/>
    </row>
    <row r="13920" spans="2:2">
      <c r="B13920" s="24"/>
    </row>
    <row r="13921" spans="2:2">
      <c r="B13921" s="24"/>
    </row>
    <row r="13922" spans="2:2">
      <c r="B13922" s="24"/>
    </row>
    <row r="13923" spans="2:2">
      <c r="B13923" s="24"/>
    </row>
    <row r="13924" spans="2:2">
      <c r="B13924" s="24"/>
    </row>
    <row r="13925" spans="2:2">
      <c r="B13925" s="24"/>
    </row>
    <row r="13926" spans="2:2">
      <c r="B13926" s="24"/>
    </row>
    <row r="13927" spans="2:2">
      <c r="B13927" s="24"/>
    </row>
    <row r="13928" spans="2:2">
      <c r="B13928" s="24"/>
    </row>
    <row r="13929" spans="2:2">
      <c r="B13929" s="24"/>
    </row>
    <row r="13930" spans="2:2">
      <c r="B13930" s="24"/>
    </row>
    <row r="13931" spans="2:2">
      <c r="B13931" s="24"/>
    </row>
    <row r="13932" spans="2:2">
      <c r="B13932" s="24"/>
    </row>
    <row r="13933" spans="2:2">
      <c r="B13933" s="24"/>
    </row>
    <row r="13934" spans="2:2">
      <c r="B13934" s="24"/>
    </row>
    <row r="13935" spans="2:2">
      <c r="B13935" s="24"/>
    </row>
    <row r="13936" spans="2:2">
      <c r="B13936" s="24"/>
    </row>
    <row r="13937" spans="2:2">
      <c r="B13937" s="24"/>
    </row>
    <row r="13938" spans="2:2">
      <c r="B13938" s="24"/>
    </row>
    <row r="13939" spans="2:2">
      <c r="B13939" s="24"/>
    </row>
    <row r="13940" spans="2:2">
      <c r="B13940" s="24"/>
    </row>
    <row r="13941" spans="2:2">
      <c r="B13941" s="24"/>
    </row>
    <row r="13942" spans="2:2">
      <c r="B13942" s="24"/>
    </row>
    <row r="13943" spans="2:2">
      <c r="B13943" s="24"/>
    </row>
    <row r="13944" spans="2:2">
      <c r="B13944" s="24"/>
    </row>
    <row r="13945" spans="2:2">
      <c r="B13945" s="24"/>
    </row>
    <row r="13946" spans="2:2">
      <c r="B13946" s="24"/>
    </row>
    <row r="13947" spans="2:2">
      <c r="B13947" s="24"/>
    </row>
    <row r="13948" spans="2:2">
      <c r="B13948" s="24"/>
    </row>
    <row r="13949" spans="2:2">
      <c r="B13949" s="24"/>
    </row>
    <row r="13950" spans="2:2">
      <c r="B13950" s="24"/>
    </row>
    <row r="13951" spans="2:2">
      <c r="B13951" s="24"/>
    </row>
    <row r="13952" spans="2:2">
      <c r="B13952" s="24"/>
    </row>
    <row r="13953" spans="2:2">
      <c r="B13953" s="24"/>
    </row>
    <row r="13954" spans="2:2">
      <c r="B13954" s="24"/>
    </row>
    <row r="13955" spans="2:2">
      <c r="B13955" s="24"/>
    </row>
    <row r="13956" spans="2:2">
      <c r="B13956" s="24"/>
    </row>
    <row r="13957" spans="2:2">
      <c r="B13957" s="24"/>
    </row>
    <row r="13958" spans="2:2">
      <c r="B13958" s="24"/>
    </row>
    <row r="13959" spans="2:2">
      <c r="B13959" s="24"/>
    </row>
    <row r="13960" spans="2:2">
      <c r="B13960" s="24"/>
    </row>
    <row r="13961" spans="2:2">
      <c r="B13961" s="24"/>
    </row>
    <row r="13962" spans="2:2">
      <c r="B13962" s="24"/>
    </row>
    <row r="13963" spans="2:2">
      <c r="B13963" s="24"/>
    </row>
    <row r="13964" spans="2:2">
      <c r="B13964" s="24"/>
    </row>
    <row r="13965" spans="2:2">
      <c r="B13965" s="24"/>
    </row>
    <row r="13966" spans="2:2">
      <c r="B13966" s="24"/>
    </row>
    <row r="13967" spans="2:2">
      <c r="B13967" s="24"/>
    </row>
    <row r="13968" spans="2:2">
      <c r="B13968" s="24"/>
    </row>
    <row r="13969" spans="2:2">
      <c r="B13969" s="24"/>
    </row>
    <row r="13970" spans="2:2">
      <c r="B13970" s="24"/>
    </row>
    <row r="13971" spans="2:2">
      <c r="B13971" s="24"/>
    </row>
    <row r="13972" spans="2:2">
      <c r="B13972" s="24"/>
    </row>
    <row r="13973" spans="2:2">
      <c r="B13973" s="24"/>
    </row>
    <row r="13974" spans="2:2">
      <c r="B13974" s="24"/>
    </row>
    <row r="13975" spans="2:2">
      <c r="B13975" s="24"/>
    </row>
    <row r="13976" spans="2:2">
      <c r="B13976" s="24"/>
    </row>
    <row r="13977" spans="2:2">
      <c r="B13977" s="24"/>
    </row>
    <row r="13978" spans="2:2">
      <c r="B13978" s="24"/>
    </row>
    <row r="13979" spans="2:2">
      <c r="B13979" s="24"/>
    </row>
    <row r="13980" spans="2:2">
      <c r="B13980" s="24"/>
    </row>
    <row r="13981" spans="2:2">
      <c r="B13981" s="24"/>
    </row>
    <row r="13982" spans="2:2">
      <c r="B13982" s="24"/>
    </row>
    <row r="13983" spans="2:2">
      <c r="B13983" s="24"/>
    </row>
    <row r="13984" spans="2:2">
      <c r="B13984" s="24"/>
    </row>
    <row r="13985" spans="2:2">
      <c r="B13985" s="24"/>
    </row>
    <row r="13986" spans="2:2">
      <c r="B13986" s="24"/>
    </row>
    <row r="13987" spans="2:2">
      <c r="B13987" s="24"/>
    </row>
    <row r="13988" spans="2:2">
      <c r="B13988" s="24"/>
    </row>
    <row r="13989" spans="2:2">
      <c r="B13989" s="24"/>
    </row>
    <row r="13990" spans="2:2">
      <c r="B13990" s="24"/>
    </row>
    <row r="13991" spans="2:2">
      <c r="B13991" s="24"/>
    </row>
    <row r="13992" spans="2:2">
      <c r="B13992" s="24"/>
    </row>
    <row r="13993" spans="2:2">
      <c r="B13993" s="24"/>
    </row>
    <row r="13994" spans="2:2">
      <c r="B13994" s="24"/>
    </row>
    <row r="13995" spans="2:2">
      <c r="B13995" s="24"/>
    </row>
    <row r="13996" spans="2:2">
      <c r="B13996" s="24"/>
    </row>
    <row r="13997" spans="2:2">
      <c r="B13997" s="24"/>
    </row>
    <row r="13998" spans="2:2">
      <c r="B13998" s="24"/>
    </row>
    <row r="13999" spans="2:2">
      <c r="B13999" s="24"/>
    </row>
    <row r="14000" spans="2:2">
      <c r="B14000" s="24"/>
    </row>
    <row r="14001" spans="2:2">
      <c r="B14001" s="24"/>
    </row>
    <row r="14002" spans="2:2">
      <c r="B14002" s="24"/>
    </row>
    <row r="14003" spans="2:2">
      <c r="B14003" s="24"/>
    </row>
    <row r="14004" spans="2:2">
      <c r="B14004" s="24"/>
    </row>
    <row r="14005" spans="2:2">
      <c r="B14005" s="24"/>
    </row>
    <row r="14006" spans="2:2">
      <c r="B14006" s="24"/>
    </row>
    <row r="14007" spans="2:2">
      <c r="B14007" s="24"/>
    </row>
    <row r="14008" spans="2:2">
      <c r="B14008" s="24"/>
    </row>
    <row r="14009" spans="2:2">
      <c r="B14009" s="24"/>
    </row>
    <row r="14010" spans="2:2">
      <c r="B14010" s="24"/>
    </row>
    <row r="14011" spans="2:2">
      <c r="B14011" s="24"/>
    </row>
    <row r="14012" spans="2:2">
      <c r="B14012" s="24"/>
    </row>
    <row r="14013" spans="2:2">
      <c r="B14013" s="24"/>
    </row>
    <row r="14014" spans="2:2">
      <c r="B14014" s="24"/>
    </row>
    <row r="14015" spans="2:2">
      <c r="B14015" s="24"/>
    </row>
    <row r="14016" spans="2:2">
      <c r="B14016" s="24"/>
    </row>
    <row r="14017" spans="2:2">
      <c r="B14017" s="24"/>
    </row>
    <row r="14018" spans="2:2">
      <c r="B14018" s="24"/>
    </row>
    <row r="14019" spans="2:2">
      <c r="B14019" s="24"/>
    </row>
    <row r="14020" spans="2:2">
      <c r="B14020" s="24"/>
    </row>
    <row r="14021" spans="2:2">
      <c r="B14021" s="24"/>
    </row>
    <row r="14022" spans="2:2">
      <c r="B14022" s="24"/>
    </row>
    <row r="14023" spans="2:2">
      <c r="B14023" s="24"/>
    </row>
    <row r="14024" spans="2:2">
      <c r="B14024" s="24"/>
    </row>
    <row r="14025" spans="2:2">
      <c r="B14025" s="24"/>
    </row>
    <row r="14026" spans="2:2">
      <c r="B14026" s="24"/>
    </row>
    <row r="14027" spans="2:2">
      <c r="B14027" s="24"/>
    </row>
    <row r="14028" spans="2:2">
      <c r="B14028" s="24"/>
    </row>
    <row r="14029" spans="2:2">
      <c r="B14029" s="24"/>
    </row>
    <row r="14030" spans="2:2">
      <c r="B14030" s="24"/>
    </row>
    <row r="14031" spans="2:2">
      <c r="B14031" s="24"/>
    </row>
    <row r="14032" spans="2:2">
      <c r="B14032" s="24"/>
    </row>
    <row r="14033" spans="2:2">
      <c r="B14033" s="24"/>
    </row>
    <row r="14034" spans="2:2">
      <c r="B14034" s="24"/>
    </row>
    <row r="14035" spans="2:2">
      <c r="B14035" s="24"/>
    </row>
    <row r="14036" spans="2:2">
      <c r="B14036" s="24"/>
    </row>
    <row r="14037" spans="2:2">
      <c r="B14037" s="24"/>
    </row>
    <row r="14038" spans="2:2">
      <c r="B14038" s="24"/>
    </row>
    <row r="14039" spans="2:2">
      <c r="B14039" s="24"/>
    </row>
    <row r="14040" spans="2:2">
      <c r="B14040" s="24"/>
    </row>
    <row r="14041" spans="2:2">
      <c r="B14041" s="24"/>
    </row>
    <row r="14042" spans="2:2">
      <c r="B14042" s="24"/>
    </row>
    <row r="14043" spans="2:2">
      <c r="B14043" s="24"/>
    </row>
    <row r="14044" spans="2:2">
      <c r="B14044" s="24"/>
    </row>
    <row r="14045" spans="2:2">
      <c r="B14045" s="24"/>
    </row>
    <row r="14046" spans="2:2">
      <c r="B14046" s="24"/>
    </row>
    <row r="14047" spans="2:2">
      <c r="B14047" s="24"/>
    </row>
    <row r="14048" spans="2:2">
      <c r="B14048" s="24"/>
    </row>
    <row r="14049" spans="2:2">
      <c r="B14049" s="24"/>
    </row>
    <row r="14050" spans="2:2">
      <c r="B14050" s="24"/>
    </row>
    <row r="14051" spans="2:2">
      <c r="B14051" s="24"/>
    </row>
    <row r="14052" spans="2:2">
      <c r="B14052" s="24"/>
    </row>
    <row r="14053" spans="2:2">
      <c r="B14053" s="24"/>
    </row>
    <row r="14054" spans="2:2">
      <c r="B14054" s="24"/>
    </row>
    <row r="14055" spans="2:2">
      <c r="B14055" s="24"/>
    </row>
    <row r="14056" spans="2:2">
      <c r="B14056" s="24"/>
    </row>
    <row r="14057" spans="2:2">
      <c r="B14057" s="24"/>
    </row>
    <row r="14058" spans="2:2">
      <c r="B14058" s="24"/>
    </row>
    <row r="14059" spans="2:2">
      <c r="B14059" s="24"/>
    </row>
    <row r="14060" spans="2:2">
      <c r="B14060" s="24"/>
    </row>
    <row r="14061" spans="2:2">
      <c r="B14061" s="24"/>
    </row>
    <row r="14062" spans="2:2">
      <c r="B14062" s="24"/>
    </row>
    <row r="14063" spans="2:2">
      <c r="B14063" s="24"/>
    </row>
    <row r="14064" spans="2:2">
      <c r="B14064" s="24"/>
    </row>
    <row r="14065" spans="2:2">
      <c r="B14065" s="24"/>
    </row>
    <row r="14066" spans="2:2">
      <c r="B14066" s="24"/>
    </row>
    <row r="14067" spans="2:2">
      <c r="B14067" s="24"/>
    </row>
    <row r="14068" spans="2:2">
      <c r="B14068" s="24"/>
    </row>
    <row r="14069" spans="2:2">
      <c r="B14069" s="24"/>
    </row>
    <row r="14070" spans="2:2">
      <c r="B14070" s="24"/>
    </row>
    <row r="14071" spans="2:2">
      <c r="B14071" s="24"/>
    </row>
    <row r="14072" spans="2:2">
      <c r="B14072" s="24"/>
    </row>
    <row r="14073" spans="2:2">
      <c r="B14073" s="24"/>
    </row>
    <row r="14074" spans="2:2">
      <c r="B14074" s="24"/>
    </row>
    <row r="14075" spans="2:2">
      <c r="B14075" s="24"/>
    </row>
    <row r="14076" spans="2:2">
      <c r="B14076" s="24"/>
    </row>
    <row r="14077" spans="2:2">
      <c r="B14077" s="24"/>
    </row>
    <row r="14078" spans="2:2">
      <c r="B14078" s="24"/>
    </row>
    <row r="14079" spans="2:2">
      <c r="B14079" s="24"/>
    </row>
    <row r="14080" spans="2:2">
      <c r="B14080" s="24"/>
    </row>
    <row r="14081" spans="2:2">
      <c r="B14081" s="24"/>
    </row>
    <row r="14082" spans="2:2">
      <c r="B14082" s="24"/>
    </row>
    <row r="14083" spans="2:2">
      <c r="B14083" s="24"/>
    </row>
    <row r="14084" spans="2:2">
      <c r="B14084" s="24"/>
    </row>
    <row r="14085" spans="2:2">
      <c r="B14085" s="24"/>
    </row>
    <row r="14086" spans="2:2">
      <c r="B14086" s="24"/>
    </row>
    <row r="14087" spans="2:2">
      <c r="B14087" s="24"/>
    </row>
    <row r="14088" spans="2:2">
      <c r="B14088" s="24"/>
    </row>
    <row r="14089" spans="2:2">
      <c r="B14089" s="24"/>
    </row>
    <row r="14090" spans="2:2">
      <c r="B14090" s="24"/>
    </row>
    <row r="14091" spans="2:2">
      <c r="B14091" s="24"/>
    </row>
    <row r="14092" spans="2:2">
      <c r="B14092" s="24"/>
    </row>
    <row r="14093" spans="2:2">
      <c r="B14093" s="24"/>
    </row>
    <row r="14094" spans="2:2">
      <c r="B14094" s="24"/>
    </row>
    <row r="14095" spans="2:2">
      <c r="B14095" s="24"/>
    </row>
    <row r="14096" spans="2:2">
      <c r="B14096" s="24"/>
    </row>
    <row r="14097" spans="2:2">
      <c r="B14097" s="24"/>
    </row>
    <row r="14098" spans="2:2">
      <c r="B14098" s="24"/>
    </row>
    <row r="14099" spans="2:2">
      <c r="B14099" s="24"/>
    </row>
    <row r="14100" spans="2:2">
      <c r="B14100" s="24"/>
    </row>
    <row r="14101" spans="2:2">
      <c r="B14101" s="24"/>
    </row>
    <row r="14102" spans="2:2">
      <c r="B14102" s="24"/>
    </row>
    <row r="14103" spans="2:2">
      <c r="B14103" s="24"/>
    </row>
    <row r="14104" spans="2:2">
      <c r="B14104" s="24"/>
    </row>
    <row r="14105" spans="2:2">
      <c r="B14105" s="24"/>
    </row>
    <row r="14106" spans="2:2">
      <c r="B14106" s="24"/>
    </row>
    <row r="14107" spans="2:2">
      <c r="B14107" s="24"/>
    </row>
    <row r="14108" spans="2:2">
      <c r="B14108" s="24"/>
    </row>
    <row r="14109" spans="2:2">
      <c r="B14109" s="24"/>
    </row>
    <row r="14110" spans="2:2">
      <c r="B14110" s="24"/>
    </row>
    <row r="14111" spans="2:2">
      <c r="B14111" s="24"/>
    </row>
    <row r="14112" spans="2:2">
      <c r="B14112" s="24"/>
    </row>
    <row r="14113" spans="2:2">
      <c r="B14113" s="24"/>
    </row>
    <row r="14114" spans="2:2">
      <c r="B14114" s="24"/>
    </row>
    <row r="14115" spans="2:2">
      <c r="B14115" s="24"/>
    </row>
    <row r="14116" spans="2:2">
      <c r="B14116" s="24"/>
    </row>
    <row r="14117" spans="2:2">
      <c r="B14117" s="24"/>
    </row>
    <row r="14118" spans="2:2">
      <c r="B14118" s="24"/>
    </row>
    <row r="14119" spans="2:2">
      <c r="B14119" s="24"/>
    </row>
    <row r="14120" spans="2:2">
      <c r="B14120" s="24"/>
    </row>
    <row r="14121" spans="2:2">
      <c r="B14121" s="24"/>
    </row>
    <row r="14122" spans="2:2">
      <c r="B14122" s="24"/>
    </row>
    <row r="14123" spans="2:2">
      <c r="B14123" s="24"/>
    </row>
    <row r="14124" spans="2:2">
      <c r="B14124" s="24"/>
    </row>
    <row r="14125" spans="2:2">
      <c r="B14125" s="24"/>
    </row>
    <row r="14126" spans="2:2">
      <c r="B14126" s="24"/>
    </row>
    <row r="14127" spans="2:2">
      <c r="B14127" s="24"/>
    </row>
    <row r="14128" spans="2:2">
      <c r="B14128" s="24"/>
    </row>
    <row r="14129" spans="2:2">
      <c r="B14129" s="24"/>
    </row>
    <row r="14130" spans="2:2">
      <c r="B14130" s="24"/>
    </row>
    <row r="14131" spans="2:2">
      <c r="B14131" s="24"/>
    </row>
    <row r="14132" spans="2:2">
      <c r="B14132" s="24"/>
    </row>
    <row r="14133" spans="2:2">
      <c r="B14133" s="24"/>
    </row>
    <row r="14134" spans="2:2">
      <c r="B14134" s="24"/>
    </row>
    <row r="14135" spans="2:2">
      <c r="B14135" s="24"/>
    </row>
    <row r="14136" spans="2:2">
      <c r="B14136" s="24"/>
    </row>
    <row r="14137" spans="2:2">
      <c r="B14137" s="24"/>
    </row>
    <row r="14138" spans="2:2">
      <c r="B14138" s="24"/>
    </row>
    <row r="14139" spans="2:2">
      <c r="B14139" s="24"/>
    </row>
    <row r="14140" spans="2:2">
      <c r="B14140" s="24"/>
    </row>
    <row r="14141" spans="2:2">
      <c r="B14141" s="24"/>
    </row>
    <row r="14142" spans="2:2">
      <c r="B14142" s="24"/>
    </row>
    <row r="14143" spans="2:2">
      <c r="B14143" s="24"/>
    </row>
    <row r="14144" spans="2:2">
      <c r="B14144" s="24"/>
    </row>
    <row r="14145" spans="2:2">
      <c r="B14145" s="24"/>
    </row>
    <row r="14146" spans="2:2">
      <c r="B14146" s="24"/>
    </row>
    <row r="14147" spans="2:2">
      <c r="B14147" s="24"/>
    </row>
    <row r="14148" spans="2:2">
      <c r="B14148" s="24"/>
    </row>
    <row r="14149" spans="2:2">
      <c r="B14149" s="24"/>
    </row>
    <row r="14150" spans="2:2">
      <c r="B14150" s="24"/>
    </row>
    <row r="14151" spans="2:2">
      <c r="B14151" s="24"/>
    </row>
    <row r="14152" spans="2:2">
      <c r="B14152" s="24"/>
    </row>
    <row r="14153" spans="2:2">
      <c r="B14153" s="24"/>
    </row>
    <row r="14154" spans="2:2">
      <c r="B14154" s="24"/>
    </row>
    <row r="14155" spans="2:2">
      <c r="B14155" s="24"/>
    </row>
    <row r="14156" spans="2:2">
      <c r="B14156" s="24"/>
    </row>
    <row r="14157" spans="2:2">
      <c r="B14157" s="24"/>
    </row>
    <row r="14158" spans="2:2">
      <c r="B14158" s="24"/>
    </row>
    <row r="14159" spans="2:2">
      <c r="B14159" s="24"/>
    </row>
    <row r="14160" spans="2:2">
      <c r="B14160" s="24"/>
    </row>
    <row r="14161" spans="2:2">
      <c r="B14161" s="24"/>
    </row>
    <row r="14162" spans="2:2">
      <c r="B14162" s="24"/>
    </row>
    <row r="14163" spans="2:2">
      <c r="B14163" s="24"/>
    </row>
    <row r="14164" spans="2:2">
      <c r="B14164" s="24"/>
    </row>
    <row r="14165" spans="2:2">
      <c r="B14165" s="24"/>
    </row>
    <row r="14166" spans="2:2">
      <c r="B14166" s="24"/>
    </row>
    <row r="14167" spans="2:2">
      <c r="B14167" s="24"/>
    </row>
    <row r="14168" spans="2:2">
      <c r="B14168" s="24"/>
    </row>
    <row r="14169" spans="2:2">
      <c r="B14169" s="24"/>
    </row>
    <row r="14170" spans="2:2">
      <c r="B14170" s="24"/>
    </row>
    <row r="14171" spans="2:2">
      <c r="B14171" s="24"/>
    </row>
    <row r="14172" spans="2:2">
      <c r="B14172" s="24"/>
    </row>
    <row r="14173" spans="2:2">
      <c r="B14173" s="24"/>
    </row>
    <row r="14174" spans="2:2">
      <c r="B14174" s="24"/>
    </row>
    <row r="14175" spans="2:2">
      <c r="B14175" s="24"/>
    </row>
    <row r="14176" spans="2:2">
      <c r="B14176" s="24"/>
    </row>
    <row r="14177" spans="2:2">
      <c r="B14177" s="24"/>
    </row>
    <row r="14178" spans="2:2">
      <c r="B14178" s="24"/>
    </row>
    <row r="14179" spans="2:2">
      <c r="B14179" s="24"/>
    </row>
    <row r="14180" spans="2:2">
      <c r="B14180" s="24"/>
    </row>
    <row r="14181" spans="2:2">
      <c r="B14181" s="24"/>
    </row>
    <row r="14182" spans="2:2">
      <c r="B14182" s="24"/>
    </row>
    <row r="14183" spans="2:2">
      <c r="B14183" s="24"/>
    </row>
    <row r="14184" spans="2:2">
      <c r="B14184" s="24"/>
    </row>
    <row r="14185" spans="2:2">
      <c r="B14185" s="24"/>
    </row>
    <row r="14186" spans="2:2">
      <c r="B14186" s="24"/>
    </row>
    <row r="14187" spans="2:2">
      <c r="B14187" s="24"/>
    </row>
    <row r="14188" spans="2:2">
      <c r="B14188" s="24"/>
    </row>
    <row r="14189" spans="2:2">
      <c r="B14189" s="24"/>
    </row>
    <row r="14190" spans="2:2">
      <c r="B14190" s="24"/>
    </row>
    <row r="14191" spans="2:2">
      <c r="B14191" s="24"/>
    </row>
    <row r="14192" spans="2:2">
      <c r="B14192" s="24"/>
    </row>
    <row r="14193" spans="2:2">
      <c r="B14193" s="24"/>
    </row>
    <row r="14194" spans="2:2">
      <c r="B14194" s="24"/>
    </row>
    <row r="14195" spans="2:2">
      <c r="B14195" s="24"/>
    </row>
    <row r="14196" spans="2:2">
      <c r="B14196" s="24"/>
    </row>
    <row r="14197" spans="2:2">
      <c r="B14197" s="24"/>
    </row>
    <row r="14198" spans="2:2">
      <c r="B14198" s="24"/>
    </row>
    <row r="14199" spans="2:2">
      <c r="B14199" s="24"/>
    </row>
    <row r="14200" spans="2:2">
      <c r="B14200" s="24"/>
    </row>
    <row r="14201" spans="2:2">
      <c r="B14201" s="24"/>
    </row>
    <row r="14202" spans="2:2">
      <c r="B14202" s="24"/>
    </row>
    <row r="14203" spans="2:2">
      <c r="B14203" s="24"/>
    </row>
    <row r="14204" spans="2:2">
      <c r="B14204" s="24"/>
    </row>
    <row r="14205" spans="2:2">
      <c r="B14205" s="24"/>
    </row>
    <row r="14206" spans="2:2">
      <c r="B14206" s="24"/>
    </row>
    <row r="14207" spans="2:2">
      <c r="B14207" s="24"/>
    </row>
    <row r="14208" spans="2:2">
      <c r="B14208" s="24"/>
    </row>
    <row r="14209" spans="2:2">
      <c r="B14209" s="24"/>
    </row>
    <row r="14210" spans="2:2">
      <c r="B14210" s="24"/>
    </row>
    <row r="14211" spans="2:2">
      <c r="B14211" s="24"/>
    </row>
    <row r="14212" spans="2:2">
      <c r="B14212" s="24"/>
    </row>
    <row r="14213" spans="2:2">
      <c r="B14213" s="24"/>
    </row>
    <row r="14214" spans="2:2">
      <c r="B14214" s="24"/>
    </row>
    <row r="14215" spans="2:2">
      <c r="B14215" s="24"/>
    </row>
    <row r="14216" spans="2:2">
      <c r="B14216" s="24"/>
    </row>
    <row r="14217" spans="2:2">
      <c r="B14217" s="24"/>
    </row>
    <row r="14218" spans="2:2">
      <c r="B14218" s="24"/>
    </row>
    <row r="14219" spans="2:2">
      <c r="B14219" s="24"/>
    </row>
    <row r="14220" spans="2:2">
      <c r="B14220" s="24"/>
    </row>
    <row r="14221" spans="2:2">
      <c r="B14221" s="24"/>
    </row>
    <row r="14222" spans="2:2">
      <c r="B14222" s="24"/>
    </row>
    <row r="14223" spans="2:2">
      <c r="B14223" s="24"/>
    </row>
    <row r="14224" spans="2:2">
      <c r="B14224" s="24"/>
    </row>
    <row r="14225" spans="2:2">
      <c r="B14225" s="24"/>
    </row>
    <row r="14226" spans="2:2">
      <c r="B14226" s="24"/>
    </row>
    <row r="14227" spans="2:2">
      <c r="B14227" s="24"/>
    </row>
    <row r="14228" spans="2:2">
      <c r="B14228" s="24"/>
    </row>
    <row r="14229" spans="2:2">
      <c r="B14229" s="24"/>
    </row>
    <row r="14230" spans="2:2">
      <c r="B14230" s="24"/>
    </row>
    <row r="14231" spans="2:2">
      <c r="B14231" s="24"/>
    </row>
    <row r="14232" spans="2:2">
      <c r="B14232" s="24"/>
    </row>
    <row r="14233" spans="2:2">
      <c r="B14233" s="24"/>
    </row>
    <row r="14234" spans="2:2">
      <c r="B14234" s="24"/>
    </row>
    <row r="14235" spans="2:2">
      <c r="B14235" s="24"/>
    </row>
    <row r="14236" spans="2:2">
      <c r="B14236" s="24"/>
    </row>
    <row r="14237" spans="2:2">
      <c r="B14237" s="24"/>
    </row>
    <row r="14238" spans="2:2">
      <c r="B14238" s="24"/>
    </row>
    <row r="14239" spans="2:2">
      <c r="B14239" s="24"/>
    </row>
    <row r="14240" spans="2:2">
      <c r="B14240" s="24"/>
    </row>
    <row r="14241" spans="2:2">
      <c r="B14241" s="24"/>
    </row>
    <row r="14242" spans="2:2">
      <c r="B14242" s="24"/>
    </row>
    <row r="14243" spans="2:2">
      <c r="B14243" s="24"/>
    </row>
    <row r="14244" spans="2:2">
      <c r="B14244" s="24"/>
    </row>
    <row r="14245" spans="2:2">
      <c r="B14245" s="24"/>
    </row>
    <row r="14246" spans="2:2">
      <c r="B14246" s="24"/>
    </row>
    <row r="14247" spans="2:2">
      <c r="B14247" s="24"/>
    </row>
    <row r="14248" spans="2:2">
      <c r="B14248" s="24"/>
    </row>
    <row r="14249" spans="2:2">
      <c r="B14249" s="24"/>
    </row>
    <row r="14250" spans="2:2">
      <c r="B14250" s="24"/>
    </row>
    <row r="14251" spans="2:2">
      <c r="B14251" s="24"/>
    </row>
    <row r="14252" spans="2:2">
      <c r="B14252" s="24"/>
    </row>
    <row r="14253" spans="2:2">
      <c r="B14253" s="24"/>
    </row>
    <row r="14254" spans="2:2">
      <c r="B14254" s="24"/>
    </row>
    <row r="14255" spans="2:2">
      <c r="B14255" s="24"/>
    </row>
    <row r="14256" spans="2:2">
      <c r="B14256" s="24"/>
    </row>
    <row r="14257" spans="2:2">
      <c r="B14257" s="24"/>
    </row>
    <row r="14258" spans="2:2">
      <c r="B14258" s="24"/>
    </row>
    <row r="14259" spans="2:2">
      <c r="B14259" s="24"/>
    </row>
    <row r="14260" spans="2:2">
      <c r="B14260" s="24"/>
    </row>
    <row r="14261" spans="2:2">
      <c r="B14261" s="24"/>
    </row>
    <row r="14262" spans="2:2">
      <c r="B14262" s="24"/>
    </row>
    <row r="14263" spans="2:2">
      <c r="B14263" s="24"/>
    </row>
    <row r="14264" spans="2:2">
      <c r="B14264" s="24"/>
    </row>
    <row r="14265" spans="2:2">
      <c r="B14265" s="24"/>
    </row>
    <row r="14266" spans="2:2">
      <c r="B14266" s="24"/>
    </row>
    <row r="14267" spans="2:2">
      <c r="B14267" s="24"/>
    </row>
    <row r="14268" spans="2:2">
      <c r="B14268" s="24"/>
    </row>
    <row r="14269" spans="2:2">
      <c r="B14269" s="24"/>
    </row>
    <row r="14270" spans="2:2">
      <c r="B14270" s="24"/>
    </row>
    <row r="14271" spans="2:2">
      <c r="B14271" s="24"/>
    </row>
    <row r="14272" spans="2:2">
      <c r="B14272" s="24"/>
    </row>
    <row r="14273" spans="2:2">
      <c r="B14273" s="24"/>
    </row>
    <row r="14274" spans="2:2">
      <c r="B14274" s="24"/>
    </row>
    <row r="14275" spans="2:2">
      <c r="B14275" s="24"/>
    </row>
    <row r="14276" spans="2:2">
      <c r="B14276" s="24"/>
    </row>
    <row r="14277" spans="2:2">
      <c r="B14277" s="24"/>
    </row>
    <row r="14278" spans="2:2">
      <c r="B14278" s="24"/>
    </row>
    <row r="14279" spans="2:2">
      <c r="B14279" s="24"/>
    </row>
    <row r="14280" spans="2:2">
      <c r="B14280" s="24"/>
    </row>
    <row r="14281" spans="2:2">
      <c r="B14281" s="24"/>
    </row>
    <row r="14282" spans="2:2">
      <c r="B14282" s="24"/>
    </row>
    <row r="14283" spans="2:2">
      <c r="B14283" s="24"/>
    </row>
    <row r="14284" spans="2:2">
      <c r="B14284" s="24"/>
    </row>
    <row r="14285" spans="2:2">
      <c r="B14285" s="24"/>
    </row>
    <row r="14286" spans="2:2">
      <c r="B14286" s="24"/>
    </row>
    <row r="14287" spans="2:2">
      <c r="B14287" s="24"/>
    </row>
    <row r="14288" spans="2:2">
      <c r="B14288" s="24"/>
    </row>
    <row r="14289" spans="2:2">
      <c r="B14289" s="24"/>
    </row>
    <row r="14290" spans="2:2">
      <c r="B14290" s="24"/>
    </row>
    <row r="14291" spans="2:2">
      <c r="B14291" s="24"/>
    </row>
    <row r="14292" spans="2:2">
      <c r="B14292" s="24"/>
    </row>
    <row r="14293" spans="2:2">
      <c r="B14293" s="24"/>
    </row>
    <row r="14294" spans="2:2">
      <c r="B14294" s="24"/>
    </row>
    <row r="14295" spans="2:2">
      <c r="B14295" s="24"/>
    </row>
    <row r="14296" spans="2:2">
      <c r="B14296" s="24"/>
    </row>
    <row r="14297" spans="2:2">
      <c r="B14297" s="24"/>
    </row>
    <row r="14298" spans="2:2">
      <c r="B14298" s="24"/>
    </row>
    <row r="14299" spans="2:2">
      <c r="B14299" s="24"/>
    </row>
    <row r="14300" spans="2:2">
      <c r="B14300" s="24"/>
    </row>
    <row r="14301" spans="2:2">
      <c r="B14301" s="24"/>
    </row>
    <row r="14302" spans="2:2">
      <c r="B14302" s="24"/>
    </row>
    <row r="14303" spans="2:2">
      <c r="B14303" s="24"/>
    </row>
    <row r="14304" spans="2:2">
      <c r="B14304" s="24"/>
    </row>
    <row r="14305" spans="2:2">
      <c r="B14305" s="24"/>
    </row>
    <row r="14306" spans="2:2">
      <c r="B14306" s="24"/>
    </row>
    <row r="14307" spans="2:2">
      <c r="B14307" s="24"/>
    </row>
    <row r="14308" spans="2:2">
      <c r="B14308" s="24"/>
    </row>
    <row r="14309" spans="2:2">
      <c r="B14309" s="24"/>
    </row>
    <row r="14310" spans="2:2">
      <c r="B14310" s="24"/>
    </row>
    <row r="14311" spans="2:2">
      <c r="B14311" s="24"/>
    </row>
    <row r="14312" spans="2:2">
      <c r="B14312" s="24"/>
    </row>
    <row r="14313" spans="2:2">
      <c r="B14313" s="24"/>
    </row>
    <row r="14314" spans="2:2">
      <c r="B14314" s="24"/>
    </row>
    <row r="14315" spans="2:2">
      <c r="B14315" s="24"/>
    </row>
    <row r="14316" spans="2:2">
      <c r="B14316" s="24"/>
    </row>
    <row r="14317" spans="2:2">
      <c r="B14317" s="24"/>
    </row>
    <row r="14318" spans="2:2">
      <c r="B14318" s="24"/>
    </row>
    <row r="14319" spans="2:2">
      <c r="B14319" s="24"/>
    </row>
    <row r="14320" spans="2:2">
      <c r="B14320" s="24"/>
    </row>
    <row r="14321" spans="2:2">
      <c r="B14321" s="24"/>
    </row>
    <row r="14322" spans="2:2">
      <c r="B14322" s="24"/>
    </row>
    <row r="14323" spans="2:2">
      <c r="B14323" s="24"/>
    </row>
    <row r="14324" spans="2:2">
      <c r="B14324" s="24"/>
    </row>
    <row r="14325" spans="2:2">
      <c r="B14325" s="24"/>
    </row>
    <row r="14326" spans="2:2">
      <c r="B14326" s="24"/>
    </row>
    <row r="14327" spans="2:2">
      <c r="B14327" s="24"/>
    </row>
    <row r="14328" spans="2:2">
      <c r="B14328" s="24"/>
    </row>
    <row r="14329" spans="2:2">
      <c r="B14329" s="24"/>
    </row>
    <row r="14330" spans="2:2">
      <c r="B14330" s="24"/>
    </row>
    <row r="14331" spans="2:2">
      <c r="B14331" s="24"/>
    </row>
    <row r="14332" spans="2:2">
      <c r="B14332" s="24"/>
    </row>
    <row r="14333" spans="2:2">
      <c r="B14333" s="24"/>
    </row>
    <row r="14334" spans="2:2">
      <c r="B14334" s="24"/>
    </row>
    <row r="14335" spans="2:2">
      <c r="B14335" s="24"/>
    </row>
    <row r="14336" spans="2:2">
      <c r="B14336" s="24"/>
    </row>
    <row r="14337" spans="2:2">
      <c r="B14337" s="24"/>
    </row>
    <row r="14338" spans="2:2">
      <c r="B14338" s="24"/>
    </row>
    <row r="14339" spans="2:2">
      <c r="B14339" s="24"/>
    </row>
    <row r="14340" spans="2:2">
      <c r="B14340" s="24"/>
    </row>
    <row r="14341" spans="2:2">
      <c r="B14341" s="24"/>
    </row>
    <row r="14342" spans="2:2">
      <c r="B14342" s="24"/>
    </row>
    <row r="14343" spans="2:2">
      <c r="B14343" s="24"/>
    </row>
    <row r="14344" spans="2:2">
      <c r="B14344" s="24"/>
    </row>
    <row r="14345" spans="2:2">
      <c r="B14345" s="24"/>
    </row>
    <row r="14346" spans="2:2">
      <c r="B14346" s="24"/>
    </row>
    <row r="14347" spans="2:2">
      <c r="B14347" s="24"/>
    </row>
    <row r="14348" spans="2:2">
      <c r="B14348" s="24"/>
    </row>
    <row r="14349" spans="2:2">
      <c r="B14349" s="24"/>
    </row>
    <row r="14350" spans="2:2">
      <c r="B14350" s="24"/>
    </row>
    <row r="14351" spans="2:2">
      <c r="B14351" s="24"/>
    </row>
    <row r="14352" spans="2:2">
      <c r="B14352" s="24"/>
    </row>
    <row r="14353" spans="2:2">
      <c r="B14353" s="24"/>
    </row>
    <row r="14354" spans="2:2">
      <c r="B14354" s="24"/>
    </row>
    <row r="14355" spans="2:2">
      <c r="B14355" s="24"/>
    </row>
    <row r="14356" spans="2:2">
      <c r="B14356" s="24"/>
    </row>
    <row r="14357" spans="2:2">
      <c r="B14357" s="24"/>
    </row>
    <row r="14358" spans="2:2">
      <c r="B14358" s="24"/>
    </row>
    <row r="14359" spans="2:2">
      <c r="B14359" s="24"/>
    </row>
    <row r="14360" spans="2:2">
      <c r="B14360" s="24"/>
    </row>
    <row r="14361" spans="2:2">
      <c r="B14361" s="24"/>
    </row>
    <row r="14362" spans="2:2">
      <c r="B14362" s="24"/>
    </row>
    <row r="14363" spans="2:2">
      <c r="B14363" s="24"/>
    </row>
    <row r="14364" spans="2:2">
      <c r="B14364" s="24"/>
    </row>
    <row r="14365" spans="2:2">
      <c r="B14365" s="24"/>
    </row>
    <row r="14366" spans="2:2">
      <c r="B14366" s="24"/>
    </row>
    <row r="14367" spans="2:2">
      <c r="B14367" s="24"/>
    </row>
    <row r="14368" spans="2:2">
      <c r="B14368" s="24"/>
    </row>
    <row r="14369" spans="2:2">
      <c r="B14369" s="24"/>
    </row>
    <row r="14370" spans="2:2">
      <c r="B14370" s="24"/>
    </row>
    <row r="14371" spans="2:2">
      <c r="B14371" s="24"/>
    </row>
    <row r="14372" spans="2:2">
      <c r="B14372" s="24"/>
    </row>
    <row r="14373" spans="2:2">
      <c r="B14373" s="24"/>
    </row>
    <row r="14374" spans="2:2">
      <c r="B14374" s="24"/>
    </row>
    <row r="14375" spans="2:2">
      <c r="B14375" s="24"/>
    </row>
    <row r="14376" spans="2:2">
      <c r="B14376" s="24"/>
    </row>
    <row r="14377" spans="2:2">
      <c r="B14377" s="24"/>
    </row>
    <row r="14378" spans="2:2">
      <c r="B14378" s="24"/>
    </row>
    <row r="14379" spans="2:2">
      <c r="B14379" s="24"/>
    </row>
    <row r="14380" spans="2:2">
      <c r="B14380" s="24"/>
    </row>
    <row r="14381" spans="2:2">
      <c r="B14381" s="24"/>
    </row>
    <row r="14382" spans="2:2">
      <c r="B14382" s="24"/>
    </row>
    <row r="14383" spans="2:2">
      <c r="B14383" s="24"/>
    </row>
    <row r="14384" spans="2:2">
      <c r="B14384" s="24"/>
    </row>
    <row r="14385" spans="2:2">
      <c r="B14385" s="24"/>
    </row>
    <row r="14386" spans="2:2">
      <c r="B14386" s="24"/>
    </row>
    <row r="14387" spans="2:2">
      <c r="B14387" s="24"/>
    </row>
    <row r="14388" spans="2:2">
      <c r="B14388" s="24"/>
    </row>
    <row r="14389" spans="2:2">
      <c r="B14389" s="24"/>
    </row>
    <row r="14390" spans="2:2">
      <c r="B14390" s="24"/>
    </row>
    <row r="14391" spans="2:2">
      <c r="B14391" s="24"/>
    </row>
    <row r="14392" spans="2:2">
      <c r="B14392" s="24"/>
    </row>
    <row r="14393" spans="2:2">
      <c r="B14393" s="24"/>
    </row>
    <row r="14394" spans="2:2">
      <c r="B14394" s="24"/>
    </row>
    <row r="14395" spans="2:2">
      <c r="B14395" s="24"/>
    </row>
    <row r="14396" spans="2:2">
      <c r="B14396" s="24"/>
    </row>
    <row r="14397" spans="2:2">
      <c r="B14397" s="24"/>
    </row>
    <row r="14398" spans="2:2">
      <c r="B14398" s="24"/>
    </row>
    <row r="14399" spans="2:2">
      <c r="B14399" s="24"/>
    </row>
    <row r="14400" spans="2:2">
      <c r="B14400" s="24"/>
    </row>
    <row r="14401" spans="2:2">
      <c r="B14401" s="24"/>
    </row>
    <row r="14402" spans="2:2">
      <c r="B14402" s="24"/>
    </row>
    <row r="14403" spans="2:2">
      <c r="B14403" s="24"/>
    </row>
    <row r="14404" spans="2:2">
      <c r="B14404" s="24"/>
    </row>
    <row r="14405" spans="2:2">
      <c r="B14405" s="24"/>
    </row>
    <row r="14406" spans="2:2">
      <c r="B14406" s="24"/>
    </row>
    <row r="14407" spans="2:2">
      <c r="B14407" s="24"/>
    </row>
    <row r="14408" spans="2:2">
      <c r="B14408" s="24"/>
    </row>
    <row r="14409" spans="2:2">
      <c r="B14409" s="24"/>
    </row>
    <row r="14410" spans="2:2">
      <c r="B14410" s="24"/>
    </row>
    <row r="14411" spans="2:2">
      <c r="B14411" s="24"/>
    </row>
    <row r="14412" spans="2:2">
      <c r="B14412" s="24"/>
    </row>
    <row r="14413" spans="2:2">
      <c r="B14413" s="24"/>
    </row>
    <row r="14414" spans="2:2">
      <c r="B14414" s="24"/>
    </row>
    <row r="14415" spans="2:2">
      <c r="B14415" s="24"/>
    </row>
    <row r="14416" spans="2:2">
      <c r="B14416" s="24"/>
    </row>
    <row r="14417" spans="2:2">
      <c r="B14417" s="24"/>
    </row>
    <row r="14418" spans="2:2">
      <c r="B14418" s="24"/>
    </row>
    <row r="14419" spans="2:2">
      <c r="B14419" s="24"/>
    </row>
    <row r="14420" spans="2:2">
      <c r="B14420" s="24"/>
    </row>
    <row r="14421" spans="2:2">
      <c r="B14421" s="24"/>
    </row>
    <row r="14422" spans="2:2">
      <c r="B14422" s="24"/>
    </row>
    <row r="14423" spans="2:2">
      <c r="B14423" s="24"/>
    </row>
    <row r="14424" spans="2:2">
      <c r="B14424" s="24"/>
    </row>
    <row r="14425" spans="2:2">
      <c r="B14425" s="24"/>
    </row>
    <row r="14426" spans="2:2">
      <c r="B14426" s="24"/>
    </row>
    <row r="14427" spans="2:2">
      <c r="B14427" s="24"/>
    </row>
    <row r="14428" spans="2:2">
      <c r="B14428" s="24"/>
    </row>
    <row r="14429" spans="2:2">
      <c r="B14429" s="24"/>
    </row>
    <row r="14430" spans="2:2">
      <c r="B14430" s="24"/>
    </row>
    <row r="14431" spans="2:2">
      <c r="B14431" s="24"/>
    </row>
    <row r="14432" spans="2:2">
      <c r="B14432" s="24"/>
    </row>
    <row r="14433" spans="2:2">
      <c r="B14433" s="24"/>
    </row>
    <row r="14434" spans="2:2">
      <c r="B14434" s="24"/>
    </row>
    <row r="14435" spans="2:2">
      <c r="B14435" s="24"/>
    </row>
    <row r="14436" spans="2:2">
      <c r="B14436" s="24"/>
    </row>
    <row r="14437" spans="2:2">
      <c r="B14437" s="24"/>
    </row>
    <row r="14438" spans="2:2">
      <c r="B14438" s="24"/>
    </row>
    <row r="14439" spans="2:2">
      <c r="B14439" s="24"/>
    </row>
    <row r="14440" spans="2:2">
      <c r="B14440" s="24"/>
    </row>
    <row r="14441" spans="2:2">
      <c r="B14441" s="24"/>
    </row>
    <row r="14442" spans="2:2">
      <c r="B14442" s="24"/>
    </row>
    <row r="14443" spans="2:2">
      <c r="B14443" s="24"/>
    </row>
    <row r="14444" spans="2:2">
      <c r="B14444" s="24"/>
    </row>
    <row r="14445" spans="2:2">
      <c r="B14445" s="24"/>
    </row>
    <row r="14446" spans="2:2">
      <c r="B14446" s="24"/>
    </row>
    <row r="14447" spans="2:2">
      <c r="B14447" s="24"/>
    </row>
    <row r="14448" spans="2:2">
      <c r="B14448" s="24"/>
    </row>
    <row r="14449" spans="2:2">
      <c r="B14449" s="24"/>
    </row>
    <row r="14450" spans="2:2">
      <c r="B14450" s="24"/>
    </row>
    <row r="14451" spans="2:2">
      <c r="B14451" s="24"/>
    </row>
    <row r="14452" spans="2:2">
      <c r="B14452" s="24"/>
    </row>
    <row r="14453" spans="2:2">
      <c r="B14453" s="24"/>
    </row>
    <row r="14454" spans="2:2">
      <c r="B14454" s="24"/>
    </row>
    <row r="14455" spans="2:2">
      <c r="B14455" s="24"/>
    </row>
    <row r="14456" spans="2:2">
      <c r="B14456" s="24"/>
    </row>
    <row r="14457" spans="2:2">
      <c r="B14457" s="24"/>
    </row>
    <row r="14458" spans="2:2">
      <c r="B14458" s="24"/>
    </row>
    <row r="14459" spans="2:2">
      <c r="B14459" s="24"/>
    </row>
    <row r="14460" spans="2:2">
      <c r="B14460" s="24"/>
    </row>
    <row r="14461" spans="2:2">
      <c r="B14461" s="24"/>
    </row>
    <row r="14462" spans="2:2">
      <c r="B14462" s="24"/>
    </row>
    <row r="14463" spans="2:2">
      <c r="B14463" s="24"/>
    </row>
    <row r="14464" spans="2:2">
      <c r="B14464" s="24"/>
    </row>
    <row r="14465" spans="2:2">
      <c r="B14465" s="24"/>
    </row>
    <row r="14466" spans="2:2">
      <c r="B14466" s="24"/>
    </row>
    <row r="14467" spans="2:2">
      <c r="B14467" s="24"/>
    </row>
    <row r="14468" spans="2:2">
      <c r="B14468" s="24"/>
    </row>
    <row r="14469" spans="2:2">
      <c r="B14469" s="24"/>
    </row>
    <row r="14470" spans="2:2">
      <c r="B14470" s="24"/>
    </row>
    <row r="14471" spans="2:2">
      <c r="B14471" s="24"/>
    </row>
    <row r="14472" spans="2:2">
      <c r="B14472" s="24"/>
    </row>
    <row r="14473" spans="2:2">
      <c r="B14473" s="24"/>
    </row>
    <row r="14474" spans="2:2">
      <c r="B14474" s="24"/>
    </row>
    <row r="14475" spans="2:2">
      <c r="B14475" s="24"/>
    </row>
    <row r="14476" spans="2:2">
      <c r="B14476" s="24"/>
    </row>
    <row r="14477" spans="2:2">
      <c r="B14477" s="24"/>
    </row>
    <row r="14478" spans="2:2">
      <c r="B14478" s="24"/>
    </row>
    <row r="14479" spans="2:2">
      <c r="B14479" s="24"/>
    </row>
    <row r="14480" spans="2:2">
      <c r="B14480" s="24"/>
    </row>
    <row r="14481" spans="2:2">
      <c r="B14481" s="24"/>
    </row>
    <row r="14482" spans="2:2">
      <c r="B14482" s="24"/>
    </row>
    <row r="14483" spans="2:2">
      <c r="B14483" s="24"/>
    </row>
    <row r="14484" spans="2:2">
      <c r="B14484" s="24"/>
    </row>
    <row r="14485" spans="2:2">
      <c r="B14485" s="24"/>
    </row>
    <row r="14486" spans="2:2">
      <c r="B14486" s="24"/>
    </row>
    <row r="14487" spans="2:2">
      <c r="B14487" s="24"/>
    </row>
    <row r="14488" spans="2:2">
      <c r="B14488" s="24"/>
    </row>
    <row r="14489" spans="2:2">
      <c r="B14489" s="24"/>
    </row>
    <row r="14490" spans="2:2">
      <c r="B14490" s="24"/>
    </row>
    <row r="14491" spans="2:2">
      <c r="B14491" s="24"/>
    </row>
    <row r="14492" spans="2:2">
      <c r="B14492" s="24"/>
    </row>
    <row r="14493" spans="2:2">
      <c r="B14493" s="24"/>
    </row>
    <row r="14494" spans="2:2">
      <c r="B14494" s="24"/>
    </row>
    <row r="14495" spans="2:2">
      <c r="B14495" s="24"/>
    </row>
    <row r="14496" spans="2:2">
      <c r="B14496" s="24"/>
    </row>
    <row r="14497" spans="2:2">
      <c r="B14497" s="24"/>
    </row>
    <row r="14498" spans="2:2">
      <c r="B14498" s="24"/>
    </row>
    <row r="14499" spans="2:2">
      <c r="B14499" s="24"/>
    </row>
    <row r="14500" spans="2:2">
      <c r="B14500" s="24"/>
    </row>
    <row r="14501" spans="2:2">
      <c r="B14501" s="24"/>
    </row>
    <row r="14502" spans="2:2">
      <c r="B14502" s="24"/>
    </row>
    <row r="14503" spans="2:2">
      <c r="B14503" s="24"/>
    </row>
    <row r="14504" spans="2:2">
      <c r="B14504" s="24"/>
    </row>
    <row r="14505" spans="2:2">
      <c r="B14505" s="24"/>
    </row>
    <row r="14506" spans="2:2">
      <c r="B14506" s="24"/>
    </row>
    <row r="14507" spans="2:2">
      <c r="B14507" s="24"/>
    </row>
    <row r="14508" spans="2:2">
      <c r="B14508" s="24"/>
    </row>
    <row r="14509" spans="2:2">
      <c r="B14509" s="24"/>
    </row>
    <row r="14510" spans="2:2">
      <c r="B14510" s="24"/>
    </row>
    <row r="14511" spans="2:2">
      <c r="B14511" s="24"/>
    </row>
    <row r="14512" spans="2:2">
      <c r="B14512" s="24"/>
    </row>
    <row r="14513" spans="2:2">
      <c r="B14513" s="24"/>
    </row>
    <row r="14514" spans="2:2">
      <c r="B14514" s="24"/>
    </row>
    <row r="14515" spans="2:2">
      <c r="B14515" s="24"/>
    </row>
    <row r="14516" spans="2:2">
      <c r="B14516" s="24"/>
    </row>
    <row r="14517" spans="2:2">
      <c r="B14517" s="24"/>
    </row>
    <row r="14518" spans="2:2">
      <c r="B14518" s="24"/>
    </row>
    <row r="14519" spans="2:2">
      <c r="B14519" s="24"/>
    </row>
    <row r="14520" spans="2:2">
      <c r="B14520" s="24"/>
    </row>
    <row r="14521" spans="2:2">
      <c r="B14521" s="24"/>
    </row>
    <row r="14522" spans="2:2">
      <c r="B14522" s="24"/>
    </row>
    <row r="14523" spans="2:2">
      <c r="B14523" s="24"/>
    </row>
    <row r="14524" spans="2:2">
      <c r="B14524" s="24"/>
    </row>
    <row r="14525" spans="2:2">
      <c r="B14525" s="24"/>
    </row>
    <row r="14526" spans="2:2">
      <c r="B14526" s="24"/>
    </row>
    <row r="14527" spans="2:2">
      <c r="B14527" s="24"/>
    </row>
    <row r="14528" spans="2:2">
      <c r="B14528" s="24"/>
    </row>
    <row r="14529" spans="2:2">
      <c r="B14529" s="24"/>
    </row>
    <row r="14530" spans="2:2">
      <c r="B14530" s="24"/>
    </row>
    <row r="14531" spans="2:2">
      <c r="B14531" s="24"/>
    </row>
    <row r="14532" spans="2:2">
      <c r="B14532" s="24"/>
    </row>
    <row r="14533" spans="2:2">
      <c r="B14533" s="24"/>
    </row>
    <row r="14534" spans="2:2">
      <c r="B14534" s="24"/>
    </row>
    <row r="14535" spans="2:2">
      <c r="B14535" s="24"/>
    </row>
    <row r="14536" spans="2:2">
      <c r="B14536" s="24"/>
    </row>
    <row r="14537" spans="2:2">
      <c r="B14537" s="24"/>
    </row>
    <row r="14538" spans="2:2">
      <c r="B14538" s="24"/>
    </row>
    <row r="14539" spans="2:2">
      <c r="B14539" s="24"/>
    </row>
    <row r="14540" spans="2:2">
      <c r="B14540" s="24"/>
    </row>
    <row r="14541" spans="2:2">
      <c r="B14541" s="24"/>
    </row>
    <row r="14542" spans="2:2">
      <c r="B14542" s="24"/>
    </row>
    <row r="14543" spans="2:2">
      <c r="B14543" s="24"/>
    </row>
    <row r="14544" spans="2:2">
      <c r="B14544" s="24"/>
    </row>
    <row r="14545" spans="2:2">
      <c r="B14545" s="24"/>
    </row>
    <row r="14546" spans="2:2">
      <c r="B14546" s="24"/>
    </row>
    <row r="14547" spans="2:2">
      <c r="B14547" s="24"/>
    </row>
    <row r="14548" spans="2:2">
      <c r="B14548" s="24"/>
    </row>
    <row r="14549" spans="2:2">
      <c r="B14549" s="24"/>
    </row>
    <row r="14550" spans="2:2">
      <c r="B14550" s="24"/>
    </row>
    <row r="14551" spans="2:2">
      <c r="B14551" s="24"/>
    </row>
    <row r="14552" spans="2:2">
      <c r="B14552" s="24"/>
    </row>
    <row r="14553" spans="2:2">
      <c r="B14553" s="24"/>
    </row>
    <row r="14554" spans="2:2">
      <c r="B14554" s="24"/>
    </row>
    <row r="14555" spans="2:2">
      <c r="B14555" s="24"/>
    </row>
    <row r="14556" spans="2:2">
      <c r="B14556" s="24"/>
    </row>
    <row r="14557" spans="2:2">
      <c r="B14557" s="24"/>
    </row>
    <row r="14558" spans="2:2">
      <c r="B14558" s="24"/>
    </row>
    <row r="14559" spans="2:2">
      <c r="B14559" s="24"/>
    </row>
    <row r="14560" spans="2:2">
      <c r="B14560" s="24"/>
    </row>
    <row r="14561" spans="2:2">
      <c r="B14561" s="24"/>
    </row>
    <row r="14562" spans="2:2">
      <c r="B14562" s="24"/>
    </row>
    <row r="14563" spans="2:2">
      <c r="B14563" s="24"/>
    </row>
    <row r="14564" spans="2:2">
      <c r="B14564" s="24"/>
    </row>
    <row r="14565" spans="2:2">
      <c r="B14565" s="24"/>
    </row>
    <row r="14566" spans="2:2">
      <c r="B14566" s="24"/>
    </row>
    <row r="14567" spans="2:2">
      <c r="B14567" s="24"/>
    </row>
    <row r="14568" spans="2:2">
      <c r="B14568" s="24"/>
    </row>
    <row r="14569" spans="2:2">
      <c r="B14569" s="24"/>
    </row>
    <row r="14570" spans="2:2">
      <c r="B14570" s="24"/>
    </row>
    <row r="14571" spans="2:2">
      <c r="B14571" s="24"/>
    </row>
    <row r="14572" spans="2:2">
      <c r="B14572" s="24"/>
    </row>
    <row r="14573" spans="2:2">
      <c r="B14573" s="24"/>
    </row>
    <row r="14574" spans="2:2">
      <c r="B14574" s="24"/>
    </row>
    <row r="14575" spans="2:2">
      <c r="B14575" s="24"/>
    </row>
    <row r="14576" spans="2:2">
      <c r="B14576" s="24"/>
    </row>
    <row r="14577" spans="2:2">
      <c r="B14577" s="24"/>
    </row>
    <row r="14578" spans="2:2">
      <c r="B14578" s="24"/>
    </row>
    <row r="14579" spans="2:2">
      <c r="B14579" s="24"/>
    </row>
    <row r="14580" spans="2:2">
      <c r="B14580" s="24"/>
    </row>
    <row r="14581" spans="2:2">
      <c r="B14581" s="24"/>
    </row>
    <row r="14582" spans="2:2">
      <c r="B14582" s="24"/>
    </row>
    <row r="14583" spans="2:2">
      <c r="B14583" s="24"/>
    </row>
    <row r="14584" spans="2:2">
      <c r="B14584" s="24"/>
    </row>
    <row r="14585" spans="2:2">
      <c r="B14585" s="24"/>
    </row>
    <row r="14586" spans="2:2">
      <c r="B14586" s="24"/>
    </row>
    <row r="14587" spans="2:2">
      <c r="B14587" s="24"/>
    </row>
    <row r="14588" spans="2:2">
      <c r="B14588" s="24"/>
    </row>
    <row r="14589" spans="2:2">
      <c r="B14589" s="24"/>
    </row>
    <row r="14590" spans="2:2">
      <c r="B14590" s="24"/>
    </row>
    <row r="14591" spans="2:2">
      <c r="B14591" s="24"/>
    </row>
    <row r="14592" spans="2:2">
      <c r="B14592" s="24"/>
    </row>
    <row r="14593" spans="2:2">
      <c r="B14593" s="24"/>
    </row>
    <row r="14594" spans="2:2">
      <c r="B14594" s="24"/>
    </row>
    <row r="14595" spans="2:2">
      <c r="B14595" s="24"/>
    </row>
    <row r="14596" spans="2:2">
      <c r="B14596" s="24"/>
    </row>
    <row r="14597" spans="2:2">
      <c r="B14597" s="24"/>
    </row>
    <row r="14598" spans="2:2">
      <c r="B14598" s="24"/>
    </row>
    <row r="14599" spans="2:2">
      <c r="B14599" s="24"/>
    </row>
    <row r="14600" spans="2:2">
      <c r="B14600" s="24"/>
    </row>
    <row r="14601" spans="2:2">
      <c r="B14601" s="24"/>
    </row>
    <row r="14602" spans="2:2">
      <c r="B14602" s="24"/>
    </row>
    <row r="14603" spans="2:2">
      <c r="B14603" s="24"/>
    </row>
    <row r="14604" spans="2:2">
      <c r="B14604" s="24"/>
    </row>
    <row r="14605" spans="2:2">
      <c r="B14605" s="24"/>
    </row>
    <row r="14606" spans="2:2">
      <c r="B14606" s="24"/>
    </row>
    <row r="14607" spans="2:2">
      <c r="B14607" s="24"/>
    </row>
    <row r="14608" spans="2:2">
      <c r="B14608" s="24"/>
    </row>
    <row r="14609" spans="2:2">
      <c r="B14609" s="24"/>
    </row>
    <row r="14610" spans="2:2">
      <c r="B14610" s="24"/>
    </row>
    <row r="14611" spans="2:2">
      <c r="B14611" s="24"/>
    </row>
    <row r="14612" spans="2:2">
      <c r="B14612" s="24"/>
    </row>
    <row r="14613" spans="2:2">
      <c r="B14613" s="24"/>
    </row>
    <row r="14614" spans="2:2">
      <c r="B14614" s="24"/>
    </row>
    <row r="14615" spans="2:2">
      <c r="B14615" s="24"/>
    </row>
    <row r="14616" spans="2:2">
      <c r="B14616" s="24"/>
    </row>
    <row r="14617" spans="2:2">
      <c r="B14617" s="24"/>
    </row>
    <row r="14618" spans="2:2">
      <c r="B14618" s="24"/>
    </row>
    <row r="14619" spans="2:2">
      <c r="B14619" s="24"/>
    </row>
    <row r="14620" spans="2:2">
      <c r="B14620" s="24"/>
    </row>
    <row r="14621" spans="2:2">
      <c r="B14621" s="24"/>
    </row>
    <row r="14622" spans="2:2">
      <c r="B14622" s="24"/>
    </row>
    <row r="14623" spans="2:2">
      <c r="B14623" s="24"/>
    </row>
    <row r="14624" spans="2:2">
      <c r="B14624" s="24"/>
    </row>
    <row r="14625" spans="2:2">
      <c r="B14625" s="24"/>
    </row>
    <row r="14626" spans="2:2">
      <c r="B14626" s="24"/>
    </row>
    <row r="14627" spans="2:2">
      <c r="B14627" s="24"/>
    </row>
    <row r="14628" spans="2:2">
      <c r="B14628" s="24"/>
    </row>
    <row r="14629" spans="2:2">
      <c r="B14629" s="24"/>
    </row>
    <row r="14630" spans="2:2">
      <c r="B14630" s="24"/>
    </row>
    <row r="14631" spans="2:2">
      <c r="B14631" s="24"/>
    </row>
    <row r="14632" spans="2:2">
      <c r="B14632" s="24"/>
    </row>
    <row r="14633" spans="2:2">
      <c r="B14633" s="24"/>
    </row>
    <row r="14634" spans="2:2">
      <c r="B14634" s="24"/>
    </row>
    <row r="14635" spans="2:2">
      <c r="B14635" s="24"/>
    </row>
    <row r="14636" spans="2:2">
      <c r="B14636" s="24"/>
    </row>
    <row r="14637" spans="2:2">
      <c r="B14637" s="24"/>
    </row>
    <row r="14638" spans="2:2">
      <c r="B14638" s="24"/>
    </row>
    <row r="14639" spans="2:2">
      <c r="B14639" s="24"/>
    </row>
    <row r="14640" spans="2:2">
      <c r="B14640" s="24"/>
    </row>
    <row r="14641" spans="2:2">
      <c r="B14641" s="24"/>
    </row>
    <row r="14642" spans="2:2">
      <c r="B14642" s="24"/>
    </row>
    <row r="14643" spans="2:2">
      <c r="B14643" s="24"/>
    </row>
    <row r="14644" spans="2:2">
      <c r="B14644" s="24"/>
    </row>
    <row r="14645" spans="2:2">
      <c r="B14645" s="24"/>
    </row>
    <row r="14646" spans="2:2">
      <c r="B14646" s="24"/>
    </row>
    <row r="14647" spans="2:2">
      <c r="B14647" s="24"/>
    </row>
    <row r="14648" spans="2:2">
      <c r="B14648" s="24"/>
    </row>
    <row r="14649" spans="2:2">
      <c r="B14649" s="24"/>
    </row>
    <row r="14650" spans="2:2">
      <c r="B14650" s="24"/>
    </row>
    <row r="14651" spans="2:2">
      <c r="B14651" s="24"/>
    </row>
    <row r="14652" spans="2:2">
      <c r="B14652" s="24"/>
    </row>
    <row r="14653" spans="2:2">
      <c r="B14653" s="24"/>
    </row>
    <row r="14654" spans="2:2">
      <c r="B14654" s="24"/>
    </row>
    <row r="14655" spans="2:2">
      <c r="B14655" s="24"/>
    </row>
    <row r="14656" spans="2:2">
      <c r="B14656" s="24"/>
    </row>
    <row r="14657" spans="2:2">
      <c r="B14657" s="24"/>
    </row>
    <row r="14658" spans="2:2">
      <c r="B14658" s="24"/>
    </row>
    <row r="14659" spans="2:2">
      <c r="B14659" s="24"/>
    </row>
    <row r="14660" spans="2:2">
      <c r="B14660" s="24"/>
    </row>
    <row r="14661" spans="2:2">
      <c r="B14661" s="24"/>
    </row>
    <row r="14662" spans="2:2">
      <c r="B14662" s="24"/>
    </row>
    <row r="14663" spans="2:2">
      <c r="B14663" s="24"/>
    </row>
    <row r="14664" spans="2:2">
      <c r="B14664" s="24"/>
    </row>
    <row r="14665" spans="2:2">
      <c r="B14665" s="24"/>
    </row>
    <row r="14666" spans="2:2">
      <c r="B14666" s="24"/>
    </row>
    <row r="14667" spans="2:2">
      <c r="B14667" s="24"/>
    </row>
    <row r="14668" spans="2:2">
      <c r="B14668" s="24"/>
    </row>
    <row r="14669" spans="2:2">
      <c r="B14669" s="24"/>
    </row>
    <row r="14670" spans="2:2">
      <c r="B14670" s="24"/>
    </row>
    <row r="14671" spans="2:2">
      <c r="B14671" s="24"/>
    </row>
    <row r="14672" spans="2:2">
      <c r="B14672" s="24"/>
    </row>
    <row r="14673" spans="2:2">
      <c r="B14673" s="24"/>
    </row>
    <row r="14674" spans="2:2">
      <c r="B14674" s="24"/>
    </row>
    <row r="14675" spans="2:2">
      <c r="B14675" s="24"/>
    </row>
    <row r="14676" spans="2:2">
      <c r="B14676" s="24"/>
    </row>
    <row r="14677" spans="2:2">
      <c r="B14677" s="24"/>
    </row>
    <row r="14678" spans="2:2">
      <c r="B14678" s="24"/>
    </row>
    <row r="14679" spans="2:2">
      <c r="B14679" s="24"/>
    </row>
    <row r="14680" spans="2:2">
      <c r="B14680" s="24"/>
    </row>
    <row r="14681" spans="2:2">
      <c r="B14681" s="24"/>
    </row>
    <row r="14682" spans="2:2">
      <c r="B14682" s="24"/>
    </row>
    <row r="14683" spans="2:2">
      <c r="B14683" s="24"/>
    </row>
    <row r="14684" spans="2:2">
      <c r="B14684" s="24"/>
    </row>
    <row r="14685" spans="2:2">
      <c r="B14685" s="24"/>
    </row>
    <row r="14686" spans="2:2">
      <c r="B14686" s="24"/>
    </row>
    <row r="14687" spans="2:2">
      <c r="B14687" s="24"/>
    </row>
    <row r="14688" spans="2:2">
      <c r="B14688" s="24"/>
    </row>
    <row r="14689" spans="2:2">
      <c r="B14689" s="24"/>
    </row>
    <row r="14690" spans="2:2">
      <c r="B14690" s="24"/>
    </row>
    <row r="14691" spans="2:2">
      <c r="B14691" s="24"/>
    </row>
    <row r="14692" spans="2:2">
      <c r="B14692" s="24"/>
    </row>
    <row r="14693" spans="2:2">
      <c r="B14693" s="24"/>
    </row>
    <row r="14694" spans="2:2">
      <c r="B14694" s="24"/>
    </row>
    <row r="14695" spans="2:2">
      <c r="B14695" s="24"/>
    </row>
    <row r="14696" spans="2:2">
      <c r="B14696" s="24"/>
    </row>
    <row r="14697" spans="2:2">
      <c r="B14697" s="24"/>
    </row>
    <row r="14698" spans="2:2">
      <c r="B14698" s="24"/>
    </row>
    <row r="14699" spans="2:2">
      <c r="B14699" s="24"/>
    </row>
    <row r="14700" spans="2:2">
      <c r="B14700" s="24"/>
    </row>
    <row r="14701" spans="2:2">
      <c r="B14701" s="24"/>
    </row>
    <row r="14702" spans="2:2">
      <c r="B14702" s="24"/>
    </row>
    <row r="14703" spans="2:2">
      <c r="B14703" s="24"/>
    </row>
    <row r="14704" spans="2:2">
      <c r="B14704" s="24"/>
    </row>
    <row r="14705" spans="2:2">
      <c r="B14705" s="24"/>
    </row>
    <row r="14706" spans="2:2">
      <c r="B14706" s="24"/>
    </row>
    <row r="14707" spans="2:2">
      <c r="B14707" s="24"/>
    </row>
    <row r="14708" spans="2:2">
      <c r="B14708" s="24"/>
    </row>
    <row r="14709" spans="2:2">
      <c r="B14709" s="24"/>
    </row>
    <row r="14710" spans="2:2">
      <c r="B14710" s="24"/>
    </row>
    <row r="14711" spans="2:2">
      <c r="B14711" s="24"/>
    </row>
    <row r="14712" spans="2:2">
      <c r="B14712" s="24"/>
    </row>
    <row r="14713" spans="2:2">
      <c r="B14713" s="24"/>
    </row>
    <row r="14714" spans="2:2">
      <c r="B14714" s="24"/>
    </row>
    <row r="14715" spans="2:2">
      <c r="B14715" s="24"/>
    </row>
    <row r="14716" spans="2:2">
      <c r="B14716" s="24"/>
    </row>
    <row r="14717" spans="2:2">
      <c r="B14717" s="24"/>
    </row>
    <row r="14718" spans="2:2">
      <c r="B14718" s="24"/>
    </row>
    <row r="14719" spans="2:2">
      <c r="B14719" s="24"/>
    </row>
    <row r="14720" spans="2:2">
      <c r="B14720" s="24"/>
    </row>
    <row r="14721" spans="2:2">
      <c r="B14721" s="24"/>
    </row>
    <row r="14722" spans="2:2">
      <c r="B14722" s="24"/>
    </row>
    <row r="14723" spans="2:2">
      <c r="B14723" s="24"/>
    </row>
    <row r="14724" spans="2:2">
      <c r="B14724" s="24"/>
    </row>
    <row r="14725" spans="2:2">
      <c r="B14725" s="24"/>
    </row>
    <row r="14726" spans="2:2">
      <c r="B14726" s="24"/>
    </row>
    <row r="14727" spans="2:2">
      <c r="B14727" s="24"/>
    </row>
    <row r="14728" spans="2:2">
      <c r="B14728" s="24"/>
    </row>
    <row r="14729" spans="2:2">
      <c r="B14729" s="24"/>
    </row>
    <row r="14730" spans="2:2">
      <c r="B14730" s="24"/>
    </row>
    <row r="14731" spans="2:2">
      <c r="B14731" s="24"/>
    </row>
    <row r="14732" spans="2:2">
      <c r="B14732" s="24"/>
    </row>
    <row r="14733" spans="2:2">
      <c r="B14733" s="24"/>
    </row>
    <row r="14734" spans="2:2">
      <c r="B14734" s="24"/>
    </row>
    <row r="14735" spans="2:2">
      <c r="B14735" s="24"/>
    </row>
    <row r="14736" spans="2:2">
      <c r="B14736" s="24"/>
    </row>
    <row r="14737" spans="2:2">
      <c r="B14737" s="24"/>
    </row>
    <row r="14738" spans="2:2">
      <c r="B14738" s="24"/>
    </row>
    <row r="14739" spans="2:2">
      <c r="B14739" s="24"/>
    </row>
    <row r="14740" spans="2:2">
      <c r="B14740" s="24"/>
    </row>
    <row r="14741" spans="2:2">
      <c r="B14741" s="24"/>
    </row>
    <row r="14742" spans="2:2">
      <c r="B14742" s="24"/>
    </row>
    <row r="14743" spans="2:2">
      <c r="B14743" s="24"/>
    </row>
    <row r="14744" spans="2:2">
      <c r="B14744" s="24"/>
    </row>
    <row r="14745" spans="2:2">
      <c r="B14745" s="24"/>
    </row>
    <row r="14746" spans="2:2">
      <c r="B14746" s="24"/>
    </row>
    <row r="14747" spans="2:2">
      <c r="B14747" s="24"/>
    </row>
    <row r="14748" spans="2:2">
      <c r="B14748" s="24"/>
    </row>
    <row r="14749" spans="2:2">
      <c r="B14749" s="24"/>
    </row>
    <row r="14750" spans="2:2">
      <c r="B14750" s="24"/>
    </row>
    <row r="14751" spans="2:2">
      <c r="B14751" s="24"/>
    </row>
    <row r="14752" spans="2:2">
      <c r="B14752" s="24"/>
    </row>
    <row r="14753" spans="2:2">
      <c r="B14753" s="24"/>
    </row>
    <row r="14754" spans="2:2">
      <c r="B14754" s="24"/>
    </row>
    <row r="14755" spans="2:2">
      <c r="B14755" s="24"/>
    </row>
    <row r="14756" spans="2:2">
      <c r="B14756" s="24"/>
    </row>
    <row r="14757" spans="2:2">
      <c r="B14757" s="24"/>
    </row>
    <row r="14758" spans="2:2">
      <c r="B14758" s="24"/>
    </row>
    <row r="14759" spans="2:2">
      <c r="B14759" s="24"/>
    </row>
    <row r="14760" spans="2:2">
      <c r="B14760" s="24"/>
    </row>
    <row r="14761" spans="2:2">
      <c r="B14761" s="24"/>
    </row>
    <row r="14762" spans="2:2">
      <c r="B14762" s="24"/>
    </row>
    <row r="14763" spans="2:2">
      <c r="B14763" s="24"/>
    </row>
    <row r="14764" spans="2:2">
      <c r="B14764" s="24"/>
    </row>
    <row r="14765" spans="2:2">
      <c r="B14765" s="24"/>
    </row>
    <row r="14766" spans="2:2">
      <c r="B14766" s="24"/>
    </row>
    <row r="14767" spans="2:2">
      <c r="B14767" s="24"/>
    </row>
    <row r="14768" spans="2:2">
      <c r="B14768" s="24"/>
    </row>
    <row r="14769" spans="2:2">
      <c r="B14769" s="24"/>
    </row>
    <row r="14770" spans="2:2">
      <c r="B14770" s="24"/>
    </row>
    <row r="14771" spans="2:2">
      <c r="B14771" s="24"/>
    </row>
    <row r="14772" spans="2:2">
      <c r="B14772" s="24"/>
    </row>
    <row r="14773" spans="2:2">
      <c r="B14773" s="24"/>
    </row>
    <row r="14774" spans="2:2">
      <c r="B14774" s="24"/>
    </row>
    <row r="14775" spans="2:2">
      <c r="B14775" s="24"/>
    </row>
    <row r="14776" spans="2:2">
      <c r="B14776" s="24"/>
    </row>
    <row r="14777" spans="2:2">
      <c r="B14777" s="24"/>
    </row>
    <row r="14778" spans="2:2">
      <c r="B14778" s="24"/>
    </row>
    <row r="14779" spans="2:2">
      <c r="B14779" s="24"/>
    </row>
    <row r="14780" spans="2:2">
      <c r="B14780" s="24"/>
    </row>
    <row r="14781" spans="2:2">
      <c r="B14781" s="24"/>
    </row>
    <row r="14782" spans="2:2">
      <c r="B14782" s="24"/>
    </row>
    <row r="14783" spans="2:2">
      <c r="B14783" s="24"/>
    </row>
    <row r="14784" spans="2:2">
      <c r="B14784" s="24"/>
    </row>
    <row r="14785" spans="2:2">
      <c r="B14785" s="24"/>
    </row>
    <row r="14786" spans="2:2">
      <c r="B14786" s="24"/>
    </row>
    <row r="14787" spans="2:2">
      <c r="B14787" s="24"/>
    </row>
    <row r="14788" spans="2:2">
      <c r="B14788" s="24"/>
    </row>
    <row r="14789" spans="2:2">
      <c r="B14789" s="24"/>
    </row>
    <row r="14790" spans="2:2">
      <c r="B14790" s="24"/>
    </row>
    <row r="14791" spans="2:2">
      <c r="B14791" s="24"/>
    </row>
    <row r="14792" spans="2:2">
      <c r="B14792" s="24"/>
    </row>
    <row r="14793" spans="2:2">
      <c r="B14793" s="24"/>
    </row>
    <row r="14794" spans="2:2">
      <c r="B14794" s="24"/>
    </row>
    <row r="14795" spans="2:2">
      <c r="B14795" s="24"/>
    </row>
    <row r="14796" spans="2:2">
      <c r="B14796" s="24"/>
    </row>
    <row r="14797" spans="2:2">
      <c r="B14797" s="24"/>
    </row>
    <row r="14798" spans="2:2">
      <c r="B14798" s="24"/>
    </row>
    <row r="14799" spans="2:2">
      <c r="B14799" s="24"/>
    </row>
    <row r="14800" spans="2:2">
      <c r="B14800" s="24"/>
    </row>
    <row r="14801" spans="2:2">
      <c r="B14801" s="24"/>
    </row>
    <row r="14802" spans="2:2">
      <c r="B14802" s="24"/>
    </row>
    <row r="14803" spans="2:2">
      <c r="B14803" s="24"/>
    </row>
    <row r="14804" spans="2:2">
      <c r="B14804" s="24"/>
    </row>
    <row r="14805" spans="2:2">
      <c r="B14805" s="24"/>
    </row>
    <row r="14806" spans="2:2">
      <c r="B14806" s="24"/>
    </row>
    <row r="14807" spans="2:2">
      <c r="B14807" s="24"/>
    </row>
    <row r="14808" spans="2:2">
      <c r="B14808" s="24"/>
    </row>
    <row r="14809" spans="2:2">
      <c r="B14809" s="24"/>
    </row>
    <row r="14810" spans="2:2">
      <c r="B14810" s="24"/>
    </row>
    <row r="14811" spans="2:2">
      <c r="B14811" s="24"/>
    </row>
    <row r="14812" spans="2:2">
      <c r="B14812" s="24"/>
    </row>
    <row r="14813" spans="2:2">
      <c r="B14813" s="24"/>
    </row>
    <row r="14814" spans="2:2">
      <c r="B14814" s="24"/>
    </row>
    <row r="14815" spans="2:2">
      <c r="B14815" s="24"/>
    </row>
    <row r="14816" spans="2:2">
      <c r="B14816" s="24"/>
    </row>
    <row r="14817" spans="2:2">
      <c r="B14817" s="24"/>
    </row>
    <row r="14818" spans="2:2">
      <c r="B14818" s="24"/>
    </row>
    <row r="14819" spans="2:2">
      <c r="B14819" s="24"/>
    </row>
    <row r="14820" spans="2:2">
      <c r="B14820" s="24"/>
    </row>
    <row r="14821" spans="2:2">
      <c r="B14821" s="24"/>
    </row>
    <row r="14822" spans="2:2">
      <c r="B14822" s="24"/>
    </row>
    <row r="14823" spans="2:2">
      <c r="B14823" s="24"/>
    </row>
    <row r="14824" spans="2:2">
      <c r="B14824" s="24"/>
    </row>
    <row r="14825" spans="2:2">
      <c r="B14825" s="24"/>
    </row>
    <row r="14826" spans="2:2">
      <c r="B14826" s="24"/>
    </row>
    <row r="14827" spans="2:2">
      <c r="B14827" s="24"/>
    </row>
    <row r="14828" spans="2:2">
      <c r="B14828" s="24"/>
    </row>
    <row r="14829" spans="2:2">
      <c r="B14829" s="24"/>
    </row>
    <row r="14830" spans="2:2">
      <c r="B14830" s="24"/>
    </row>
    <row r="14831" spans="2:2">
      <c r="B14831" s="24"/>
    </row>
    <row r="14832" spans="2:2">
      <c r="B14832" s="24"/>
    </row>
    <row r="14833" spans="2:2">
      <c r="B14833" s="24"/>
    </row>
    <row r="14834" spans="2:2">
      <c r="B14834" s="24"/>
    </row>
    <row r="14835" spans="2:2">
      <c r="B14835" s="24"/>
    </row>
    <row r="14836" spans="2:2">
      <c r="B14836" s="24"/>
    </row>
    <row r="14837" spans="2:2">
      <c r="B14837" s="24"/>
    </row>
    <row r="14838" spans="2:2">
      <c r="B14838" s="24"/>
    </row>
    <row r="14839" spans="2:2">
      <c r="B14839" s="24"/>
    </row>
    <row r="14840" spans="2:2">
      <c r="B14840" s="24"/>
    </row>
    <row r="14841" spans="2:2">
      <c r="B14841" s="24"/>
    </row>
    <row r="14842" spans="2:2">
      <c r="B14842" s="24"/>
    </row>
    <row r="14843" spans="2:2">
      <c r="B14843" s="24"/>
    </row>
    <row r="14844" spans="2:2">
      <c r="B14844" s="24"/>
    </row>
    <row r="14845" spans="2:2">
      <c r="B14845" s="24"/>
    </row>
    <row r="14846" spans="2:2">
      <c r="B14846" s="24"/>
    </row>
    <row r="14847" spans="2:2">
      <c r="B14847" s="24"/>
    </row>
    <row r="14848" spans="2:2">
      <c r="B14848" s="24"/>
    </row>
    <row r="14849" spans="2:2">
      <c r="B14849" s="24"/>
    </row>
    <row r="14850" spans="2:2">
      <c r="B14850" s="24"/>
    </row>
    <row r="14851" spans="2:2">
      <c r="B14851" s="24"/>
    </row>
    <row r="14852" spans="2:2">
      <c r="B14852" s="24"/>
    </row>
    <row r="14853" spans="2:2">
      <c r="B14853" s="24"/>
    </row>
    <row r="14854" spans="2:2">
      <c r="B14854" s="24"/>
    </row>
    <row r="14855" spans="2:2">
      <c r="B14855" s="24"/>
    </row>
    <row r="14856" spans="2:2">
      <c r="B14856" s="24"/>
    </row>
    <row r="14857" spans="2:2">
      <c r="B14857" s="24"/>
    </row>
    <row r="14858" spans="2:2">
      <c r="B14858" s="24"/>
    </row>
    <row r="14859" spans="2:2">
      <c r="B14859" s="24"/>
    </row>
    <row r="14860" spans="2:2">
      <c r="B14860" s="24"/>
    </row>
    <row r="14861" spans="2:2">
      <c r="B14861" s="24"/>
    </row>
    <row r="14862" spans="2:2">
      <c r="B14862" s="24"/>
    </row>
    <row r="14863" spans="2:2">
      <c r="B14863" s="24"/>
    </row>
    <row r="14864" spans="2:2">
      <c r="B14864" s="24"/>
    </row>
    <row r="14865" spans="2:2">
      <c r="B14865" s="24"/>
    </row>
    <row r="14866" spans="2:2">
      <c r="B14866" s="24"/>
    </row>
    <row r="14867" spans="2:2">
      <c r="B14867" s="24"/>
    </row>
    <row r="14868" spans="2:2">
      <c r="B14868" s="24"/>
    </row>
    <row r="14869" spans="2:2">
      <c r="B14869" s="24"/>
    </row>
    <row r="14870" spans="2:2">
      <c r="B14870" s="24"/>
    </row>
    <row r="14871" spans="2:2">
      <c r="B14871" s="24"/>
    </row>
    <row r="14872" spans="2:2">
      <c r="B14872" s="24"/>
    </row>
    <row r="14873" spans="2:2">
      <c r="B14873" s="24"/>
    </row>
    <row r="14874" spans="2:2">
      <c r="B14874" s="24"/>
    </row>
    <row r="14875" spans="2:2">
      <c r="B14875" s="24"/>
    </row>
    <row r="14876" spans="2:2">
      <c r="B14876" s="24"/>
    </row>
    <row r="14877" spans="2:2">
      <c r="B14877" s="24"/>
    </row>
    <row r="14878" spans="2:2">
      <c r="B14878" s="24"/>
    </row>
    <row r="14879" spans="2:2">
      <c r="B14879" s="24"/>
    </row>
    <row r="14880" spans="2:2">
      <c r="B14880" s="24"/>
    </row>
    <row r="14881" spans="2:2">
      <c r="B14881" s="24"/>
    </row>
    <row r="14882" spans="2:2">
      <c r="B14882" s="24"/>
    </row>
    <row r="14883" spans="2:2">
      <c r="B14883" s="24"/>
    </row>
    <row r="14884" spans="2:2">
      <c r="B14884" s="24"/>
    </row>
    <row r="14885" spans="2:2">
      <c r="B14885" s="24"/>
    </row>
    <row r="14886" spans="2:2">
      <c r="B14886" s="24"/>
    </row>
    <row r="14887" spans="2:2">
      <c r="B14887" s="24"/>
    </row>
    <row r="14888" spans="2:2">
      <c r="B14888" s="24"/>
    </row>
    <row r="14889" spans="2:2">
      <c r="B14889" s="24"/>
    </row>
    <row r="14890" spans="2:2">
      <c r="B14890" s="24"/>
    </row>
    <row r="14891" spans="2:2">
      <c r="B14891" s="24"/>
    </row>
    <row r="14892" spans="2:2">
      <c r="B14892" s="24"/>
    </row>
    <row r="14893" spans="2:2">
      <c r="B14893" s="24"/>
    </row>
    <row r="14894" spans="2:2">
      <c r="B14894" s="24"/>
    </row>
    <row r="14895" spans="2:2">
      <c r="B14895" s="24"/>
    </row>
    <row r="14896" spans="2:2">
      <c r="B14896" s="24"/>
    </row>
    <row r="14897" spans="2:2">
      <c r="B14897" s="24"/>
    </row>
    <row r="14898" spans="2:2">
      <c r="B14898" s="24"/>
    </row>
    <row r="14899" spans="2:2">
      <c r="B14899" s="24"/>
    </row>
    <row r="14900" spans="2:2">
      <c r="B14900" s="24"/>
    </row>
    <row r="14901" spans="2:2">
      <c r="B14901" s="24"/>
    </row>
    <row r="14902" spans="2:2">
      <c r="B14902" s="24"/>
    </row>
    <row r="14903" spans="2:2">
      <c r="B14903" s="24"/>
    </row>
    <row r="14904" spans="2:2">
      <c r="B14904" s="24"/>
    </row>
    <row r="14905" spans="2:2">
      <c r="B14905" s="24"/>
    </row>
    <row r="14906" spans="2:2">
      <c r="B14906" s="24"/>
    </row>
    <row r="14907" spans="2:2">
      <c r="B14907" s="24"/>
    </row>
    <row r="14908" spans="2:2">
      <c r="B14908" s="24"/>
    </row>
    <row r="14909" spans="2:2">
      <c r="B14909" s="24"/>
    </row>
    <row r="14910" spans="2:2">
      <c r="B14910" s="24"/>
    </row>
    <row r="14911" spans="2:2">
      <c r="B14911" s="24"/>
    </row>
    <row r="14912" spans="2:2">
      <c r="B14912" s="24"/>
    </row>
    <row r="14913" spans="2:2">
      <c r="B14913" s="24"/>
    </row>
    <row r="14914" spans="2:2">
      <c r="B14914" s="24"/>
    </row>
    <row r="14915" spans="2:2">
      <c r="B14915" s="24"/>
    </row>
    <row r="14916" spans="2:2">
      <c r="B14916" s="24"/>
    </row>
    <row r="14917" spans="2:2">
      <c r="B14917" s="24"/>
    </row>
    <row r="14918" spans="2:2">
      <c r="B14918" s="24"/>
    </row>
    <row r="14919" spans="2:2">
      <c r="B14919" s="24"/>
    </row>
    <row r="14920" spans="2:2">
      <c r="B14920" s="24"/>
    </row>
    <row r="14921" spans="2:2">
      <c r="B14921" s="24"/>
    </row>
    <row r="14922" spans="2:2">
      <c r="B14922" s="24"/>
    </row>
    <row r="14923" spans="2:2">
      <c r="B14923" s="24"/>
    </row>
    <row r="14924" spans="2:2">
      <c r="B14924" s="24"/>
    </row>
    <row r="14925" spans="2:2">
      <c r="B14925" s="24"/>
    </row>
    <row r="14926" spans="2:2">
      <c r="B14926" s="24"/>
    </row>
    <row r="14927" spans="2:2">
      <c r="B14927" s="24"/>
    </row>
    <row r="14928" spans="2:2">
      <c r="B14928" s="24"/>
    </row>
    <row r="14929" spans="2:2">
      <c r="B14929" s="24"/>
    </row>
    <row r="14930" spans="2:2">
      <c r="B14930" s="24"/>
    </row>
    <row r="14931" spans="2:2">
      <c r="B14931" s="24"/>
    </row>
    <row r="14932" spans="2:2">
      <c r="B14932" s="24"/>
    </row>
    <row r="14933" spans="2:2">
      <c r="B14933" s="24"/>
    </row>
    <row r="14934" spans="2:2">
      <c r="B14934" s="24"/>
    </row>
    <row r="14935" spans="2:2">
      <c r="B14935" s="24"/>
    </row>
    <row r="14936" spans="2:2">
      <c r="B14936" s="24"/>
    </row>
    <row r="14937" spans="2:2">
      <c r="B14937" s="24"/>
    </row>
    <row r="14938" spans="2:2">
      <c r="B14938" s="24"/>
    </row>
    <row r="14939" spans="2:2">
      <c r="B14939" s="24"/>
    </row>
    <row r="14940" spans="2:2">
      <c r="B14940" s="24"/>
    </row>
    <row r="14941" spans="2:2">
      <c r="B14941" s="24"/>
    </row>
    <row r="14942" spans="2:2">
      <c r="B14942" s="24"/>
    </row>
    <row r="14943" spans="2:2">
      <c r="B14943" s="24"/>
    </row>
    <row r="14944" spans="2:2">
      <c r="B14944" s="24"/>
    </row>
    <row r="14945" spans="2:2">
      <c r="B14945" s="24"/>
    </row>
    <row r="14946" spans="2:2">
      <c r="B14946" s="24"/>
    </row>
    <row r="14947" spans="2:2">
      <c r="B14947" s="24"/>
    </row>
    <row r="14948" spans="2:2">
      <c r="B14948" s="24"/>
    </row>
    <row r="14949" spans="2:2">
      <c r="B14949" s="24"/>
    </row>
    <row r="14950" spans="2:2">
      <c r="B14950" s="24"/>
    </row>
    <row r="14951" spans="2:2">
      <c r="B14951" s="24"/>
    </row>
    <row r="14952" spans="2:2">
      <c r="B14952" s="24"/>
    </row>
    <row r="14953" spans="2:2">
      <c r="B14953" s="24"/>
    </row>
    <row r="14954" spans="2:2">
      <c r="B14954" s="24"/>
    </row>
    <row r="14955" spans="2:2">
      <c r="B14955" s="24"/>
    </row>
    <row r="14956" spans="2:2">
      <c r="B14956" s="24"/>
    </row>
    <row r="14957" spans="2:2">
      <c r="B14957" s="24"/>
    </row>
    <row r="14958" spans="2:2">
      <c r="B14958" s="24"/>
    </row>
    <row r="14959" spans="2:2">
      <c r="B14959" s="24"/>
    </row>
    <row r="14960" spans="2:2">
      <c r="B14960" s="24"/>
    </row>
    <row r="14961" spans="2:2">
      <c r="B14961" s="24"/>
    </row>
    <row r="14962" spans="2:2">
      <c r="B14962" s="24"/>
    </row>
    <row r="14963" spans="2:2">
      <c r="B14963" s="24"/>
    </row>
    <row r="14964" spans="2:2">
      <c r="B14964" s="24"/>
    </row>
    <row r="14965" spans="2:2">
      <c r="B14965" s="24"/>
    </row>
    <row r="14966" spans="2:2">
      <c r="B14966" s="24"/>
    </row>
    <row r="14967" spans="2:2">
      <c r="B14967" s="24"/>
    </row>
    <row r="14968" spans="2:2">
      <c r="B14968" s="24"/>
    </row>
    <row r="14969" spans="2:2">
      <c r="B14969" s="24"/>
    </row>
    <row r="14970" spans="2:2">
      <c r="B14970" s="24"/>
    </row>
    <row r="14971" spans="2:2">
      <c r="B14971" s="24"/>
    </row>
    <row r="14972" spans="2:2">
      <c r="B14972" s="24"/>
    </row>
    <row r="14973" spans="2:2">
      <c r="B14973" s="24"/>
    </row>
    <row r="14974" spans="2:2">
      <c r="B14974" s="24"/>
    </row>
    <row r="14975" spans="2:2">
      <c r="B14975" s="24"/>
    </row>
    <row r="14976" spans="2:2">
      <c r="B14976" s="24"/>
    </row>
    <row r="14977" spans="2:2">
      <c r="B14977" s="24"/>
    </row>
    <row r="14978" spans="2:2">
      <c r="B14978" s="24"/>
    </row>
    <row r="14979" spans="2:2">
      <c r="B14979" s="24"/>
    </row>
    <row r="14980" spans="2:2">
      <c r="B14980" s="24"/>
    </row>
    <row r="14981" spans="2:2">
      <c r="B14981" s="24"/>
    </row>
    <row r="14982" spans="2:2">
      <c r="B14982" s="24"/>
    </row>
    <row r="14983" spans="2:2">
      <c r="B14983" s="24"/>
    </row>
    <row r="14984" spans="2:2">
      <c r="B14984" s="24"/>
    </row>
    <row r="14985" spans="2:2">
      <c r="B14985" s="24"/>
    </row>
    <row r="14986" spans="2:2">
      <c r="B14986" s="24"/>
    </row>
    <row r="14987" spans="2:2">
      <c r="B14987" s="24"/>
    </row>
    <row r="14988" spans="2:2">
      <c r="B14988" s="24"/>
    </row>
    <row r="14989" spans="2:2">
      <c r="B14989" s="24"/>
    </row>
    <row r="14990" spans="2:2">
      <c r="B14990" s="24"/>
    </row>
    <row r="14991" spans="2:2">
      <c r="B14991" s="24"/>
    </row>
    <row r="14992" spans="2:2">
      <c r="B14992" s="24"/>
    </row>
    <row r="14993" spans="2:2">
      <c r="B14993" s="24"/>
    </row>
    <row r="14994" spans="2:2">
      <c r="B14994" s="24"/>
    </row>
    <row r="14995" spans="2:2">
      <c r="B14995" s="24"/>
    </row>
    <row r="14996" spans="2:2">
      <c r="B14996" s="24"/>
    </row>
    <row r="14997" spans="2:2">
      <c r="B14997" s="24"/>
    </row>
    <row r="14998" spans="2:2">
      <c r="B14998" s="24"/>
    </row>
    <row r="14999" spans="2:2">
      <c r="B14999" s="24"/>
    </row>
    <row r="15000" spans="2:2">
      <c r="B15000" s="24"/>
    </row>
    <row r="15001" spans="2:2">
      <c r="B15001" s="24"/>
    </row>
    <row r="15002" spans="2:2">
      <c r="B15002" s="24"/>
    </row>
    <row r="15003" spans="2:2">
      <c r="B15003" s="24"/>
    </row>
    <row r="15004" spans="2:2">
      <c r="B15004" s="24"/>
    </row>
    <row r="15005" spans="2:2">
      <c r="B15005" s="24"/>
    </row>
    <row r="15006" spans="2:2">
      <c r="B15006" s="24"/>
    </row>
    <row r="15007" spans="2:2">
      <c r="B15007" s="24"/>
    </row>
    <row r="15008" spans="2:2">
      <c r="B15008" s="24"/>
    </row>
    <row r="15009" spans="2:2">
      <c r="B15009" s="24"/>
    </row>
    <row r="15010" spans="2:2">
      <c r="B15010" s="24"/>
    </row>
    <row r="15011" spans="2:2">
      <c r="B15011" s="24"/>
    </row>
    <row r="15012" spans="2:2">
      <c r="B15012" s="24"/>
    </row>
    <row r="15013" spans="2:2">
      <c r="B15013" s="24"/>
    </row>
    <row r="15014" spans="2:2">
      <c r="B15014" s="24"/>
    </row>
    <row r="15015" spans="2:2">
      <c r="B15015" s="24"/>
    </row>
    <row r="15016" spans="2:2">
      <c r="B15016" s="24"/>
    </row>
    <row r="15017" spans="2:2">
      <c r="B15017" s="24"/>
    </row>
    <row r="15018" spans="2:2">
      <c r="B15018" s="24"/>
    </row>
    <row r="15019" spans="2:2">
      <c r="B15019" s="24"/>
    </row>
    <row r="15020" spans="2:2">
      <c r="B15020" s="24"/>
    </row>
    <row r="15021" spans="2:2">
      <c r="B15021" s="24"/>
    </row>
    <row r="15022" spans="2:2">
      <c r="B15022" s="24"/>
    </row>
    <row r="15023" spans="2:2">
      <c r="B15023" s="24"/>
    </row>
    <row r="15024" spans="2:2">
      <c r="B15024" s="24"/>
    </row>
    <row r="15025" spans="2:2">
      <c r="B15025" s="24"/>
    </row>
    <row r="15026" spans="2:2">
      <c r="B15026" s="24"/>
    </row>
    <row r="15027" spans="2:2">
      <c r="B15027" s="24"/>
    </row>
    <row r="15028" spans="2:2">
      <c r="B15028" s="24"/>
    </row>
    <row r="15029" spans="2:2">
      <c r="B15029" s="24"/>
    </row>
    <row r="15030" spans="2:2">
      <c r="B15030" s="24"/>
    </row>
    <row r="15031" spans="2:2">
      <c r="B15031" s="24"/>
    </row>
    <row r="15032" spans="2:2">
      <c r="B15032" s="24"/>
    </row>
    <row r="15033" spans="2:2">
      <c r="B15033" s="24"/>
    </row>
    <row r="15034" spans="2:2">
      <c r="B15034" s="24"/>
    </row>
    <row r="15035" spans="2:2">
      <c r="B15035" s="24"/>
    </row>
    <row r="15036" spans="2:2">
      <c r="B15036" s="24"/>
    </row>
    <row r="15037" spans="2:2">
      <c r="B15037" s="24"/>
    </row>
    <row r="15038" spans="2:2">
      <c r="B15038" s="24"/>
    </row>
    <row r="15039" spans="2:2">
      <c r="B15039" s="24"/>
    </row>
    <row r="15040" spans="2:2">
      <c r="B15040" s="24"/>
    </row>
    <row r="15041" spans="2:2">
      <c r="B15041" s="24"/>
    </row>
    <row r="15042" spans="2:2">
      <c r="B15042" s="24"/>
    </row>
    <row r="15043" spans="2:2">
      <c r="B15043" s="24"/>
    </row>
    <row r="15044" spans="2:2">
      <c r="B15044" s="24"/>
    </row>
    <row r="15045" spans="2:2">
      <c r="B15045" s="24"/>
    </row>
    <row r="15046" spans="2:2">
      <c r="B15046" s="24"/>
    </row>
    <row r="15047" spans="2:2">
      <c r="B15047" s="24"/>
    </row>
    <row r="15048" spans="2:2">
      <c r="B15048" s="24"/>
    </row>
    <row r="15049" spans="2:2">
      <c r="B15049" s="24"/>
    </row>
    <row r="15050" spans="2:2">
      <c r="B15050" s="24"/>
    </row>
    <row r="15051" spans="2:2">
      <c r="B15051" s="24"/>
    </row>
    <row r="15052" spans="2:2">
      <c r="B15052" s="24"/>
    </row>
    <row r="15053" spans="2:2">
      <c r="B15053" s="24"/>
    </row>
    <row r="15054" spans="2:2">
      <c r="B15054" s="24"/>
    </row>
    <row r="15055" spans="2:2">
      <c r="B15055" s="24"/>
    </row>
    <row r="15056" spans="2:2">
      <c r="B15056" s="24"/>
    </row>
    <row r="15057" spans="2:2">
      <c r="B15057" s="24"/>
    </row>
    <row r="15058" spans="2:2">
      <c r="B15058" s="24"/>
    </row>
    <row r="15059" spans="2:2">
      <c r="B15059" s="24"/>
    </row>
    <row r="15060" spans="2:2">
      <c r="B15060" s="24"/>
    </row>
    <row r="15061" spans="2:2">
      <c r="B15061" s="24"/>
    </row>
    <row r="15062" spans="2:2">
      <c r="B15062" s="24"/>
    </row>
    <row r="15063" spans="2:2">
      <c r="B15063" s="24"/>
    </row>
    <row r="15064" spans="2:2">
      <c r="B15064" s="24"/>
    </row>
    <row r="15065" spans="2:2">
      <c r="B15065" s="24"/>
    </row>
    <row r="15066" spans="2:2">
      <c r="B15066" s="24"/>
    </row>
    <row r="15067" spans="2:2">
      <c r="B15067" s="24"/>
    </row>
    <row r="15068" spans="2:2">
      <c r="B15068" s="24"/>
    </row>
    <row r="15069" spans="2:2">
      <c r="B15069" s="24"/>
    </row>
    <row r="15070" spans="2:2">
      <c r="B15070" s="24"/>
    </row>
    <row r="15071" spans="2:2">
      <c r="B15071" s="24"/>
    </row>
    <row r="15072" spans="2:2">
      <c r="B15072" s="24"/>
    </row>
    <row r="15073" spans="2:2">
      <c r="B15073" s="24"/>
    </row>
    <row r="15074" spans="2:2">
      <c r="B15074" s="24"/>
    </row>
    <row r="15075" spans="2:2">
      <c r="B15075" s="24"/>
    </row>
    <row r="15076" spans="2:2">
      <c r="B15076" s="24"/>
    </row>
    <row r="15077" spans="2:2">
      <c r="B15077" s="24"/>
    </row>
    <row r="15078" spans="2:2">
      <c r="B15078" s="24"/>
    </row>
    <row r="15079" spans="2:2">
      <c r="B15079" s="24"/>
    </row>
    <row r="15080" spans="2:2">
      <c r="B15080" s="24"/>
    </row>
    <row r="15081" spans="2:2">
      <c r="B15081" s="24"/>
    </row>
    <row r="15082" spans="2:2">
      <c r="B15082" s="24"/>
    </row>
    <row r="15083" spans="2:2">
      <c r="B15083" s="24"/>
    </row>
    <row r="15084" spans="2:2">
      <c r="B15084" s="24"/>
    </row>
    <row r="15085" spans="2:2">
      <c r="B15085" s="24"/>
    </row>
    <row r="15086" spans="2:2">
      <c r="B15086" s="24"/>
    </row>
    <row r="15087" spans="2:2">
      <c r="B15087" s="24"/>
    </row>
    <row r="15088" spans="2:2">
      <c r="B15088" s="24"/>
    </row>
    <row r="15089" spans="2:2">
      <c r="B15089" s="24"/>
    </row>
    <row r="15090" spans="2:2">
      <c r="B15090" s="24"/>
    </row>
    <row r="15091" spans="2:2">
      <c r="B15091" s="24"/>
    </row>
    <row r="15092" spans="2:2">
      <c r="B15092" s="24"/>
    </row>
    <row r="15093" spans="2:2">
      <c r="B15093" s="24"/>
    </row>
    <row r="15094" spans="2:2">
      <c r="B15094" s="24"/>
    </row>
    <row r="15095" spans="2:2">
      <c r="B15095" s="24"/>
    </row>
    <row r="15096" spans="2:2">
      <c r="B15096" s="24"/>
    </row>
    <row r="15097" spans="2:2">
      <c r="B15097" s="24"/>
    </row>
    <row r="15098" spans="2:2">
      <c r="B15098" s="24"/>
    </row>
    <row r="15099" spans="2:2">
      <c r="B15099" s="24"/>
    </row>
    <row r="15100" spans="2:2">
      <c r="B15100" s="24"/>
    </row>
    <row r="15101" spans="2:2">
      <c r="B15101" s="24"/>
    </row>
    <row r="15102" spans="2:2">
      <c r="B15102" s="24"/>
    </row>
    <row r="15103" spans="2:2">
      <c r="B15103" s="24"/>
    </row>
    <row r="15104" spans="2:2">
      <c r="B15104" s="24"/>
    </row>
    <row r="15105" spans="2:2">
      <c r="B15105" s="24"/>
    </row>
    <row r="15106" spans="2:2">
      <c r="B15106" s="24"/>
    </row>
    <row r="15107" spans="2:2">
      <c r="B15107" s="24"/>
    </row>
    <row r="15108" spans="2:2">
      <c r="B15108" s="24"/>
    </row>
    <row r="15109" spans="2:2">
      <c r="B15109" s="24"/>
    </row>
    <row r="15110" spans="2:2">
      <c r="B15110" s="24"/>
    </row>
    <row r="15111" spans="2:2">
      <c r="B15111" s="24"/>
    </row>
    <row r="15112" spans="2:2">
      <c r="B15112" s="24"/>
    </row>
    <row r="15113" spans="2:2">
      <c r="B15113" s="24"/>
    </row>
    <row r="15114" spans="2:2">
      <c r="B15114" s="24"/>
    </row>
    <row r="15115" spans="2:2">
      <c r="B15115" s="24"/>
    </row>
    <row r="15116" spans="2:2">
      <c r="B15116" s="24"/>
    </row>
    <row r="15117" spans="2:2">
      <c r="B15117" s="24"/>
    </row>
    <row r="15118" spans="2:2">
      <c r="B15118" s="24"/>
    </row>
    <row r="15119" spans="2:2">
      <c r="B15119" s="24"/>
    </row>
    <row r="15120" spans="2:2">
      <c r="B15120" s="24"/>
    </row>
    <row r="15121" spans="2:2">
      <c r="B15121" s="24"/>
    </row>
    <row r="15122" spans="2:2">
      <c r="B15122" s="24"/>
    </row>
    <row r="15123" spans="2:2">
      <c r="B15123" s="24"/>
    </row>
    <row r="15124" spans="2:2">
      <c r="B15124" s="24"/>
    </row>
    <row r="15125" spans="2:2">
      <c r="B15125" s="24"/>
    </row>
    <row r="15126" spans="2:2">
      <c r="B15126" s="24"/>
    </row>
    <row r="15127" spans="2:2">
      <c r="B15127" s="24"/>
    </row>
    <row r="15128" spans="2:2">
      <c r="B15128" s="24"/>
    </row>
    <row r="15129" spans="2:2">
      <c r="B15129" s="24"/>
    </row>
    <row r="15130" spans="2:2">
      <c r="B15130" s="24"/>
    </row>
    <row r="15131" spans="2:2">
      <c r="B15131" s="24"/>
    </row>
    <row r="15132" spans="2:2">
      <c r="B15132" s="24"/>
    </row>
    <row r="15133" spans="2:2">
      <c r="B15133" s="24"/>
    </row>
    <row r="15134" spans="2:2">
      <c r="B15134" s="24"/>
    </row>
    <row r="15135" spans="2:2">
      <c r="B15135" s="24"/>
    </row>
    <row r="15136" spans="2:2">
      <c r="B15136" s="24"/>
    </row>
    <row r="15137" spans="2:2">
      <c r="B15137" s="24"/>
    </row>
    <row r="15138" spans="2:2">
      <c r="B15138" s="24"/>
    </row>
    <row r="15139" spans="2:2">
      <c r="B15139" s="24"/>
    </row>
    <row r="15140" spans="2:2">
      <c r="B15140" s="24"/>
    </row>
    <row r="15141" spans="2:2">
      <c r="B15141" s="24"/>
    </row>
    <row r="15142" spans="2:2">
      <c r="B15142" s="24"/>
    </row>
    <row r="15143" spans="2:2">
      <c r="B15143" s="24"/>
    </row>
    <row r="15144" spans="2:2">
      <c r="B15144" s="24"/>
    </row>
    <row r="15145" spans="2:2">
      <c r="B15145" s="24"/>
    </row>
    <row r="15146" spans="2:2">
      <c r="B15146" s="24"/>
    </row>
    <row r="15147" spans="2:2">
      <c r="B15147" s="24"/>
    </row>
    <row r="15148" spans="2:2">
      <c r="B15148" s="24"/>
    </row>
    <row r="15149" spans="2:2">
      <c r="B15149" s="24"/>
    </row>
    <row r="15150" spans="2:2">
      <c r="B15150" s="24"/>
    </row>
    <row r="15151" spans="2:2">
      <c r="B15151" s="24"/>
    </row>
    <row r="15152" spans="2:2">
      <c r="B15152" s="24"/>
    </row>
    <row r="15153" spans="2:2">
      <c r="B15153" s="24"/>
    </row>
    <row r="15154" spans="2:2">
      <c r="B15154" s="24"/>
    </row>
    <row r="15155" spans="2:2">
      <c r="B15155" s="24"/>
    </row>
    <row r="15156" spans="2:2">
      <c r="B15156" s="24"/>
    </row>
    <row r="15157" spans="2:2">
      <c r="B15157" s="24"/>
    </row>
    <row r="15158" spans="2:2">
      <c r="B15158" s="24"/>
    </row>
    <row r="15159" spans="2:2">
      <c r="B15159" s="24"/>
    </row>
    <row r="15160" spans="2:2">
      <c r="B15160" s="24"/>
    </row>
    <row r="15161" spans="2:2">
      <c r="B15161" s="24"/>
    </row>
    <row r="15162" spans="2:2">
      <c r="B15162" s="24"/>
    </row>
    <row r="15163" spans="2:2">
      <c r="B15163" s="24"/>
    </row>
    <row r="15164" spans="2:2">
      <c r="B15164" s="24"/>
    </row>
    <row r="15165" spans="2:2">
      <c r="B15165" s="24"/>
    </row>
    <row r="15166" spans="2:2">
      <c r="B15166" s="24"/>
    </row>
    <row r="15167" spans="2:2">
      <c r="B15167" s="24"/>
    </row>
    <row r="15168" spans="2:2">
      <c r="B15168" s="24"/>
    </row>
    <row r="15169" spans="2:2">
      <c r="B15169" s="24"/>
    </row>
    <row r="15170" spans="2:2">
      <c r="B15170" s="24"/>
    </row>
    <row r="15171" spans="2:2">
      <c r="B15171" s="24"/>
    </row>
    <row r="15172" spans="2:2">
      <c r="B15172" s="24"/>
    </row>
    <row r="15173" spans="2:2">
      <c r="B15173" s="24"/>
    </row>
    <row r="15174" spans="2:2">
      <c r="B15174" s="24"/>
    </row>
    <row r="15175" spans="2:2">
      <c r="B15175" s="24"/>
    </row>
    <row r="15176" spans="2:2">
      <c r="B15176" s="24"/>
    </row>
    <row r="15177" spans="2:2">
      <c r="B15177" s="24"/>
    </row>
    <row r="15178" spans="2:2">
      <c r="B15178" s="24"/>
    </row>
    <row r="15179" spans="2:2">
      <c r="B15179" s="24"/>
    </row>
    <row r="15180" spans="2:2">
      <c r="B15180" s="24"/>
    </row>
    <row r="15181" spans="2:2">
      <c r="B15181" s="24"/>
    </row>
    <row r="15182" spans="2:2">
      <c r="B15182" s="24"/>
    </row>
    <row r="15183" spans="2:2">
      <c r="B15183" s="24"/>
    </row>
    <row r="15184" spans="2:2">
      <c r="B15184" s="24"/>
    </row>
    <row r="15185" spans="2:2">
      <c r="B15185" s="24"/>
    </row>
    <row r="15186" spans="2:2">
      <c r="B15186" s="24"/>
    </row>
    <row r="15187" spans="2:2">
      <c r="B15187" s="24"/>
    </row>
    <row r="15188" spans="2:2">
      <c r="B15188" s="24"/>
    </row>
    <row r="15189" spans="2:2">
      <c r="B15189" s="24"/>
    </row>
    <row r="15190" spans="2:2">
      <c r="B15190" s="24"/>
    </row>
    <row r="15191" spans="2:2">
      <c r="B15191" s="24"/>
    </row>
    <row r="15192" spans="2:2">
      <c r="B15192" s="24"/>
    </row>
    <row r="15193" spans="2:2">
      <c r="B15193" s="24"/>
    </row>
    <row r="15194" spans="2:2">
      <c r="B15194" s="24"/>
    </row>
    <row r="15195" spans="2:2">
      <c r="B15195" s="24"/>
    </row>
    <row r="15196" spans="2:2">
      <c r="B15196" s="24"/>
    </row>
    <row r="15197" spans="2:2">
      <c r="B15197" s="24"/>
    </row>
    <row r="15198" spans="2:2">
      <c r="B15198" s="24"/>
    </row>
    <row r="15199" spans="2:2">
      <c r="B15199" s="24"/>
    </row>
    <row r="15200" spans="2:2">
      <c r="B15200" s="24"/>
    </row>
    <row r="15201" spans="2:2">
      <c r="B15201" s="24"/>
    </row>
    <row r="15202" spans="2:2">
      <c r="B15202" s="24"/>
    </row>
    <row r="15203" spans="2:2">
      <c r="B15203" s="24"/>
    </row>
    <row r="15204" spans="2:2">
      <c r="B15204" s="24"/>
    </row>
    <row r="15205" spans="2:2">
      <c r="B15205" s="24"/>
    </row>
    <row r="15206" spans="2:2">
      <c r="B15206" s="24"/>
    </row>
    <row r="15207" spans="2:2">
      <c r="B15207" s="24"/>
    </row>
    <row r="15208" spans="2:2">
      <c r="B15208" s="24"/>
    </row>
    <row r="15209" spans="2:2">
      <c r="B15209" s="24"/>
    </row>
    <row r="15210" spans="2:2">
      <c r="B15210" s="24"/>
    </row>
    <row r="15211" spans="2:2">
      <c r="B15211" s="24"/>
    </row>
    <row r="15212" spans="2:2">
      <c r="B15212" s="24"/>
    </row>
    <row r="15213" spans="2:2">
      <c r="B15213" s="24"/>
    </row>
    <row r="15214" spans="2:2">
      <c r="B15214" s="24"/>
    </row>
    <row r="15215" spans="2:2">
      <c r="B15215" s="24"/>
    </row>
    <row r="15216" spans="2:2">
      <c r="B15216" s="24"/>
    </row>
    <row r="15217" spans="2:2">
      <c r="B15217" s="24"/>
    </row>
    <row r="15218" spans="2:2">
      <c r="B15218" s="24"/>
    </row>
    <row r="15219" spans="2:2">
      <c r="B15219" s="24"/>
    </row>
    <row r="15220" spans="2:2">
      <c r="B15220" s="24"/>
    </row>
    <row r="15221" spans="2:2">
      <c r="B15221" s="24"/>
    </row>
    <row r="15222" spans="2:2">
      <c r="B15222" s="24"/>
    </row>
    <row r="15223" spans="2:2">
      <c r="B15223" s="24"/>
    </row>
    <row r="15224" spans="2:2">
      <c r="B15224" s="24"/>
    </row>
    <row r="15225" spans="2:2">
      <c r="B15225" s="24"/>
    </row>
    <row r="15226" spans="2:2">
      <c r="B15226" s="24"/>
    </row>
    <row r="15227" spans="2:2">
      <c r="B15227" s="24"/>
    </row>
    <row r="15228" spans="2:2">
      <c r="B15228" s="24"/>
    </row>
    <row r="15229" spans="2:2">
      <c r="B15229" s="24"/>
    </row>
    <row r="15230" spans="2:2">
      <c r="B15230" s="24"/>
    </row>
    <row r="15231" spans="2:2">
      <c r="B15231" s="24"/>
    </row>
    <row r="15232" spans="2:2">
      <c r="B15232" s="24"/>
    </row>
    <row r="15233" spans="2:2">
      <c r="B15233" s="24"/>
    </row>
    <row r="15234" spans="2:2">
      <c r="B15234" s="24"/>
    </row>
    <row r="15235" spans="2:2">
      <c r="B15235" s="24"/>
    </row>
    <row r="15236" spans="2:2">
      <c r="B15236" s="24"/>
    </row>
    <row r="15237" spans="2:2">
      <c r="B15237" s="24"/>
    </row>
    <row r="15238" spans="2:2">
      <c r="B15238" s="24"/>
    </row>
    <row r="15239" spans="2:2">
      <c r="B15239" s="24"/>
    </row>
    <row r="15240" spans="2:2">
      <c r="B15240" s="24"/>
    </row>
    <row r="15241" spans="2:2">
      <c r="B15241" s="24"/>
    </row>
    <row r="15242" spans="2:2">
      <c r="B15242" s="24"/>
    </row>
    <row r="15243" spans="2:2">
      <c r="B15243" s="24"/>
    </row>
    <row r="15244" spans="2:2">
      <c r="B15244" s="24"/>
    </row>
    <row r="15245" spans="2:2">
      <c r="B15245" s="24"/>
    </row>
    <row r="15246" spans="2:2">
      <c r="B15246" s="24"/>
    </row>
    <row r="15247" spans="2:2">
      <c r="B15247" s="24"/>
    </row>
    <row r="15248" spans="2:2">
      <c r="B15248" s="24"/>
    </row>
    <row r="15249" spans="2:2">
      <c r="B15249" s="24"/>
    </row>
    <row r="15250" spans="2:2">
      <c r="B15250" s="24"/>
    </row>
    <row r="15251" spans="2:2">
      <c r="B15251" s="24"/>
    </row>
    <row r="15252" spans="2:2">
      <c r="B15252" s="24"/>
    </row>
    <row r="15253" spans="2:2">
      <c r="B15253" s="24"/>
    </row>
    <row r="15254" spans="2:2">
      <c r="B15254" s="24"/>
    </row>
    <row r="15255" spans="2:2">
      <c r="B15255" s="24"/>
    </row>
    <row r="15256" spans="2:2">
      <c r="B15256" s="24"/>
    </row>
    <row r="15257" spans="2:2">
      <c r="B15257" s="24"/>
    </row>
    <row r="15258" spans="2:2">
      <c r="B15258" s="24"/>
    </row>
    <row r="15259" spans="2:2">
      <c r="B15259" s="24"/>
    </row>
    <row r="15260" spans="2:2">
      <c r="B15260" s="24"/>
    </row>
    <row r="15261" spans="2:2">
      <c r="B15261" s="24"/>
    </row>
    <row r="15262" spans="2:2">
      <c r="B15262" s="24"/>
    </row>
    <row r="15263" spans="2:2">
      <c r="B15263" s="24"/>
    </row>
    <row r="15264" spans="2:2">
      <c r="B15264" s="24"/>
    </row>
    <row r="15265" spans="2:2">
      <c r="B15265" s="24"/>
    </row>
    <row r="15266" spans="2:2">
      <c r="B15266" s="24"/>
    </row>
    <row r="15267" spans="2:2">
      <c r="B15267" s="24"/>
    </row>
    <row r="15268" spans="2:2">
      <c r="B15268" s="24"/>
    </row>
    <row r="15269" spans="2:2">
      <c r="B15269" s="24"/>
    </row>
    <row r="15270" spans="2:2">
      <c r="B15270" s="24"/>
    </row>
    <row r="15271" spans="2:2">
      <c r="B15271" s="24"/>
    </row>
    <row r="15272" spans="2:2">
      <c r="B15272" s="24"/>
    </row>
    <row r="15273" spans="2:2">
      <c r="B15273" s="24"/>
    </row>
    <row r="15274" spans="2:2">
      <c r="B15274" s="24"/>
    </row>
    <row r="15275" spans="2:2">
      <c r="B15275" s="24"/>
    </row>
    <row r="15276" spans="2:2">
      <c r="B15276" s="24"/>
    </row>
    <row r="15277" spans="2:2">
      <c r="B15277" s="24"/>
    </row>
    <row r="15278" spans="2:2">
      <c r="B15278" s="24"/>
    </row>
    <row r="15279" spans="2:2">
      <c r="B15279" s="24"/>
    </row>
    <row r="15280" spans="2:2">
      <c r="B15280" s="24"/>
    </row>
    <row r="15281" spans="2:2">
      <c r="B15281" s="24"/>
    </row>
    <row r="15282" spans="2:2">
      <c r="B15282" s="24"/>
    </row>
    <row r="15283" spans="2:2">
      <c r="B15283" s="24"/>
    </row>
    <row r="15284" spans="2:2">
      <c r="B15284" s="24"/>
    </row>
    <row r="15285" spans="2:2">
      <c r="B15285" s="24"/>
    </row>
    <row r="15286" spans="2:2">
      <c r="B15286" s="24"/>
    </row>
    <row r="15287" spans="2:2">
      <c r="B15287" s="24"/>
    </row>
    <row r="15288" spans="2:2">
      <c r="B15288" s="24"/>
    </row>
    <row r="15289" spans="2:2">
      <c r="B15289" s="24"/>
    </row>
    <row r="15290" spans="2:2">
      <c r="B15290" s="24"/>
    </row>
    <row r="15291" spans="2:2">
      <c r="B15291" s="24"/>
    </row>
    <row r="15292" spans="2:2">
      <c r="B15292" s="24"/>
    </row>
    <row r="15293" spans="2:2">
      <c r="B15293" s="24"/>
    </row>
    <row r="15294" spans="2:2">
      <c r="B15294" s="24"/>
    </row>
    <row r="15295" spans="2:2">
      <c r="B15295" s="24"/>
    </row>
    <row r="15296" spans="2:2">
      <c r="B15296" s="24"/>
    </row>
    <row r="15297" spans="2:2">
      <c r="B15297" s="24"/>
    </row>
    <row r="15298" spans="2:2">
      <c r="B15298" s="24"/>
    </row>
    <row r="15299" spans="2:2">
      <c r="B15299" s="24"/>
    </row>
    <row r="15300" spans="2:2">
      <c r="B15300" s="24"/>
    </row>
    <row r="15301" spans="2:2">
      <c r="B15301" s="24"/>
    </row>
    <row r="15302" spans="2:2">
      <c r="B15302" s="24"/>
    </row>
    <row r="15303" spans="2:2">
      <c r="B15303" s="24"/>
    </row>
    <row r="15304" spans="2:2">
      <c r="B15304" s="24"/>
    </row>
    <row r="15305" spans="2:2">
      <c r="B15305" s="24"/>
    </row>
    <row r="15306" spans="2:2">
      <c r="B15306" s="24"/>
    </row>
    <row r="15307" spans="2:2">
      <c r="B15307" s="24"/>
    </row>
    <row r="15308" spans="2:2">
      <c r="B15308" s="24"/>
    </row>
    <row r="15309" spans="2:2">
      <c r="B15309" s="24"/>
    </row>
    <row r="15310" spans="2:2">
      <c r="B15310" s="24"/>
    </row>
    <row r="15311" spans="2:2">
      <c r="B15311" s="24"/>
    </row>
    <row r="15312" spans="2:2">
      <c r="B15312" s="24"/>
    </row>
    <row r="15313" spans="2:2">
      <c r="B15313" s="24"/>
    </row>
    <row r="15314" spans="2:2">
      <c r="B15314" s="24"/>
    </row>
    <row r="15315" spans="2:2">
      <c r="B15315" s="24"/>
    </row>
    <row r="15316" spans="2:2">
      <c r="B15316" s="24"/>
    </row>
    <row r="15317" spans="2:2">
      <c r="B15317" s="24"/>
    </row>
    <row r="15318" spans="2:2">
      <c r="B15318" s="24"/>
    </row>
    <row r="15319" spans="2:2">
      <c r="B15319" s="24"/>
    </row>
    <row r="15320" spans="2:2">
      <c r="B15320" s="24"/>
    </row>
    <row r="15321" spans="2:2">
      <c r="B15321" s="24"/>
    </row>
    <row r="15322" spans="2:2">
      <c r="B15322" s="24"/>
    </row>
    <row r="15323" spans="2:2">
      <c r="B15323" s="24"/>
    </row>
    <row r="15324" spans="2:2">
      <c r="B15324" s="24"/>
    </row>
    <row r="15325" spans="2:2">
      <c r="B15325" s="24"/>
    </row>
    <row r="15326" spans="2:2">
      <c r="B15326" s="24"/>
    </row>
    <row r="15327" spans="2:2">
      <c r="B15327" s="24"/>
    </row>
    <row r="15328" spans="2:2">
      <c r="B15328" s="24"/>
    </row>
    <row r="15329" spans="2:2">
      <c r="B15329" s="24"/>
    </row>
    <row r="15330" spans="2:2">
      <c r="B15330" s="24"/>
    </row>
    <row r="15331" spans="2:2">
      <c r="B15331" s="24"/>
    </row>
    <row r="15332" spans="2:2">
      <c r="B15332" s="24"/>
    </row>
    <row r="15333" spans="2:2">
      <c r="B15333" s="24"/>
    </row>
    <row r="15334" spans="2:2">
      <c r="B15334" s="24"/>
    </row>
    <row r="15335" spans="2:2">
      <c r="B15335" s="24"/>
    </row>
    <row r="15336" spans="2:2">
      <c r="B15336" s="24"/>
    </row>
    <row r="15337" spans="2:2">
      <c r="B15337" s="24"/>
    </row>
    <row r="15338" spans="2:2">
      <c r="B15338" s="24"/>
    </row>
    <row r="15339" spans="2:2">
      <c r="B15339" s="24"/>
    </row>
    <row r="15340" spans="2:2">
      <c r="B15340" s="24"/>
    </row>
    <row r="15341" spans="2:2">
      <c r="B15341" s="24"/>
    </row>
    <row r="15342" spans="2:2">
      <c r="B15342" s="24"/>
    </row>
    <row r="15343" spans="2:2">
      <c r="B15343" s="24"/>
    </row>
    <row r="15344" spans="2:2">
      <c r="B15344" s="24"/>
    </row>
    <row r="15345" spans="2:2">
      <c r="B15345" s="24"/>
    </row>
    <row r="15346" spans="2:2">
      <c r="B15346" s="24"/>
    </row>
    <row r="15347" spans="2:2">
      <c r="B15347" s="24"/>
    </row>
    <row r="15348" spans="2:2">
      <c r="B15348" s="24"/>
    </row>
    <row r="15349" spans="2:2">
      <c r="B15349" s="24"/>
    </row>
    <row r="15350" spans="2:2">
      <c r="B15350" s="24"/>
    </row>
    <row r="15351" spans="2:2">
      <c r="B15351" s="24"/>
    </row>
    <row r="15352" spans="2:2">
      <c r="B15352" s="24"/>
    </row>
    <row r="15353" spans="2:2">
      <c r="B15353" s="24"/>
    </row>
    <row r="15354" spans="2:2">
      <c r="B15354" s="24"/>
    </row>
    <row r="15355" spans="2:2">
      <c r="B15355" s="24"/>
    </row>
    <row r="15356" spans="2:2">
      <c r="B15356" s="24"/>
    </row>
    <row r="15357" spans="2:2">
      <c r="B15357" s="24"/>
    </row>
    <row r="15358" spans="2:2">
      <c r="B15358" s="24"/>
    </row>
    <row r="15359" spans="2:2">
      <c r="B15359" s="24"/>
    </row>
    <row r="15360" spans="2:2">
      <c r="B15360" s="24"/>
    </row>
    <row r="15361" spans="2:2">
      <c r="B15361" s="24"/>
    </row>
    <row r="15362" spans="2:2">
      <c r="B15362" s="24"/>
    </row>
    <row r="15363" spans="2:2">
      <c r="B15363" s="24"/>
    </row>
    <row r="15364" spans="2:2">
      <c r="B15364" s="24"/>
    </row>
    <row r="15365" spans="2:2">
      <c r="B15365" s="24"/>
    </row>
    <row r="15366" spans="2:2">
      <c r="B15366" s="24"/>
    </row>
    <row r="15367" spans="2:2">
      <c r="B15367" s="24"/>
    </row>
    <row r="15368" spans="2:2">
      <c r="B15368" s="24"/>
    </row>
    <row r="15369" spans="2:2">
      <c r="B15369" s="24"/>
    </row>
    <row r="15370" spans="2:2">
      <c r="B15370" s="24"/>
    </row>
    <row r="15371" spans="2:2">
      <c r="B15371" s="24"/>
    </row>
    <row r="15372" spans="2:2">
      <c r="B15372" s="24"/>
    </row>
    <row r="15373" spans="2:2">
      <c r="B15373" s="24"/>
    </row>
    <row r="15374" spans="2:2">
      <c r="B15374" s="24"/>
    </row>
    <row r="15375" spans="2:2">
      <c r="B15375" s="24"/>
    </row>
    <row r="15376" spans="2:2">
      <c r="B15376" s="24"/>
    </row>
    <row r="15377" spans="2:2">
      <c r="B15377" s="24"/>
    </row>
    <row r="15378" spans="2:2">
      <c r="B15378" s="24"/>
    </row>
    <row r="15379" spans="2:2">
      <c r="B15379" s="24"/>
    </row>
    <row r="15380" spans="2:2">
      <c r="B15380" s="24"/>
    </row>
    <row r="15381" spans="2:2">
      <c r="B15381" s="24"/>
    </row>
    <row r="15382" spans="2:2">
      <c r="B15382" s="24"/>
    </row>
    <row r="15383" spans="2:2">
      <c r="B15383" s="24"/>
    </row>
    <row r="15384" spans="2:2">
      <c r="B15384" s="24"/>
    </row>
    <row r="15385" spans="2:2">
      <c r="B15385" s="24"/>
    </row>
    <row r="15386" spans="2:2">
      <c r="B15386" s="24"/>
    </row>
    <row r="15387" spans="2:2">
      <c r="B15387" s="24"/>
    </row>
    <row r="15388" spans="2:2">
      <c r="B15388" s="24"/>
    </row>
    <row r="15389" spans="2:2">
      <c r="B15389" s="24"/>
    </row>
    <row r="15390" spans="2:2">
      <c r="B15390" s="24"/>
    </row>
    <row r="15391" spans="2:2">
      <c r="B15391" s="24"/>
    </row>
    <row r="15392" spans="2:2">
      <c r="B15392" s="24"/>
    </row>
    <row r="15393" spans="2:2">
      <c r="B15393" s="24"/>
    </row>
    <row r="15394" spans="2:2">
      <c r="B15394" s="24"/>
    </row>
    <row r="15395" spans="2:2">
      <c r="B15395" s="24"/>
    </row>
    <row r="15396" spans="2:2">
      <c r="B15396" s="24"/>
    </row>
    <row r="15397" spans="2:2">
      <c r="B15397" s="24"/>
    </row>
    <row r="15398" spans="2:2">
      <c r="B15398" s="24"/>
    </row>
    <row r="15399" spans="2:2">
      <c r="B15399" s="24"/>
    </row>
    <row r="15400" spans="2:2">
      <c r="B15400" s="24"/>
    </row>
    <row r="15401" spans="2:2">
      <c r="B15401" s="24"/>
    </row>
    <row r="15402" spans="2:2">
      <c r="B15402" s="24"/>
    </row>
    <row r="15403" spans="2:2">
      <c r="B15403" s="24"/>
    </row>
    <row r="15404" spans="2:2">
      <c r="B15404" s="24"/>
    </row>
    <row r="15405" spans="2:2">
      <c r="B15405" s="24"/>
    </row>
    <row r="15406" spans="2:2">
      <c r="B15406" s="24"/>
    </row>
    <row r="15407" spans="2:2">
      <c r="B15407" s="24"/>
    </row>
    <row r="15408" spans="2:2">
      <c r="B15408" s="24"/>
    </row>
    <row r="15409" spans="2:2">
      <c r="B15409" s="24"/>
    </row>
    <row r="15410" spans="2:2">
      <c r="B15410" s="24"/>
    </row>
    <row r="15411" spans="2:2">
      <c r="B15411" s="24"/>
    </row>
    <row r="15412" spans="2:2">
      <c r="B15412" s="24"/>
    </row>
    <row r="15413" spans="2:2">
      <c r="B15413" s="24"/>
    </row>
    <row r="15414" spans="2:2">
      <c r="B15414" s="24"/>
    </row>
    <row r="15415" spans="2:2">
      <c r="B15415" s="24"/>
    </row>
    <row r="15416" spans="2:2">
      <c r="B15416" s="24"/>
    </row>
    <row r="15417" spans="2:2">
      <c r="B15417" s="24"/>
    </row>
    <row r="15418" spans="2:2">
      <c r="B15418" s="24"/>
    </row>
    <row r="15419" spans="2:2">
      <c r="B15419" s="24"/>
    </row>
    <row r="15420" spans="2:2">
      <c r="B15420" s="24"/>
    </row>
    <row r="15421" spans="2:2">
      <c r="B15421" s="24"/>
    </row>
    <row r="15422" spans="2:2">
      <c r="B15422" s="24"/>
    </row>
    <row r="15423" spans="2:2">
      <c r="B15423" s="24"/>
    </row>
    <row r="15424" spans="2:2">
      <c r="B15424" s="24"/>
    </row>
    <row r="15425" spans="2:2">
      <c r="B15425" s="24"/>
    </row>
    <row r="15426" spans="2:2">
      <c r="B15426" s="24"/>
    </row>
    <row r="15427" spans="2:2">
      <c r="B15427" s="24"/>
    </row>
    <row r="15428" spans="2:2">
      <c r="B15428" s="24"/>
    </row>
    <row r="15429" spans="2:2">
      <c r="B15429" s="24"/>
    </row>
    <row r="15430" spans="2:2">
      <c r="B15430" s="24"/>
    </row>
    <row r="15431" spans="2:2">
      <c r="B15431" s="24"/>
    </row>
    <row r="15432" spans="2:2">
      <c r="B15432" s="24"/>
    </row>
    <row r="15433" spans="2:2">
      <c r="B15433" s="24"/>
    </row>
    <row r="15434" spans="2:2">
      <c r="B15434" s="24"/>
    </row>
    <row r="15435" spans="2:2">
      <c r="B15435" s="24"/>
    </row>
    <row r="15436" spans="2:2">
      <c r="B15436" s="24"/>
    </row>
    <row r="15437" spans="2:2">
      <c r="B15437" s="24"/>
    </row>
    <row r="15438" spans="2:2">
      <c r="B15438" s="24"/>
    </row>
    <row r="15439" spans="2:2">
      <c r="B15439" s="24"/>
    </row>
    <row r="15440" spans="2:2">
      <c r="B15440" s="24"/>
    </row>
    <row r="15441" spans="2:2">
      <c r="B15441" s="24"/>
    </row>
    <row r="15442" spans="2:2">
      <c r="B15442" s="24"/>
    </row>
    <row r="15443" spans="2:2">
      <c r="B15443" s="24"/>
    </row>
    <row r="15444" spans="2:2">
      <c r="B15444" s="24"/>
    </row>
    <row r="15445" spans="2:2">
      <c r="B15445" s="24"/>
    </row>
    <row r="15446" spans="2:2">
      <c r="B15446" s="24"/>
    </row>
    <row r="15447" spans="2:2">
      <c r="B15447" s="24"/>
    </row>
    <row r="15448" spans="2:2">
      <c r="B15448" s="24"/>
    </row>
    <row r="15449" spans="2:2">
      <c r="B15449" s="24"/>
    </row>
    <row r="15450" spans="2:2">
      <c r="B15450" s="24"/>
    </row>
    <row r="15451" spans="2:2">
      <c r="B15451" s="24"/>
    </row>
    <row r="15452" spans="2:2">
      <c r="B15452" s="24"/>
    </row>
    <row r="15453" spans="2:2">
      <c r="B15453" s="24"/>
    </row>
    <row r="15454" spans="2:2">
      <c r="B15454" s="24"/>
    </row>
    <row r="15455" spans="2:2">
      <c r="B15455" s="24"/>
    </row>
    <row r="15456" spans="2:2">
      <c r="B15456" s="24"/>
    </row>
    <row r="15457" spans="1:2">
      <c r="B15457" s="24"/>
    </row>
    <row r="15458" spans="1:2">
      <c r="B15458" s="24"/>
    </row>
    <row r="15459" spans="1:2">
      <c r="B15459" s="24"/>
    </row>
    <row r="15460" spans="1:2">
      <c r="B15460" s="24"/>
    </row>
    <row r="15461" spans="1:2">
      <c r="B15461" s="24"/>
    </row>
    <row r="15462" spans="1:2">
      <c r="B15462" s="24"/>
    </row>
    <row r="15463" spans="1:2">
      <c r="B15463" s="24"/>
    </row>
    <row r="15464" spans="1:2">
      <c r="B15464" s="24"/>
    </row>
    <row r="15465" spans="1:2">
      <c r="B15465" s="24"/>
    </row>
    <row r="15466" spans="1:2">
      <c r="B15466" s="24"/>
    </row>
    <row r="15467" spans="1:2">
      <c r="B15467" s="24"/>
    </row>
    <row r="15468" spans="1:2">
      <c r="B15468" s="24"/>
    </row>
    <row r="15469" spans="1:2">
      <c r="B15469" s="24"/>
    </row>
    <row r="15470" spans="1:2">
      <c r="B15470" s="24"/>
    </row>
    <row r="15471" spans="1:2">
      <c r="B15471" s="24"/>
    </row>
    <row r="15472" spans="1:2">
      <c r="A15472" s="16" t="s">
        <v>0</v>
      </c>
      <c r="B15472" s="24"/>
    </row>
    <row r="15473" spans="1:2">
      <c r="A15473" s="16" t="s">
        <v>1</v>
      </c>
      <c r="B15473" s="24"/>
    </row>
    <row r="15474" spans="1:2">
      <c r="A15474" s="16">
        <v>42551</v>
      </c>
    </row>
    <row r="15475" spans="1:2">
      <c r="A15475" s="16">
        <v>42552</v>
      </c>
    </row>
    <row r="15476" spans="1:2">
      <c r="A15476" s="16">
        <v>42555</v>
      </c>
    </row>
    <row r="15477" spans="1:2">
      <c r="A15477" s="16">
        <v>42556</v>
      </c>
    </row>
    <row r="15478" spans="1:2">
      <c r="A15478" s="16">
        <v>42557</v>
      </c>
    </row>
    <row r="15479" spans="1:2">
      <c r="A15479" s="16">
        <v>42558</v>
      </c>
    </row>
    <row r="15480" spans="1:2">
      <c r="A15480" s="16">
        <v>42559</v>
      </c>
    </row>
    <row r="15481" spans="1:2">
      <c r="A15481" s="16">
        <v>42562</v>
      </c>
    </row>
    <row r="15482" spans="1:2">
      <c r="A15482" s="16">
        <v>42563</v>
      </c>
    </row>
    <row r="15483" spans="1:2">
      <c r="A15483" s="16">
        <v>42564</v>
      </c>
    </row>
    <row r="15484" spans="1:2">
      <c r="A15484" s="16">
        <v>42565</v>
      </c>
    </row>
    <row r="15485" spans="1:2">
      <c r="A15485" s="16">
        <v>42566</v>
      </c>
    </row>
    <row r="15486" spans="1:2">
      <c r="A15486" s="16">
        <v>42569</v>
      </c>
    </row>
    <row r="15487" spans="1:2">
      <c r="A15487" s="16">
        <v>42570</v>
      </c>
    </row>
    <row r="15488" spans="1:2">
      <c r="A15488" s="16">
        <v>42571</v>
      </c>
    </row>
    <row r="15489" spans="1:1">
      <c r="A15489" s="16">
        <v>42572</v>
      </c>
    </row>
    <row r="15490" spans="1:1">
      <c r="A15490" s="16">
        <v>42573</v>
      </c>
    </row>
    <row r="15491" spans="1:1">
      <c r="A15491" s="16">
        <v>42576</v>
      </c>
    </row>
    <row r="15492" spans="1:1">
      <c r="A15492" s="16">
        <v>42577</v>
      </c>
    </row>
    <row r="15493" spans="1:1">
      <c r="A15493" s="16">
        <v>42578</v>
      </c>
    </row>
    <row r="15494" spans="1:1">
      <c r="A15494" s="16">
        <v>42579</v>
      </c>
    </row>
    <row r="15495" spans="1:1">
      <c r="A15495" s="16">
        <v>42580</v>
      </c>
    </row>
    <row r="15496" spans="1:1">
      <c r="A15496" s="16">
        <v>42583</v>
      </c>
    </row>
    <row r="15497" spans="1:1">
      <c r="A15497" s="16">
        <v>42584</v>
      </c>
    </row>
    <row r="15498" spans="1:1">
      <c r="A15498" s="16">
        <v>42585</v>
      </c>
    </row>
    <row r="15499" spans="1:1">
      <c r="A15499" s="16">
        <v>42586</v>
      </c>
    </row>
    <row r="15500" spans="1:1">
      <c r="A15500" s="16">
        <v>42587</v>
      </c>
    </row>
    <row r="15501" spans="1:1">
      <c r="A15501" s="16">
        <v>42590</v>
      </c>
    </row>
    <row r="15502" spans="1:1">
      <c r="A15502" s="16">
        <v>42591</v>
      </c>
    </row>
    <row r="15503" spans="1:1">
      <c r="A15503" s="16">
        <v>42592</v>
      </c>
    </row>
    <row r="15504" spans="1:1">
      <c r="A15504" s="16">
        <v>42593</v>
      </c>
    </row>
    <row r="15505" spans="1:1">
      <c r="A15505" s="16">
        <v>42594</v>
      </c>
    </row>
    <row r="15506" spans="1:1">
      <c r="A15506" s="16">
        <v>42597</v>
      </c>
    </row>
    <row r="15507" spans="1:1">
      <c r="A15507" s="16">
        <v>42598</v>
      </c>
    </row>
    <row r="15508" spans="1:1">
      <c r="A15508" s="16">
        <v>42599</v>
      </c>
    </row>
    <row r="15509" spans="1:1">
      <c r="A15509" s="16">
        <v>42600</v>
      </c>
    </row>
    <row r="15510" spans="1:1">
      <c r="A15510" s="16">
        <v>42601</v>
      </c>
    </row>
    <row r="15511" spans="1:1">
      <c r="A15511" s="16">
        <v>42604</v>
      </c>
    </row>
    <row r="15512" spans="1:1">
      <c r="A15512" s="16">
        <v>42605</v>
      </c>
    </row>
    <row r="15513" spans="1:1">
      <c r="A15513" s="16">
        <v>42606</v>
      </c>
    </row>
    <row r="15514" spans="1:1">
      <c r="A15514" s="16">
        <v>42607</v>
      </c>
    </row>
    <row r="15515" spans="1:1">
      <c r="A15515" s="16">
        <v>42608</v>
      </c>
    </row>
    <row r="15516" spans="1:1">
      <c r="A15516" s="16">
        <v>42611</v>
      </c>
    </row>
    <row r="15517" spans="1:1">
      <c r="A15517" s="16">
        <v>42612</v>
      </c>
    </row>
    <row r="15518" spans="1:1">
      <c r="A15518" s="16">
        <v>42613</v>
      </c>
    </row>
    <row r="15519" spans="1:1">
      <c r="A15519" s="16">
        <v>42614</v>
      </c>
    </row>
    <row r="15520" spans="1:1">
      <c r="A15520" s="16">
        <v>42615</v>
      </c>
    </row>
    <row r="15521" spans="1:1">
      <c r="A15521" s="16">
        <v>42618</v>
      </c>
    </row>
    <row r="15522" spans="1:1">
      <c r="A15522" s="16">
        <v>42619</v>
      </c>
    </row>
    <row r="15523" spans="1:1">
      <c r="A15523" s="16">
        <v>42620</v>
      </c>
    </row>
    <row r="15524" spans="1:1">
      <c r="A15524" s="16">
        <v>42621</v>
      </c>
    </row>
    <row r="15525" spans="1:1">
      <c r="A15525" s="16">
        <v>42622</v>
      </c>
    </row>
    <row r="15526" spans="1:1">
      <c r="A15526" s="16">
        <v>42625</v>
      </c>
    </row>
    <row r="15527" spans="1:1">
      <c r="A15527" s="16">
        <v>42626</v>
      </c>
    </row>
    <row r="15528" spans="1:1">
      <c r="A15528" s="16">
        <v>42627</v>
      </c>
    </row>
    <row r="15529" spans="1:1">
      <c r="A15529" s="16">
        <v>42632</v>
      </c>
    </row>
    <row r="15530" spans="1:1">
      <c r="A15530" s="16">
        <v>42633</v>
      </c>
    </row>
    <row r="15531" spans="1:1">
      <c r="A15531" s="16">
        <v>42634</v>
      </c>
    </row>
    <row r="15532" spans="1:1">
      <c r="A15532" s="16">
        <v>42635</v>
      </c>
    </row>
    <row r="15533" spans="1:1">
      <c r="A15533" s="16">
        <v>42636</v>
      </c>
    </row>
    <row r="15534" spans="1:1">
      <c r="A15534" s="16">
        <v>42639</v>
      </c>
    </row>
    <row r="15535" spans="1:1">
      <c r="A15535" s="16">
        <v>42640</v>
      </c>
    </row>
    <row r="15536" spans="1:1">
      <c r="A15536" s="16">
        <v>42641</v>
      </c>
    </row>
    <row r="15537" spans="1:1">
      <c r="A15537" s="16">
        <v>42642</v>
      </c>
    </row>
    <row r="15538" spans="1:1">
      <c r="A15538" s="16">
        <v>42643</v>
      </c>
    </row>
    <row r="15539" spans="1:1">
      <c r="A15539" s="16">
        <v>42653</v>
      </c>
    </row>
    <row r="15540" spans="1:1">
      <c r="A15540" s="16">
        <v>42654</v>
      </c>
    </row>
    <row r="15541" spans="1:1">
      <c r="A15541" s="16">
        <v>42655</v>
      </c>
    </row>
    <row r="15542" spans="1:1">
      <c r="A15542" s="16">
        <v>42656</v>
      </c>
    </row>
    <row r="15543" spans="1:1">
      <c r="A15543" s="16">
        <v>42657</v>
      </c>
    </row>
    <row r="15544" spans="1:1">
      <c r="A15544" s="16">
        <v>42660</v>
      </c>
    </row>
    <row r="15545" spans="1:1">
      <c r="A15545" s="16">
        <v>42661</v>
      </c>
    </row>
    <row r="15546" spans="1:1">
      <c r="A15546" s="16">
        <v>42662</v>
      </c>
    </row>
    <row r="15547" spans="1:1">
      <c r="A15547" s="16">
        <v>42663</v>
      </c>
    </row>
    <row r="15548" spans="1:1">
      <c r="A15548" s="16">
        <v>42664</v>
      </c>
    </row>
    <row r="15549" spans="1:1">
      <c r="A15549" s="16">
        <v>42667</v>
      </c>
    </row>
    <row r="15550" spans="1:1">
      <c r="A15550" s="16">
        <v>42668</v>
      </c>
    </row>
    <row r="15551" spans="1:1">
      <c r="A15551" s="16">
        <v>42669</v>
      </c>
    </row>
    <row r="15552" spans="1:1">
      <c r="A15552" s="16">
        <v>42670</v>
      </c>
    </row>
    <row r="15553" spans="1:1">
      <c r="A15553" s="16">
        <v>42671</v>
      </c>
    </row>
    <row r="15554" spans="1:1">
      <c r="A15554" s="16">
        <v>42674</v>
      </c>
    </row>
    <row r="15555" spans="1:1">
      <c r="A15555" s="16">
        <v>42675</v>
      </c>
    </row>
    <row r="15556" spans="1:1">
      <c r="A15556" s="16">
        <v>42676</v>
      </c>
    </row>
    <row r="15557" spans="1:1">
      <c r="A15557" s="16">
        <v>42677</v>
      </c>
    </row>
    <row r="15558" spans="1:1">
      <c r="A15558" s="16">
        <v>42678</v>
      </c>
    </row>
    <row r="31856" spans="1:1">
      <c r="A31856" s="16" t="s">
        <v>0</v>
      </c>
    </row>
    <row r="31857" spans="1:1">
      <c r="A31857" s="16" t="s">
        <v>1</v>
      </c>
    </row>
    <row r="31858" spans="1:1">
      <c r="A31858" s="16">
        <v>42551</v>
      </c>
    </row>
    <row r="31859" spans="1:1">
      <c r="A31859" s="16">
        <v>42552</v>
      </c>
    </row>
    <row r="31860" spans="1:1">
      <c r="A31860" s="16">
        <v>42555</v>
      </c>
    </row>
    <row r="31861" spans="1:1">
      <c r="A31861" s="16">
        <v>42556</v>
      </c>
    </row>
    <row r="31862" spans="1:1">
      <c r="A31862" s="16">
        <v>42557</v>
      </c>
    </row>
    <row r="31863" spans="1:1">
      <c r="A31863" s="16">
        <v>42558</v>
      </c>
    </row>
    <row r="31864" spans="1:1">
      <c r="A31864" s="16">
        <v>42559</v>
      </c>
    </row>
    <row r="31865" spans="1:1">
      <c r="A31865" s="16">
        <v>42562</v>
      </c>
    </row>
    <row r="31866" spans="1:1">
      <c r="A31866" s="16">
        <v>42563</v>
      </c>
    </row>
    <row r="31867" spans="1:1">
      <c r="A31867" s="16">
        <v>42564</v>
      </c>
    </row>
    <row r="31868" spans="1:1">
      <c r="A31868" s="16">
        <v>42565</v>
      </c>
    </row>
    <row r="31869" spans="1:1">
      <c r="A31869" s="16">
        <v>42566</v>
      </c>
    </row>
    <row r="31870" spans="1:1">
      <c r="A31870" s="16">
        <v>42569</v>
      </c>
    </row>
    <row r="31871" spans="1:1">
      <c r="A31871" s="16">
        <v>42570</v>
      </c>
    </row>
    <row r="31872" spans="1:1">
      <c r="A31872" s="16">
        <v>42571</v>
      </c>
    </row>
    <row r="31873" spans="1:1">
      <c r="A31873" s="16">
        <v>42572</v>
      </c>
    </row>
    <row r="31874" spans="1:1">
      <c r="A31874" s="16">
        <v>42573</v>
      </c>
    </row>
    <row r="31875" spans="1:1">
      <c r="A31875" s="16">
        <v>42576</v>
      </c>
    </row>
    <row r="31876" spans="1:1">
      <c r="A31876" s="16">
        <v>42577</v>
      </c>
    </row>
    <row r="31877" spans="1:1">
      <c r="A31877" s="16">
        <v>42578</v>
      </c>
    </row>
    <row r="31878" spans="1:1">
      <c r="A31878" s="16">
        <v>42579</v>
      </c>
    </row>
    <row r="31879" spans="1:1">
      <c r="A31879" s="16">
        <v>42580</v>
      </c>
    </row>
    <row r="31880" spans="1:1">
      <c r="A31880" s="16">
        <v>42583</v>
      </c>
    </row>
    <row r="31881" spans="1:1">
      <c r="A31881" s="16">
        <v>42584</v>
      </c>
    </row>
    <row r="31882" spans="1:1">
      <c r="A31882" s="16">
        <v>42585</v>
      </c>
    </row>
    <row r="31883" spans="1:1">
      <c r="A31883" s="16">
        <v>42586</v>
      </c>
    </row>
    <row r="31884" spans="1:1">
      <c r="A31884" s="16">
        <v>42587</v>
      </c>
    </row>
    <row r="31885" spans="1:1">
      <c r="A31885" s="16">
        <v>42590</v>
      </c>
    </row>
    <row r="31886" spans="1:1">
      <c r="A31886" s="16">
        <v>42591</v>
      </c>
    </row>
    <row r="31887" spans="1:1">
      <c r="A31887" s="16">
        <v>42592</v>
      </c>
    </row>
    <row r="31888" spans="1:1">
      <c r="A31888" s="16">
        <v>42593</v>
      </c>
    </row>
    <row r="31889" spans="1:1">
      <c r="A31889" s="16">
        <v>42594</v>
      </c>
    </row>
    <row r="31890" spans="1:1">
      <c r="A31890" s="16">
        <v>42597</v>
      </c>
    </row>
    <row r="31891" spans="1:1">
      <c r="A31891" s="16">
        <v>42598</v>
      </c>
    </row>
    <row r="31892" spans="1:1">
      <c r="A31892" s="16">
        <v>42599</v>
      </c>
    </row>
    <row r="31893" spans="1:1">
      <c r="A31893" s="16">
        <v>42600</v>
      </c>
    </row>
    <row r="31894" spans="1:1">
      <c r="A31894" s="16">
        <v>42601</v>
      </c>
    </row>
    <row r="31895" spans="1:1">
      <c r="A31895" s="16">
        <v>42604</v>
      </c>
    </row>
    <row r="31896" spans="1:1">
      <c r="A31896" s="16">
        <v>42605</v>
      </c>
    </row>
    <row r="31897" spans="1:1">
      <c r="A31897" s="16">
        <v>42606</v>
      </c>
    </row>
    <row r="31898" spans="1:1">
      <c r="A31898" s="16">
        <v>42607</v>
      </c>
    </row>
    <row r="31899" spans="1:1">
      <c r="A31899" s="16">
        <v>42608</v>
      </c>
    </row>
    <row r="31900" spans="1:1">
      <c r="A31900" s="16">
        <v>42611</v>
      </c>
    </row>
    <row r="31901" spans="1:1">
      <c r="A31901" s="16">
        <v>42612</v>
      </c>
    </row>
    <row r="31902" spans="1:1">
      <c r="A31902" s="16">
        <v>42613</v>
      </c>
    </row>
    <row r="31903" spans="1:1">
      <c r="A31903" s="16">
        <v>42614</v>
      </c>
    </row>
    <row r="31904" spans="1:1">
      <c r="A31904" s="16">
        <v>42615</v>
      </c>
    </row>
    <row r="31905" spans="1:1">
      <c r="A31905" s="16">
        <v>42618</v>
      </c>
    </row>
    <row r="31906" spans="1:1">
      <c r="A31906" s="16">
        <v>42619</v>
      </c>
    </row>
    <row r="31907" spans="1:1">
      <c r="A31907" s="16">
        <v>42620</v>
      </c>
    </row>
    <row r="31908" spans="1:1">
      <c r="A31908" s="16">
        <v>42621</v>
      </c>
    </row>
    <row r="31909" spans="1:1">
      <c r="A31909" s="16">
        <v>42622</v>
      </c>
    </row>
    <row r="31910" spans="1:1">
      <c r="A31910" s="16">
        <v>42625</v>
      </c>
    </row>
    <row r="31911" spans="1:1">
      <c r="A31911" s="16">
        <v>42626</v>
      </c>
    </row>
    <row r="31912" spans="1:1">
      <c r="A31912" s="16">
        <v>42627</v>
      </c>
    </row>
    <row r="31913" spans="1:1">
      <c r="A31913" s="16">
        <v>42632</v>
      </c>
    </row>
    <row r="31914" spans="1:1">
      <c r="A31914" s="16">
        <v>42633</v>
      </c>
    </row>
    <row r="31915" spans="1:1">
      <c r="A31915" s="16">
        <v>42634</v>
      </c>
    </row>
    <row r="31916" spans="1:1">
      <c r="A31916" s="16">
        <v>42635</v>
      </c>
    </row>
    <row r="31917" spans="1:1">
      <c r="A31917" s="16">
        <v>42636</v>
      </c>
    </row>
    <row r="31918" spans="1:1">
      <c r="A31918" s="16">
        <v>42639</v>
      </c>
    </row>
    <row r="31919" spans="1:1">
      <c r="A31919" s="16">
        <v>42640</v>
      </c>
    </row>
    <row r="31920" spans="1:1">
      <c r="A31920" s="16">
        <v>42641</v>
      </c>
    </row>
    <row r="31921" spans="1:1">
      <c r="A31921" s="16">
        <v>42642</v>
      </c>
    </row>
    <row r="31922" spans="1:1">
      <c r="A31922" s="16">
        <v>42643</v>
      </c>
    </row>
    <row r="31923" spans="1:1">
      <c r="A31923" s="16">
        <v>42653</v>
      </c>
    </row>
    <row r="31924" spans="1:1">
      <c r="A31924" s="16">
        <v>42654</v>
      </c>
    </row>
    <row r="31925" spans="1:1">
      <c r="A31925" s="16">
        <v>42655</v>
      </c>
    </row>
    <row r="31926" spans="1:1">
      <c r="A31926" s="16">
        <v>42656</v>
      </c>
    </row>
    <row r="31927" spans="1:1">
      <c r="A31927" s="16">
        <v>42657</v>
      </c>
    </row>
    <row r="31928" spans="1:1">
      <c r="A31928" s="16">
        <v>42660</v>
      </c>
    </row>
    <row r="31929" spans="1:1">
      <c r="A31929" s="16">
        <v>42661</v>
      </c>
    </row>
    <row r="31930" spans="1:1">
      <c r="A31930" s="16">
        <v>42662</v>
      </c>
    </row>
    <row r="31931" spans="1:1">
      <c r="A31931" s="16">
        <v>42663</v>
      </c>
    </row>
    <row r="31932" spans="1:1">
      <c r="A31932" s="16">
        <v>42664</v>
      </c>
    </row>
    <row r="31933" spans="1:1">
      <c r="A31933" s="16">
        <v>42667</v>
      </c>
    </row>
    <row r="31934" spans="1:1">
      <c r="A31934" s="16">
        <v>42668</v>
      </c>
    </row>
    <row r="31935" spans="1:1">
      <c r="A31935" s="16">
        <v>42669</v>
      </c>
    </row>
    <row r="31936" spans="1:1">
      <c r="A31936" s="16">
        <v>42670</v>
      </c>
    </row>
    <row r="31937" spans="1:1">
      <c r="A31937" s="16">
        <v>42671</v>
      </c>
    </row>
    <row r="31938" spans="1:1">
      <c r="A31938" s="16">
        <v>42674</v>
      </c>
    </row>
    <row r="31939" spans="1:1">
      <c r="A31939" s="16">
        <v>42675</v>
      </c>
    </row>
    <row r="31940" spans="1:1">
      <c r="A31940" s="16">
        <v>42676</v>
      </c>
    </row>
    <row r="31941" spans="1:1">
      <c r="A31941" s="16">
        <v>42677</v>
      </c>
    </row>
    <row r="31942" spans="1:1">
      <c r="A31942" s="16">
        <v>42678</v>
      </c>
    </row>
    <row r="48240" spans="1:1">
      <c r="A48240" s="16" t="s">
        <v>0</v>
      </c>
    </row>
    <row r="48241" spans="1:1">
      <c r="A48241" s="16" t="s">
        <v>1</v>
      </c>
    </row>
    <row r="48242" spans="1:1">
      <c r="A48242" s="16">
        <v>42551</v>
      </c>
    </row>
    <row r="48243" spans="1:1">
      <c r="A48243" s="16">
        <v>42552</v>
      </c>
    </row>
    <row r="48244" spans="1:1">
      <c r="A48244" s="16">
        <v>42555</v>
      </c>
    </row>
    <row r="48245" spans="1:1">
      <c r="A48245" s="16">
        <v>42556</v>
      </c>
    </row>
    <row r="48246" spans="1:1">
      <c r="A48246" s="16">
        <v>42557</v>
      </c>
    </row>
    <row r="48247" spans="1:1">
      <c r="A48247" s="16">
        <v>42558</v>
      </c>
    </row>
    <row r="48248" spans="1:1">
      <c r="A48248" s="16">
        <v>42559</v>
      </c>
    </row>
    <row r="48249" spans="1:1">
      <c r="A48249" s="16">
        <v>42562</v>
      </c>
    </row>
    <row r="48250" spans="1:1">
      <c r="A48250" s="16">
        <v>42563</v>
      </c>
    </row>
    <row r="48251" spans="1:1">
      <c r="A48251" s="16">
        <v>42564</v>
      </c>
    </row>
    <row r="48252" spans="1:1">
      <c r="A48252" s="16">
        <v>42565</v>
      </c>
    </row>
    <row r="48253" spans="1:1">
      <c r="A48253" s="16">
        <v>42566</v>
      </c>
    </row>
    <row r="48254" spans="1:1">
      <c r="A48254" s="16">
        <v>42569</v>
      </c>
    </row>
    <row r="48255" spans="1:1">
      <c r="A48255" s="16">
        <v>42570</v>
      </c>
    </row>
    <row r="48256" spans="1:1">
      <c r="A48256" s="16">
        <v>42571</v>
      </c>
    </row>
    <row r="48257" spans="1:1">
      <c r="A48257" s="16">
        <v>42572</v>
      </c>
    </row>
    <row r="48258" spans="1:1">
      <c r="A48258" s="16">
        <v>42573</v>
      </c>
    </row>
    <row r="48259" spans="1:1">
      <c r="A48259" s="16">
        <v>42576</v>
      </c>
    </row>
    <row r="48260" spans="1:1">
      <c r="A48260" s="16">
        <v>42577</v>
      </c>
    </row>
    <row r="48261" spans="1:1">
      <c r="A48261" s="16">
        <v>42578</v>
      </c>
    </row>
    <row r="48262" spans="1:1">
      <c r="A48262" s="16">
        <v>42579</v>
      </c>
    </row>
    <row r="48263" spans="1:1">
      <c r="A48263" s="16">
        <v>42580</v>
      </c>
    </row>
    <row r="48264" spans="1:1">
      <c r="A48264" s="16">
        <v>42583</v>
      </c>
    </row>
    <row r="48265" spans="1:1">
      <c r="A48265" s="16">
        <v>42584</v>
      </c>
    </row>
    <row r="48266" spans="1:1">
      <c r="A48266" s="16">
        <v>42585</v>
      </c>
    </row>
    <row r="48267" spans="1:1">
      <c r="A48267" s="16">
        <v>42586</v>
      </c>
    </row>
    <row r="48268" spans="1:1">
      <c r="A48268" s="16">
        <v>42587</v>
      </c>
    </row>
    <row r="48269" spans="1:1">
      <c r="A48269" s="16">
        <v>42590</v>
      </c>
    </row>
    <row r="48270" spans="1:1">
      <c r="A48270" s="16">
        <v>42591</v>
      </c>
    </row>
    <row r="48271" spans="1:1">
      <c r="A48271" s="16">
        <v>42592</v>
      </c>
    </row>
    <row r="48272" spans="1:1">
      <c r="A48272" s="16">
        <v>42593</v>
      </c>
    </row>
    <row r="48273" spans="1:1">
      <c r="A48273" s="16">
        <v>42594</v>
      </c>
    </row>
    <row r="48274" spans="1:1">
      <c r="A48274" s="16">
        <v>42597</v>
      </c>
    </row>
    <row r="48275" spans="1:1">
      <c r="A48275" s="16">
        <v>42598</v>
      </c>
    </row>
    <row r="48276" spans="1:1">
      <c r="A48276" s="16">
        <v>42599</v>
      </c>
    </row>
    <row r="48277" spans="1:1">
      <c r="A48277" s="16">
        <v>42600</v>
      </c>
    </row>
    <row r="48278" spans="1:1">
      <c r="A48278" s="16">
        <v>42601</v>
      </c>
    </row>
    <row r="48279" spans="1:1">
      <c r="A48279" s="16">
        <v>42604</v>
      </c>
    </row>
    <row r="48280" spans="1:1">
      <c r="A48280" s="16">
        <v>42605</v>
      </c>
    </row>
    <row r="48281" spans="1:1">
      <c r="A48281" s="16">
        <v>42606</v>
      </c>
    </row>
    <row r="48282" spans="1:1">
      <c r="A48282" s="16">
        <v>42607</v>
      </c>
    </row>
    <row r="48283" spans="1:1">
      <c r="A48283" s="16">
        <v>42608</v>
      </c>
    </row>
    <row r="48284" spans="1:1">
      <c r="A48284" s="16">
        <v>42611</v>
      </c>
    </row>
    <row r="48285" spans="1:1">
      <c r="A48285" s="16">
        <v>42612</v>
      </c>
    </row>
    <row r="48286" spans="1:1">
      <c r="A48286" s="16">
        <v>42613</v>
      </c>
    </row>
    <row r="48287" spans="1:1">
      <c r="A48287" s="16">
        <v>42614</v>
      </c>
    </row>
    <row r="48288" spans="1:1">
      <c r="A48288" s="16">
        <v>42615</v>
      </c>
    </row>
    <row r="48289" spans="1:1">
      <c r="A48289" s="16">
        <v>42618</v>
      </c>
    </row>
    <row r="48290" spans="1:1">
      <c r="A48290" s="16">
        <v>42619</v>
      </c>
    </row>
    <row r="48291" spans="1:1">
      <c r="A48291" s="16">
        <v>42620</v>
      </c>
    </row>
    <row r="48292" spans="1:1">
      <c r="A48292" s="16">
        <v>42621</v>
      </c>
    </row>
    <row r="48293" spans="1:1">
      <c r="A48293" s="16">
        <v>42622</v>
      </c>
    </row>
    <row r="48294" spans="1:1">
      <c r="A48294" s="16">
        <v>42625</v>
      </c>
    </row>
    <row r="48295" spans="1:1">
      <c r="A48295" s="16">
        <v>42626</v>
      </c>
    </row>
    <row r="48296" spans="1:1">
      <c r="A48296" s="16">
        <v>42627</v>
      </c>
    </row>
    <row r="48297" spans="1:1">
      <c r="A48297" s="16">
        <v>42632</v>
      </c>
    </row>
    <row r="48298" spans="1:1">
      <c r="A48298" s="16">
        <v>42633</v>
      </c>
    </row>
    <row r="48299" spans="1:1">
      <c r="A48299" s="16">
        <v>42634</v>
      </c>
    </row>
    <row r="48300" spans="1:1">
      <c r="A48300" s="16">
        <v>42635</v>
      </c>
    </row>
    <row r="48301" spans="1:1">
      <c r="A48301" s="16">
        <v>42636</v>
      </c>
    </row>
    <row r="48302" spans="1:1">
      <c r="A48302" s="16">
        <v>42639</v>
      </c>
    </row>
    <row r="48303" spans="1:1">
      <c r="A48303" s="16">
        <v>42640</v>
      </c>
    </row>
    <row r="48304" spans="1:1">
      <c r="A48304" s="16">
        <v>42641</v>
      </c>
    </row>
    <row r="48305" spans="1:1">
      <c r="A48305" s="16">
        <v>42642</v>
      </c>
    </row>
    <row r="48306" spans="1:1">
      <c r="A48306" s="16">
        <v>42643</v>
      </c>
    </row>
    <row r="48307" spans="1:1">
      <c r="A48307" s="16">
        <v>42653</v>
      </c>
    </row>
    <row r="48308" spans="1:1">
      <c r="A48308" s="16">
        <v>42654</v>
      </c>
    </row>
    <row r="48309" spans="1:1">
      <c r="A48309" s="16">
        <v>42655</v>
      </c>
    </row>
    <row r="48310" spans="1:1">
      <c r="A48310" s="16">
        <v>42656</v>
      </c>
    </row>
    <row r="48311" spans="1:1">
      <c r="A48311" s="16">
        <v>42657</v>
      </c>
    </row>
    <row r="48312" spans="1:1">
      <c r="A48312" s="16">
        <v>42660</v>
      </c>
    </row>
    <row r="48313" spans="1:1">
      <c r="A48313" s="16">
        <v>42661</v>
      </c>
    </row>
    <row r="48314" spans="1:1">
      <c r="A48314" s="16">
        <v>42662</v>
      </c>
    </row>
    <row r="48315" spans="1:1">
      <c r="A48315" s="16">
        <v>42663</v>
      </c>
    </row>
    <row r="48316" spans="1:1">
      <c r="A48316" s="16">
        <v>42664</v>
      </c>
    </row>
    <row r="48317" spans="1:1">
      <c r="A48317" s="16">
        <v>42667</v>
      </c>
    </row>
    <row r="48318" spans="1:1">
      <c r="A48318" s="16">
        <v>42668</v>
      </c>
    </row>
    <row r="48319" spans="1:1">
      <c r="A48319" s="16">
        <v>42669</v>
      </c>
    </row>
    <row r="48320" spans="1:1">
      <c r="A48320" s="16">
        <v>42670</v>
      </c>
    </row>
    <row r="48321" spans="1:1">
      <c r="A48321" s="16">
        <v>42671</v>
      </c>
    </row>
    <row r="48322" spans="1:1">
      <c r="A48322" s="16">
        <v>42674</v>
      </c>
    </row>
    <row r="48323" spans="1:1">
      <c r="A48323" s="16">
        <v>42675</v>
      </c>
    </row>
    <row r="48324" spans="1:1">
      <c r="A48324" s="16">
        <v>42676</v>
      </c>
    </row>
    <row r="48325" spans="1:1">
      <c r="A48325" s="16">
        <v>42677</v>
      </c>
    </row>
    <row r="48326" spans="1:1">
      <c r="A48326" s="16">
        <v>42678</v>
      </c>
    </row>
    <row r="64624" spans="1:1">
      <c r="A64624" s="16" t="s">
        <v>0</v>
      </c>
    </row>
    <row r="64625" spans="1:1">
      <c r="A64625" s="16" t="s">
        <v>1</v>
      </c>
    </row>
    <row r="64626" spans="1:1">
      <c r="A64626" s="16">
        <v>42551</v>
      </c>
    </row>
    <row r="64627" spans="1:1">
      <c r="A64627" s="16">
        <v>42552</v>
      </c>
    </row>
    <row r="64628" spans="1:1">
      <c r="A64628" s="16">
        <v>42555</v>
      </c>
    </row>
    <row r="64629" spans="1:1">
      <c r="A64629" s="16">
        <v>42556</v>
      </c>
    </row>
    <row r="64630" spans="1:1">
      <c r="A64630" s="16">
        <v>42557</v>
      </c>
    </row>
    <row r="64631" spans="1:1">
      <c r="A64631" s="16">
        <v>42558</v>
      </c>
    </row>
    <row r="64632" spans="1:1">
      <c r="A64632" s="16">
        <v>42559</v>
      </c>
    </row>
    <row r="64633" spans="1:1">
      <c r="A64633" s="16">
        <v>42562</v>
      </c>
    </row>
    <row r="64634" spans="1:1">
      <c r="A64634" s="16">
        <v>42563</v>
      </c>
    </row>
    <row r="64635" spans="1:1">
      <c r="A64635" s="16">
        <v>42564</v>
      </c>
    </row>
    <row r="64636" spans="1:1">
      <c r="A64636" s="16">
        <v>42565</v>
      </c>
    </row>
    <row r="64637" spans="1:1">
      <c r="A64637" s="16">
        <v>42566</v>
      </c>
    </row>
    <row r="64638" spans="1:1">
      <c r="A64638" s="16">
        <v>42569</v>
      </c>
    </row>
    <row r="64639" spans="1:1">
      <c r="A64639" s="16">
        <v>42570</v>
      </c>
    </row>
    <row r="64640" spans="1:1">
      <c r="A64640" s="16">
        <v>42571</v>
      </c>
    </row>
    <row r="64641" spans="1:1">
      <c r="A64641" s="16">
        <v>42572</v>
      </c>
    </row>
    <row r="64642" spans="1:1">
      <c r="A64642" s="16">
        <v>42573</v>
      </c>
    </row>
    <row r="64643" spans="1:1">
      <c r="A64643" s="16">
        <v>42576</v>
      </c>
    </row>
    <row r="64644" spans="1:1">
      <c r="A64644" s="16">
        <v>42577</v>
      </c>
    </row>
    <row r="64645" spans="1:1">
      <c r="A64645" s="16">
        <v>42578</v>
      </c>
    </row>
    <row r="64646" spans="1:1">
      <c r="A64646" s="16">
        <v>42579</v>
      </c>
    </row>
    <row r="64647" spans="1:1">
      <c r="A64647" s="16">
        <v>42580</v>
      </c>
    </row>
    <row r="64648" spans="1:1">
      <c r="A64648" s="16">
        <v>42583</v>
      </c>
    </row>
    <row r="64649" spans="1:1">
      <c r="A64649" s="16">
        <v>42584</v>
      </c>
    </row>
    <row r="64650" spans="1:1">
      <c r="A64650" s="16">
        <v>42585</v>
      </c>
    </row>
    <row r="64651" spans="1:1">
      <c r="A64651" s="16">
        <v>42586</v>
      </c>
    </row>
    <row r="64652" spans="1:1">
      <c r="A64652" s="16">
        <v>42587</v>
      </c>
    </row>
    <row r="64653" spans="1:1">
      <c r="A64653" s="16">
        <v>42590</v>
      </c>
    </row>
    <row r="64654" spans="1:1">
      <c r="A64654" s="16">
        <v>42591</v>
      </c>
    </row>
    <row r="64655" spans="1:1">
      <c r="A64655" s="16">
        <v>42592</v>
      </c>
    </row>
    <row r="64656" spans="1:1">
      <c r="A64656" s="16">
        <v>42593</v>
      </c>
    </row>
    <row r="64657" spans="1:1">
      <c r="A64657" s="16">
        <v>42594</v>
      </c>
    </row>
    <row r="64658" spans="1:1">
      <c r="A64658" s="16">
        <v>42597</v>
      </c>
    </row>
    <row r="64659" spans="1:1">
      <c r="A64659" s="16">
        <v>42598</v>
      </c>
    </row>
    <row r="64660" spans="1:1">
      <c r="A64660" s="16">
        <v>42599</v>
      </c>
    </row>
    <row r="64661" spans="1:1">
      <c r="A64661" s="16">
        <v>42600</v>
      </c>
    </row>
    <row r="64662" spans="1:1">
      <c r="A64662" s="16">
        <v>42601</v>
      </c>
    </row>
    <row r="64663" spans="1:1">
      <c r="A64663" s="16">
        <v>42604</v>
      </c>
    </row>
    <row r="64664" spans="1:1">
      <c r="A64664" s="16">
        <v>42605</v>
      </c>
    </row>
    <row r="64665" spans="1:1">
      <c r="A64665" s="16">
        <v>42606</v>
      </c>
    </row>
    <row r="64666" spans="1:1">
      <c r="A64666" s="16">
        <v>42607</v>
      </c>
    </row>
    <row r="64667" spans="1:1">
      <c r="A64667" s="16">
        <v>42608</v>
      </c>
    </row>
    <row r="64668" spans="1:1">
      <c r="A64668" s="16">
        <v>42611</v>
      </c>
    </row>
    <row r="64669" spans="1:1">
      <c r="A64669" s="16">
        <v>42612</v>
      </c>
    </row>
    <row r="64670" spans="1:1">
      <c r="A64670" s="16">
        <v>42613</v>
      </c>
    </row>
    <row r="64671" spans="1:1">
      <c r="A64671" s="16">
        <v>42614</v>
      </c>
    </row>
    <row r="64672" spans="1:1">
      <c r="A64672" s="16">
        <v>42615</v>
      </c>
    </row>
    <row r="64673" spans="1:1">
      <c r="A64673" s="16">
        <v>42618</v>
      </c>
    </row>
    <row r="64674" spans="1:1">
      <c r="A64674" s="16">
        <v>42619</v>
      </c>
    </row>
    <row r="64675" spans="1:1">
      <c r="A64675" s="16">
        <v>42620</v>
      </c>
    </row>
    <row r="64676" spans="1:1">
      <c r="A64676" s="16">
        <v>42621</v>
      </c>
    </row>
    <row r="64677" spans="1:1">
      <c r="A64677" s="16">
        <v>42622</v>
      </c>
    </row>
    <row r="64678" spans="1:1">
      <c r="A64678" s="16">
        <v>42625</v>
      </c>
    </row>
    <row r="64679" spans="1:1">
      <c r="A64679" s="16">
        <v>42626</v>
      </c>
    </row>
    <row r="64680" spans="1:1">
      <c r="A64680" s="16">
        <v>42627</v>
      </c>
    </row>
    <row r="64681" spans="1:1">
      <c r="A64681" s="16">
        <v>42632</v>
      </c>
    </row>
    <row r="64682" spans="1:1">
      <c r="A64682" s="16">
        <v>42633</v>
      </c>
    </row>
    <row r="64683" spans="1:1">
      <c r="A64683" s="16">
        <v>42634</v>
      </c>
    </row>
    <row r="64684" spans="1:1">
      <c r="A64684" s="16">
        <v>42635</v>
      </c>
    </row>
    <row r="64685" spans="1:1">
      <c r="A64685" s="16">
        <v>42636</v>
      </c>
    </row>
    <row r="64686" spans="1:1">
      <c r="A64686" s="16">
        <v>42639</v>
      </c>
    </row>
    <row r="64687" spans="1:1">
      <c r="A64687" s="16">
        <v>42640</v>
      </c>
    </row>
    <row r="64688" spans="1:1">
      <c r="A64688" s="16">
        <v>42641</v>
      </c>
    </row>
    <row r="64689" spans="1:1">
      <c r="A64689" s="16">
        <v>42642</v>
      </c>
    </row>
    <row r="64690" spans="1:1">
      <c r="A64690" s="16">
        <v>42643</v>
      </c>
    </row>
    <row r="64691" spans="1:1">
      <c r="A64691" s="16">
        <v>42653</v>
      </c>
    </row>
    <row r="64692" spans="1:1">
      <c r="A64692" s="16">
        <v>42654</v>
      </c>
    </row>
    <row r="64693" spans="1:1">
      <c r="A64693" s="16">
        <v>42655</v>
      </c>
    </row>
    <row r="64694" spans="1:1">
      <c r="A64694" s="16">
        <v>42656</v>
      </c>
    </row>
    <row r="64695" spans="1:1">
      <c r="A64695" s="16">
        <v>42657</v>
      </c>
    </row>
    <row r="64696" spans="1:1">
      <c r="A64696" s="16">
        <v>42660</v>
      </c>
    </row>
    <row r="64697" spans="1:1">
      <c r="A64697" s="16">
        <v>42661</v>
      </c>
    </row>
    <row r="64698" spans="1:1">
      <c r="A64698" s="16">
        <v>42662</v>
      </c>
    </row>
    <row r="64699" spans="1:1">
      <c r="A64699" s="16">
        <v>42663</v>
      </c>
    </row>
    <row r="64700" spans="1:1">
      <c r="A64700" s="16">
        <v>42664</v>
      </c>
    </row>
    <row r="64701" spans="1:1">
      <c r="A64701" s="16">
        <v>42667</v>
      </c>
    </row>
    <row r="64702" spans="1:1">
      <c r="A64702" s="16">
        <v>42668</v>
      </c>
    </row>
    <row r="64703" spans="1:1">
      <c r="A64703" s="16">
        <v>42669</v>
      </c>
    </row>
    <row r="64704" spans="1:1">
      <c r="A64704" s="16">
        <v>42670</v>
      </c>
    </row>
    <row r="64705" spans="1:1">
      <c r="A64705" s="16">
        <v>42671</v>
      </c>
    </row>
    <row r="64706" spans="1:1">
      <c r="A64706" s="16">
        <v>42674</v>
      </c>
    </row>
    <row r="64707" spans="1:1">
      <c r="A64707" s="16">
        <v>42675</v>
      </c>
    </row>
    <row r="64708" spans="1:1">
      <c r="A64708" s="16">
        <v>42676</v>
      </c>
    </row>
    <row r="64709" spans="1:1">
      <c r="A64709" s="16">
        <v>42677</v>
      </c>
    </row>
    <row r="64710" spans="1:1">
      <c r="A64710" s="16">
        <v>42678</v>
      </c>
    </row>
    <row r="81008" spans="1:1">
      <c r="A81008" s="16" t="s">
        <v>0</v>
      </c>
    </row>
    <row r="81009" spans="1:1">
      <c r="A81009" s="16" t="s">
        <v>1</v>
      </c>
    </row>
    <row r="81010" spans="1:1">
      <c r="A81010" s="16">
        <v>42551</v>
      </c>
    </row>
    <row r="81011" spans="1:1">
      <c r="A81011" s="16">
        <v>42552</v>
      </c>
    </row>
    <row r="81012" spans="1:1">
      <c r="A81012" s="16">
        <v>42555</v>
      </c>
    </row>
    <row r="81013" spans="1:1">
      <c r="A81013" s="16">
        <v>42556</v>
      </c>
    </row>
    <row r="81014" spans="1:1">
      <c r="A81014" s="16">
        <v>42557</v>
      </c>
    </row>
    <row r="81015" spans="1:1">
      <c r="A81015" s="16">
        <v>42558</v>
      </c>
    </row>
    <row r="81016" spans="1:1">
      <c r="A81016" s="16">
        <v>42559</v>
      </c>
    </row>
    <row r="81017" spans="1:1">
      <c r="A81017" s="16">
        <v>42562</v>
      </c>
    </row>
    <row r="81018" spans="1:1">
      <c r="A81018" s="16">
        <v>42563</v>
      </c>
    </row>
    <row r="81019" spans="1:1">
      <c r="A81019" s="16">
        <v>42564</v>
      </c>
    </row>
    <row r="81020" spans="1:1">
      <c r="A81020" s="16">
        <v>42565</v>
      </c>
    </row>
    <row r="81021" spans="1:1">
      <c r="A81021" s="16">
        <v>42566</v>
      </c>
    </row>
    <row r="81022" spans="1:1">
      <c r="A81022" s="16">
        <v>42569</v>
      </c>
    </row>
    <row r="81023" spans="1:1">
      <c r="A81023" s="16">
        <v>42570</v>
      </c>
    </row>
    <row r="81024" spans="1:1">
      <c r="A81024" s="16">
        <v>42571</v>
      </c>
    </row>
    <row r="81025" spans="1:1">
      <c r="A81025" s="16">
        <v>42572</v>
      </c>
    </row>
    <row r="81026" spans="1:1">
      <c r="A81026" s="16">
        <v>42573</v>
      </c>
    </row>
    <row r="81027" spans="1:1">
      <c r="A81027" s="16">
        <v>42576</v>
      </c>
    </row>
    <row r="81028" spans="1:1">
      <c r="A81028" s="16">
        <v>42577</v>
      </c>
    </row>
    <row r="81029" spans="1:1">
      <c r="A81029" s="16">
        <v>42578</v>
      </c>
    </row>
    <row r="81030" spans="1:1">
      <c r="A81030" s="16">
        <v>42579</v>
      </c>
    </row>
    <row r="81031" spans="1:1">
      <c r="A81031" s="16">
        <v>42580</v>
      </c>
    </row>
    <row r="81032" spans="1:1">
      <c r="A81032" s="16">
        <v>42583</v>
      </c>
    </row>
    <row r="81033" spans="1:1">
      <c r="A81033" s="16">
        <v>42584</v>
      </c>
    </row>
    <row r="81034" spans="1:1">
      <c r="A81034" s="16">
        <v>42585</v>
      </c>
    </row>
    <row r="81035" spans="1:1">
      <c r="A81035" s="16">
        <v>42586</v>
      </c>
    </row>
    <row r="81036" spans="1:1">
      <c r="A81036" s="16">
        <v>42587</v>
      </c>
    </row>
    <row r="81037" spans="1:1">
      <c r="A81037" s="16">
        <v>42590</v>
      </c>
    </row>
    <row r="81038" spans="1:1">
      <c r="A81038" s="16">
        <v>42591</v>
      </c>
    </row>
    <row r="81039" spans="1:1">
      <c r="A81039" s="16">
        <v>42592</v>
      </c>
    </row>
    <row r="81040" spans="1:1">
      <c r="A81040" s="16">
        <v>42593</v>
      </c>
    </row>
    <row r="81041" spans="1:1">
      <c r="A81041" s="16">
        <v>42594</v>
      </c>
    </row>
    <row r="81042" spans="1:1">
      <c r="A81042" s="16">
        <v>42597</v>
      </c>
    </row>
    <row r="81043" spans="1:1">
      <c r="A81043" s="16">
        <v>42598</v>
      </c>
    </row>
    <row r="81044" spans="1:1">
      <c r="A81044" s="16">
        <v>42599</v>
      </c>
    </row>
    <row r="81045" spans="1:1">
      <c r="A81045" s="16">
        <v>42600</v>
      </c>
    </row>
    <row r="81046" spans="1:1">
      <c r="A81046" s="16">
        <v>42601</v>
      </c>
    </row>
    <row r="81047" spans="1:1">
      <c r="A81047" s="16">
        <v>42604</v>
      </c>
    </row>
    <row r="81048" spans="1:1">
      <c r="A81048" s="16">
        <v>42605</v>
      </c>
    </row>
    <row r="81049" spans="1:1">
      <c r="A81049" s="16">
        <v>42606</v>
      </c>
    </row>
    <row r="81050" spans="1:1">
      <c r="A81050" s="16">
        <v>42607</v>
      </c>
    </row>
    <row r="81051" spans="1:1">
      <c r="A81051" s="16">
        <v>42608</v>
      </c>
    </row>
    <row r="81052" spans="1:1">
      <c r="A81052" s="16">
        <v>42611</v>
      </c>
    </row>
    <row r="81053" spans="1:1">
      <c r="A81053" s="16">
        <v>42612</v>
      </c>
    </row>
    <row r="81054" spans="1:1">
      <c r="A81054" s="16">
        <v>42613</v>
      </c>
    </row>
    <row r="81055" spans="1:1">
      <c r="A81055" s="16">
        <v>42614</v>
      </c>
    </row>
    <row r="81056" spans="1:1">
      <c r="A81056" s="16">
        <v>42615</v>
      </c>
    </row>
    <row r="81057" spans="1:1">
      <c r="A81057" s="16">
        <v>42618</v>
      </c>
    </row>
    <row r="81058" spans="1:1">
      <c r="A81058" s="16">
        <v>42619</v>
      </c>
    </row>
    <row r="81059" spans="1:1">
      <c r="A81059" s="16">
        <v>42620</v>
      </c>
    </row>
    <row r="81060" spans="1:1">
      <c r="A81060" s="16">
        <v>42621</v>
      </c>
    </row>
    <row r="81061" spans="1:1">
      <c r="A81061" s="16">
        <v>42622</v>
      </c>
    </row>
    <row r="81062" spans="1:1">
      <c r="A81062" s="16">
        <v>42625</v>
      </c>
    </row>
    <row r="81063" spans="1:1">
      <c r="A81063" s="16">
        <v>42626</v>
      </c>
    </row>
    <row r="81064" spans="1:1">
      <c r="A81064" s="16">
        <v>42627</v>
      </c>
    </row>
    <row r="81065" spans="1:1">
      <c r="A81065" s="16">
        <v>42632</v>
      </c>
    </row>
    <row r="81066" spans="1:1">
      <c r="A81066" s="16">
        <v>42633</v>
      </c>
    </row>
    <row r="81067" spans="1:1">
      <c r="A81067" s="16">
        <v>42634</v>
      </c>
    </row>
    <row r="81068" spans="1:1">
      <c r="A81068" s="16">
        <v>42635</v>
      </c>
    </row>
    <row r="81069" spans="1:1">
      <c r="A81069" s="16">
        <v>42636</v>
      </c>
    </row>
    <row r="81070" spans="1:1">
      <c r="A81070" s="16">
        <v>42639</v>
      </c>
    </row>
    <row r="81071" spans="1:1">
      <c r="A81071" s="16">
        <v>42640</v>
      </c>
    </row>
    <row r="81072" spans="1:1">
      <c r="A81072" s="16">
        <v>42641</v>
      </c>
    </row>
    <row r="81073" spans="1:1">
      <c r="A81073" s="16">
        <v>42642</v>
      </c>
    </row>
    <row r="81074" spans="1:1">
      <c r="A81074" s="16">
        <v>42643</v>
      </c>
    </row>
    <row r="81075" spans="1:1">
      <c r="A81075" s="16">
        <v>42653</v>
      </c>
    </row>
    <row r="81076" spans="1:1">
      <c r="A81076" s="16">
        <v>42654</v>
      </c>
    </row>
    <row r="81077" spans="1:1">
      <c r="A81077" s="16">
        <v>42655</v>
      </c>
    </row>
    <row r="81078" spans="1:1">
      <c r="A81078" s="16">
        <v>42656</v>
      </c>
    </row>
    <row r="81079" spans="1:1">
      <c r="A81079" s="16">
        <v>42657</v>
      </c>
    </row>
    <row r="81080" spans="1:1">
      <c r="A81080" s="16">
        <v>42660</v>
      </c>
    </row>
    <row r="81081" spans="1:1">
      <c r="A81081" s="16">
        <v>42661</v>
      </c>
    </row>
    <row r="81082" spans="1:1">
      <c r="A81082" s="16">
        <v>42662</v>
      </c>
    </row>
    <row r="81083" spans="1:1">
      <c r="A81083" s="16">
        <v>42663</v>
      </c>
    </row>
    <row r="81084" spans="1:1">
      <c r="A81084" s="16">
        <v>42664</v>
      </c>
    </row>
    <row r="81085" spans="1:1">
      <c r="A81085" s="16">
        <v>42667</v>
      </c>
    </row>
    <row r="81086" spans="1:1">
      <c r="A81086" s="16">
        <v>42668</v>
      </c>
    </row>
    <row r="81087" spans="1:1">
      <c r="A81087" s="16">
        <v>42669</v>
      </c>
    </row>
    <row r="81088" spans="1:1">
      <c r="A81088" s="16">
        <v>42670</v>
      </c>
    </row>
    <row r="81089" spans="1:1">
      <c r="A81089" s="16">
        <v>42671</v>
      </c>
    </row>
    <row r="81090" spans="1:1">
      <c r="A81090" s="16">
        <v>42674</v>
      </c>
    </row>
    <row r="81091" spans="1:1">
      <c r="A81091" s="16">
        <v>42675</v>
      </c>
    </row>
    <row r="81092" spans="1:1">
      <c r="A81092" s="16">
        <v>42676</v>
      </c>
    </row>
    <row r="81093" spans="1:1">
      <c r="A81093" s="16">
        <v>42677</v>
      </c>
    </row>
    <row r="81094" spans="1:1">
      <c r="A81094" s="16">
        <v>42678</v>
      </c>
    </row>
    <row r="97392" spans="1:1">
      <c r="A97392" s="16" t="s">
        <v>0</v>
      </c>
    </row>
    <row r="97393" spans="1:1">
      <c r="A97393" s="16" t="s">
        <v>1</v>
      </c>
    </row>
    <row r="97394" spans="1:1">
      <c r="A97394" s="16">
        <v>42551</v>
      </c>
    </row>
    <row r="97395" spans="1:1">
      <c r="A97395" s="16">
        <v>42552</v>
      </c>
    </row>
    <row r="97396" spans="1:1">
      <c r="A97396" s="16">
        <v>42555</v>
      </c>
    </row>
    <row r="97397" spans="1:1">
      <c r="A97397" s="16">
        <v>42556</v>
      </c>
    </row>
    <row r="97398" spans="1:1">
      <c r="A97398" s="16">
        <v>42557</v>
      </c>
    </row>
    <row r="97399" spans="1:1">
      <c r="A97399" s="16">
        <v>42558</v>
      </c>
    </row>
    <row r="97400" spans="1:1">
      <c r="A97400" s="16">
        <v>42559</v>
      </c>
    </row>
    <row r="97401" spans="1:1">
      <c r="A97401" s="16">
        <v>42562</v>
      </c>
    </row>
    <row r="97402" spans="1:1">
      <c r="A97402" s="16">
        <v>42563</v>
      </c>
    </row>
    <row r="97403" spans="1:1">
      <c r="A97403" s="16">
        <v>42564</v>
      </c>
    </row>
    <row r="97404" spans="1:1">
      <c r="A97404" s="16">
        <v>42565</v>
      </c>
    </row>
    <row r="97405" spans="1:1">
      <c r="A97405" s="16">
        <v>42566</v>
      </c>
    </row>
    <row r="97406" spans="1:1">
      <c r="A97406" s="16">
        <v>42569</v>
      </c>
    </row>
    <row r="97407" spans="1:1">
      <c r="A97407" s="16">
        <v>42570</v>
      </c>
    </row>
    <row r="97408" spans="1:1">
      <c r="A97408" s="16">
        <v>42571</v>
      </c>
    </row>
    <row r="97409" spans="1:1">
      <c r="A97409" s="16">
        <v>42572</v>
      </c>
    </row>
    <row r="97410" spans="1:1">
      <c r="A97410" s="16">
        <v>42573</v>
      </c>
    </row>
    <row r="97411" spans="1:1">
      <c r="A97411" s="16">
        <v>42576</v>
      </c>
    </row>
    <row r="97412" spans="1:1">
      <c r="A97412" s="16">
        <v>42577</v>
      </c>
    </row>
    <row r="97413" spans="1:1">
      <c r="A97413" s="16">
        <v>42578</v>
      </c>
    </row>
    <row r="97414" spans="1:1">
      <c r="A97414" s="16">
        <v>42579</v>
      </c>
    </row>
    <row r="97415" spans="1:1">
      <c r="A97415" s="16">
        <v>42580</v>
      </c>
    </row>
    <row r="97416" spans="1:1">
      <c r="A97416" s="16">
        <v>42583</v>
      </c>
    </row>
    <row r="97417" spans="1:1">
      <c r="A97417" s="16">
        <v>42584</v>
      </c>
    </row>
    <row r="97418" spans="1:1">
      <c r="A97418" s="16">
        <v>42585</v>
      </c>
    </row>
    <row r="97419" spans="1:1">
      <c r="A97419" s="16">
        <v>42586</v>
      </c>
    </row>
    <row r="97420" spans="1:1">
      <c r="A97420" s="16">
        <v>42587</v>
      </c>
    </row>
    <row r="97421" spans="1:1">
      <c r="A97421" s="16">
        <v>42590</v>
      </c>
    </row>
    <row r="97422" spans="1:1">
      <c r="A97422" s="16">
        <v>42591</v>
      </c>
    </row>
    <row r="97423" spans="1:1">
      <c r="A97423" s="16">
        <v>42592</v>
      </c>
    </row>
    <row r="97424" spans="1:1">
      <c r="A97424" s="16">
        <v>42593</v>
      </c>
    </row>
    <row r="97425" spans="1:1">
      <c r="A97425" s="16">
        <v>42594</v>
      </c>
    </row>
    <row r="97426" spans="1:1">
      <c r="A97426" s="16">
        <v>42597</v>
      </c>
    </row>
    <row r="97427" spans="1:1">
      <c r="A97427" s="16">
        <v>42598</v>
      </c>
    </row>
    <row r="97428" spans="1:1">
      <c r="A97428" s="16">
        <v>42599</v>
      </c>
    </row>
    <row r="97429" spans="1:1">
      <c r="A97429" s="16">
        <v>42600</v>
      </c>
    </row>
    <row r="97430" spans="1:1">
      <c r="A97430" s="16">
        <v>42601</v>
      </c>
    </row>
    <row r="97431" spans="1:1">
      <c r="A97431" s="16">
        <v>42604</v>
      </c>
    </row>
    <row r="97432" spans="1:1">
      <c r="A97432" s="16">
        <v>42605</v>
      </c>
    </row>
    <row r="97433" spans="1:1">
      <c r="A97433" s="16">
        <v>42606</v>
      </c>
    </row>
    <row r="97434" spans="1:1">
      <c r="A97434" s="16">
        <v>42607</v>
      </c>
    </row>
    <row r="97435" spans="1:1">
      <c r="A97435" s="16">
        <v>42608</v>
      </c>
    </row>
    <row r="97436" spans="1:1">
      <c r="A97436" s="16">
        <v>42611</v>
      </c>
    </row>
    <row r="97437" spans="1:1">
      <c r="A97437" s="16">
        <v>42612</v>
      </c>
    </row>
    <row r="97438" spans="1:1">
      <c r="A97438" s="16">
        <v>42613</v>
      </c>
    </row>
    <row r="97439" spans="1:1">
      <c r="A97439" s="16">
        <v>42614</v>
      </c>
    </row>
    <row r="97440" spans="1:1">
      <c r="A97440" s="16">
        <v>42615</v>
      </c>
    </row>
    <row r="97441" spans="1:1">
      <c r="A97441" s="16">
        <v>42618</v>
      </c>
    </row>
    <row r="97442" spans="1:1">
      <c r="A97442" s="16">
        <v>42619</v>
      </c>
    </row>
    <row r="97443" spans="1:1">
      <c r="A97443" s="16">
        <v>42620</v>
      </c>
    </row>
    <row r="97444" spans="1:1">
      <c r="A97444" s="16">
        <v>42621</v>
      </c>
    </row>
    <row r="97445" spans="1:1">
      <c r="A97445" s="16">
        <v>42622</v>
      </c>
    </row>
    <row r="97446" spans="1:1">
      <c r="A97446" s="16">
        <v>42625</v>
      </c>
    </row>
    <row r="97447" spans="1:1">
      <c r="A97447" s="16">
        <v>42626</v>
      </c>
    </row>
    <row r="97448" spans="1:1">
      <c r="A97448" s="16">
        <v>42627</v>
      </c>
    </row>
    <row r="97449" spans="1:1">
      <c r="A97449" s="16">
        <v>42632</v>
      </c>
    </row>
    <row r="97450" spans="1:1">
      <c r="A97450" s="16">
        <v>42633</v>
      </c>
    </row>
    <row r="97451" spans="1:1">
      <c r="A97451" s="16">
        <v>42634</v>
      </c>
    </row>
    <row r="97452" spans="1:1">
      <c r="A97452" s="16">
        <v>42635</v>
      </c>
    </row>
    <row r="97453" spans="1:1">
      <c r="A97453" s="16">
        <v>42636</v>
      </c>
    </row>
    <row r="97454" spans="1:1">
      <c r="A97454" s="16">
        <v>42639</v>
      </c>
    </row>
    <row r="97455" spans="1:1">
      <c r="A97455" s="16">
        <v>42640</v>
      </c>
    </row>
    <row r="97456" spans="1:1">
      <c r="A97456" s="16">
        <v>42641</v>
      </c>
    </row>
    <row r="97457" spans="1:1">
      <c r="A97457" s="16">
        <v>42642</v>
      </c>
    </row>
    <row r="97458" spans="1:1">
      <c r="A97458" s="16">
        <v>42643</v>
      </c>
    </row>
    <row r="97459" spans="1:1">
      <c r="A97459" s="16">
        <v>42653</v>
      </c>
    </row>
    <row r="97460" spans="1:1">
      <c r="A97460" s="16">
        <v>42654</v>
      </c>
    </row>
    <row r="97461" spans="1:1">
      <c r="A97461" s="16">
        <v>42655</v>
      </c>
    </row>
    <row r="97462" spans="1:1">
      <c r="A97462" s="16">
        <v>42656</v>
      </c>
    </row>
    <row r="97463" spans="1:1">
      <c r="A97463" s="16">
        <v>42657</v>
      </c>
    </row>
    <row r="97464" spans="1:1">
      <c r="A97464" s="16">
        <v>42660</v>
      </c>
    </row>
    <row r="97465" spans="1:1">
      <c r="A97465" s="16">
        <v>42661</v>
      </c>
    </row>
    <row r="97466" spans="1:1">
      <c r="A97466" s="16">
        <v>42662</v>
      </c>
    </row>
    <row r="97467" spans="1:1">
      <c r="A97467" s="16">
        <v>42663</v>
      </c>
    </row>
    <row r="97468" spans="1:1">
      <c r="A97468" s="16">
        <v>42664</v>
      </c>
    </row>
    <row r="97469" spans="1:1">
      <c r="A97469" s="16">
        <v>42667</v>
      </c>
    </row>
    <row r="97470" spans="1:1">
      <c r="A97470" s="16">
        <v>42668</v>
      </c>
    </row>
    <row r="97471" spans="1:1">
      <c r="A97471" s="16">
        <v>42669</v>
      </c>
    </row>
    <row r="97472" spans="1:1">
      <c r="A97472" s="16">
        <v>42670</v>
      </c>
    </row>
    <row r="97473" spans="1:1">
      <c r="A97473" s="16">
        <v>42671</v>
      </c>
    </row>
    <row r="97474" spans="1:1">
      <c r="A97474" s="16">
        <v>42674</v>
      </c>
    </row>
    <row r="97475" spans="1:1">
      <c r="A97475" s="16">
        <v>42675</v>
      </c>
    </row>
    <row r="97476" spans="1:1">
      <c r="A97476" s="16">
        <v>42676</v>
      </c>
    </row>
    <row r="97477" spans="1:1">
      <c r="A97477" s="16">
        <v>42677</v>
      </c>
    </row>
    <row r="97478" spans="1:1">
      <c r="A97478" s="16">
        <v>42678</v>
      </c>
    </row>
    <row r="113776" spans="1:1">
      <c r="A113776" s="16" t="s">
        <v>0</v>
      </c>
    </row>
    <row r="113777" spans="1:1">
      <c r="A113777" s="16" t="s">
        <v>1</v>
      </c>
    </row>
    <row r="113778" spans="1:1">
      <c r="A113778" s="16">
        <v>42551</v>
      </c>
    </row>
    <row r="113779" spans="1:1">
      <c r="A113779" s="16">
        <v>42552</v>
      </c>
    </row>
    <row r="113780" spans="1:1">
      <c r="A113780" s="16">
        <v>42555</v>
      </c>
    </row>
    <row r="113781" spans="1:1">
      <c r="A113781" s="16">
        <v>42556</v>
      </c>
    </row>
    <row r="113782" spans="1:1">
      <c r="A113782" s="16">
        <v>42557</v>
      </c>
    </row>
    <row r="113783" spans="1:1">
      <c r="A113783" s="16">
        <v>42558</v>
      </c>
    </row>
    <row r="113784" spans="1:1">
      <c r="A113784" s="16">
        <v>42559</v>
      </c>
    </row>
    <row r="113785" spans="1:1">
      <c r="A113785" s="16">
        <v>42562</v>
      </c>
    </row>
    <row r="113786" spans="1:1">
      <c r="A113786" s="16">
        <v>42563</v>
      </c>
    </row>
    <row r="113787" spans="1:1">
      <c r="A113787" s="16">
        <v>42564</v>
      </c>
    </row>
    <row r="113788" spans="1:1">
      <c r="A113788" s="16">
        <v>42565</v>
      </c>
    </row>
    <row r="113789" spans="1:1">
      <c r="A113789" s="16">
        <v>42566</v>
      </c>
    </row>
    <row r="113790" spans="1:1">
      <c r="A113790" s="16">
        <v>42569</v>
      </c>
    </row>
    <row r="113791" spans="1:1">
      <c r="A113791" s="16">
        <v>42570</v>
      </c>
    </row>
    <row r="113792" spans="1:1">
      <c r="A113792" s="16">
        <v>42571</v>
      </c>
    </row>
    <row r="113793" spans="1:1">
      <c r="A113793" s="16">
        <v>42572</v>
      </c>
    </row>
    <row r="113794" spans="1:1">
      <c r="A113794" s="16">
        <v>42573</v>
      </c>
    </row>
    <row r="113795" spans="1:1">
      <c r="A113795" s="16">
        <v>42576</v>
      </c>
    </row>
    <row r="113796" spans="1:1">
      <c r="A113796" s="16">
        <v>42577</v>
      </c>
    </row>
    <row r="113797" spans="1:1">
      <c r="A113797" s="16">
        <v>42578</v>
      </c>
    </row>
    <row r="113798" spans="1:1">
      <c r="A113798" s="16">
        <v>42579</v>
      </c>
    </row>
    <row r="113799" spans="1:1">
      <c r="A113799" s="16">
        <v>42580</v>
      </c>
    </row>
    <row r="113800" spans="1:1">
      <c r="A113800" s="16">
        <v>42583</v>
      </c>
    </row>
    <row r="113801" spans="1:1">
      <c r="A113801" s="16">
        <v>42584</v>
      </c>
    </row>
    <row r="113802" spans="1:1">
      <c r="A113802" s="16">
        <v>42585</v>
      </c>
    </row>
    <row r="113803" spans="1:1">
      <c r="A113803" s="16">
        <v>42586</v>
      </c>
    </row>
    <row r="113804" spans="1:1">
      <c r="A113804" s="16">
        <v>42587</v>
      </c>
    </row>
    <row r="113805" spans="1:1">
      <c r="A113805" s="16">
        <v>42590</v>
      </c>
    </row>
    <row r="113806" spans="1:1">
      <c r="A113806" s="16">
        <v>42591</v>
      </c>
    </row>
    <row r="113807" spans="1:1">
      <c r="A113807" s="16">
        <v>42592</v>
      </c>
    </row>
    <row r="113808" spans="1:1">
      <c r="A113808" s="16">
        <v>42593</v>
      </c>
    </row>
    <row r="113809" spans="1:1">
      <c r="A113809" s="16">
        <v>42594</v>
      </c>
    </row>
    <row r="113810" spans="1:1">
      <c r="A113810" s="16">
        <v>42597</v>
      </c>
    </row>
    <row r="113811" spans="1:1">
      <c r="A113811" s="16">
        <v>42598</v>
      </c>
    </row>
    <row r="113812" spans="1:1">
      <c r="A113812" s="16">
        <v>42599</v>
      </c>
    </row>
    <row r="113813" spans="1:1">
      <c r="A113813" s="16">
        <v>42600</v>
      </c>
    </row>
    <row r="113814" spans="1:1">
      <c r="A113814" s="16">
        <v>42601</v>
      </c>
    </row>
    <row r="113815" spans="1:1">
      <c r="A113815" s="16">
        <v>42604</v>
      </c>
    </row>
    <row r="113816" spans="1:1">
      <c r="A113816" s="16">
        <v>42605</v>
      </c>
    </row>
    <row r="113817" spans="1:1">
      <c r="A113817" s="16">
        <v>42606</v>
      </c>
    </row>
    <row r="113818" spans="1:1">
      <c r="A113818" s="16">
        <v>42607</v>
      </c>
    </row>
    <row r="113819" spans="1:1">
      <c r="A113819" s="16">
        <v>42608</v>
      </c>
    </row>
    <row r="113820" spans="1:1">
      <c r="A113820" s="16">
        <v>42611</v>
      </c>
    </row>
    <row r="113821" spans="1:1">
      <c r="A113821" s="16">
        <v>42612</v>
      </c>
    </row>
    <row r="113822" spans="1:1">
      <c r="A113822" s="16">
        <v>42613</v>
      </c>
    </row>
    <row r="113823" spans="1:1">
      <c r="A113823" s="16">
        <v>42614</v>
      </c>
    </row>
    <row r="113824" spans="1:1">
      <c r="A113824" s="16">
        <v>42615</v>
      </c>
    </row>
    <row r="113825" spans="1:1">
      <c r="A113825" s="16">
        <v>42618</v>
      </c>
    </row>
    <row r="113826" spans="1:1">
      <c r="A113826" s="16">
        <v>42619</v>
      </c>
    </row>
    <row r="113827" spans="1:1">
      <c r="A113827" s="16">
        <v>42620</v>
      </c>
    </row>
    <row r="113828" spans="1:1">
      <c r="A113828" s="16">
        <v>42621</v>
      </c>
    </row>
    <row r="113829" spans="1:1">
      <c r="A113829" s="16">
        <v>42622</v>
      </c>
    </row>
    <row r="113830" spans="1:1">
      <c r="A113830" s="16">
        <v>42625</v>
      </c>
    </row>
    <row r="113831" spans="1:1">
      <c r="A113831" s="16">
        <v>42626</v>
      </c>
    </row>
    <row r="113832" spans="1:1">
      <c r="A113832" s="16">
        <v>42627</v>
      </c>
    </row>
    <row r="113833" spans="1:1">
      <c r="A113833" s="16">
        <v>42632</v>
      </c>
    </row>
    <row r="113834" spans="1:1">
      <c r="A113834" s="16">
        <v>42633</v>
      </c>
    </row>
    <row r="113835" spans="1:1">
      <c r="A113835" s="16">
        <v>42634</v>
      </c>
    </row>
    <row r="113836" spans="1:1">
      <c r="A113836" s="16">
        <v>42635</v>
      </c>
    </row>
    <row r="113837" spans="1:1">
      <c r="A113837" s="16">
        <v>42636</v>
      </c>
    </row>
    <row r="113838" spans="1:1">
      <c r="A113838" s="16">
        <v>42639</v>
      </c>
    </row>
    <row r="113839" spans="1:1">
      <c r="A113839" s="16">
        <v>42640</v>
      </c>
    </row>
    <row r="113840" spans="1:1">
      <c r="A113840" s="16">
        <v>42641</v>
      </c>
    </row>
    <row r="113841" spans="1:1">
      <c r="A113841" s="16">
        <v>42642</v>
      </c>
    </row>
    <row r="113842" spans="1:1">
      <c r="A113842" s="16">
        <v>42643</v>
      </c>
    </row>
    <row r="113843" spans="1:1">
      <c r="A113843" s="16">
        <v>42653</v>
      </c>
    </row>
    <row r="113844" spans="1:1">
      <c r="A113844" s="16">
        <v>42654</v>
      </c>
    </row>
    <row r="113845" spans="1:1">
      <c r="A113845" s="16">
        <v>42655</v>
      </c>
    </row>
    <row r="113846" spans="1:1">
      <c r="A113846" s="16">
        <v>42656</v>
      </c>
    </row>
    <row r="113847" spans="1:1">
      <c r="A113847" s="16">
        <v>42657</v>
      </c>
    </row>
    <row r="113848" spans="1:1">
      <c r="A113848" s="16">
        <v>42660</v>
      </c>
    </row>
    <row r="113849" spans="1:1">
      <c r="A113849" s="16">
        <v>42661</v>
      </c>
    </row>
    <row r="113850" spans="1:1">
      <c r="A113850" s="16">
        <v>42662</v>
      </c>
    </row>
    <row r="113851" spans="1:1">
      <c r="A113851" s="16">
        <v>42663</v>
      </c>
    </row>
    <row r="113852" spans="1:1">
      <c r="A113852" s="16">
        <v>42664</v>
      </c>
    </row>
    <row r="113853" spans="1:1">
      <c r="A113853" s="16">
        <v>42667</v>
      </c>
    </row>
    <row r="113854" spans="1:1">
      <c r="A113854" s="16">
        <v>42668</v>
      </c>
    </row>
    <row r="113855" spans="1:1">
      <c r="A113855" s="16">
        <v>42669</v>
      </c>
    </row>
    <row r="113856" spans="1:1">
      <c r="A113856" s="16">
        <v>42670</v>
      </c>
    </row>
    <row r="113857" spans="1:1">
      <c r="A113857" s="16">
        <v>42671</v>
      </c>
    </row>
    <row r="113858" spans="1:1">
      <c r="A113858" s="16">
        <v>42674</v>
      </c>
    </row>
    <row r="113859" spans="1:1">
      <c r="A113859" s="16">
        <v>42675</v>
      </c>
    </row>
    <row r="113860" spans="1:1">
      <c r="A113860" s="16">
        <v>42676</v>
      </c>
    </row>
    <row r="113861" spans="1:1">
      <c r="A113861" s="16">
        <v>42677</v>
      </c>
    </row>
    <row r="113862" spans="1:1">
      <c r="A113862" s="16">
        <v>42678</v>
      </c>
    </row>
    <row r="130160" spans="1:1">
      <c r="A130160" s="16" t="s">
        <v>0</v>
      </c>
    </row>
    <row r="130161" spans="1:1">
      <c r="A130161" s="16" t="s">
        <v>1</v>
      </c>
    </row>
    <row r="130162" spans="1:1">
      <c r="A130162" s="16">
        <v>42551</v>
      </c>
    </row>
    <row r="130163" spans="1:1">
      <c r="A130163" s="16">
        <v>42552</v>
      </c>
    </row>
    <row r="130164" spans="1:1">
      <c r="A130164" s="16">
        <v>42555</v>
      </c>
    </row>
    <row r="130165" spans="1:1">
      <c r="A130165" s="16">
        <v>42556</v>
      </c>
    </row>
    <row r="130166" spans="1:1">
      <c r="A130166" s="16">
        <v>42557</v>
      </c>
    </row>
    <row r="130167" spans="1:1">
      <c r="A130167" s="16">
        <v>42558</v>
      </c>
    </row>
    <row r="130168" spans="1:1">
      <c r="A130168" s="16">
        <v>42559</v>
      </c>
    </row>
    <row r="130169" spans="1:1">
      <c r="A130169" s="16">
        <v>42562</v>
      </c>
    </row>
    <row r="130170" spans="1:1">
      <c r="A130170" s="16">
        <v>42563</v>
      </c>
    </row>
    <row r="130171" spans="1:1">
      <c r="A130171" s="16">
        <v>42564</v>
      </c>
    </row>
    <row r="130172" spans="1:1">
      <c r="A130172" s="16">
        <v>42565</v>
      </c>
    </row>
    <row r="130173" spans="1:1">
      <c r="A130173" s="16">
        <v>42566</v>
      </c>
    </row>
    <row r="130174" spans="1:1">
      <c r="A130174" s="16">
        <v>42569</v>
      </c>
    </row>
    <row r="130175" spans="1:1">
      <c r="A130175" s="16">
        <v>42570</v>
      </c>
    </row>
    <row r="130176" spans="1:1">
      <c r="A130176" s="16">
        <v>42571</v>
      </c>
    </row>
    <row r="130177" spans="1:1">
      <c r="A130177" s="16">
        <v>42572</v>
      </c>
    </row>
    <row r="130178" spans="1:1">
      <c r="A130178" s="16">
        <v>42573</v>
      </c>
    </row>
    <row r="130179" spans="1:1">
      <c r="A130179" s="16">
        <v>42576</v>
      </c>
    </row>
    <row r="130180" spans="1:1">
      <c r="A130180" s="16">
        <v>42577</v>
      </c>
    </row>
    <row r="130181" spans="1:1">
      <c r="A130181" s="16">
        <v>42578</v>
      </c>
    </row>
    <row r="130182" spans="1:1">
      <c r="A130182" s="16">
        <v>42579</v>
      </c>
    </row>
    <row r="130183" spans="1:1">
      <c r="A130183" s="16">
        <v>42580</v>
      </c>
    </row>
    <row r="130184" spans="1:1">
      <c r="A130184" s="16">
        <v>42583</v>
      </c>
    </row>
    <row r="130185" spans="1:1">
      <c r="A130185" s="16">
        <v>42584</v>
      </c>
    </row>
    <row r="130186" spans="1:1">
      <c r="A130186" s="16">
        <v>42585</v>
      </c>
    </row>
    <row r="130187" spans="1:1">
      <c r="A130187" s="16">
        <v>42586</v>
      </c>
    </row>
    <row r="130188" spans="1:1">
      <c r="A130188" s="16">
        <v>42587</v>
      </c>
    </row>
    <row r="130189" spans="1:1">
      <c r="A130189" s="16">
        <v>42590</v>
      </c>
    </row>
    <row r="130190" spans="1:1">
      <c r="A130190" s="16">
        <v>42591</v>
      </c>
    </row>
    <row r="130191" spans="1:1">
      <c r="A130191" s="16">
        <v>42592</v>
      </c>
    </row>
    <row r="130192" spans="1:1">
      <c r="A130192" s="16">
        <v>42593</v>
      </c>
    </row>
    <row r="130193" spans="1:1">
      <c r="A130193" s="16">
        <v>42594</v>
      </c>
    </row>
    <row r="130194" spans="1:1">
      <c r="A130194" s="16">
        <v>42597</v>
      </c>
    </row>
    <row r="130195" spans="1:1">
      <c r="A130195" s="16">
        <v>42598</v>
      </c>
    </row>
    <row r="130196" spans="1:1">
      <c r="A130196" s="16">
        <v>42599</v>
      </c>
    </row>
    <row r="130197" spans="1:1">
      <c r="A130197" s="16">
        <v>42600</v>
      </c>
    </row>
    <row r="130198" spans="1:1">
      <c r="A130198" s="16">
        <v>42601</v>
      </c>
    </row>
    <row r="130199" spans="1:1">
      <c r="A130199" s="16">
        <v>42604</v>
      </c>
    </row>
    <row r="130200" spans="1:1">
      <c r="A130200" s="16">
        <v>42605</v>
      </c>
    </row>
    <row r="130201" spans="1:1">
      <c r="A130201" s="16">
        <v>42606</v>
      </c>
    </row>
    <row r="130202" spans="1:1">
      <c r="A130202" s="16">
        <v>42607</v>
      </c>
    </row>
    <row r="130203" spans="1:1">
      <c r="A130203" s="16">
        <v>42608</v>
      </c>
    </row>
    <row r="130204" spans="1:1">
      <c r="A130204" s="16">
        <v>42611</v>
      </c>
    </row>
    <row r="130205" spans="1:1">
      <c r="A130205" s="16">
        <v>42612</v>
      </c>
    </row>
    <row r="130206" spans="1:1">
      <c r="A130206" s="16">
        <v>42613</v>
      </c>
    </row>
    <row r="130207" spans="1:1">
      <c r="A130207" s="16">
        <v>42614</v>
      </c>
    </row>
    <row r="130208" spans="1:1">
      <c r="A130208" s="16">
        <v>42615</v>
      </c>
    </row>
    <row r="130209" spans="1:1">
      <c r="A130209" s="16">
        <v>42618</v>
      </c>
    </row>
    <row r="130210" spans="1:1">
      <c r="A130210" s="16">
        <v>42619</v>
      </c>
    </row>
    <row r="130211" spans="1:1">
      <c r="A130211" s="16">
        <v>42620</v>
      </c>
    </row>
    <row r="130212" spans="1:1">
      <c r="A130212" s="16">
        <v>42621</v>
      </c>
    </row>
    <row r="130213" spans="1:1">
      <c r="A130213" s="16">
        <v>42622</v>
      </c>
    </row>
    <row r="130214" spans="1:1">
      <c r="A130214" s="16">
        <v>42625</v>
      </c>
    </row>
    <row r="130215" spans="1:1">
      <c r="A130215" s="16">
        <v>42626</v>
      </c>
    </row>
    <row r="130216" spans="1:1">
      <c r="A130216" s="16">
        <v>42627</v>
      </c>
    </row>
    <row r="130217" spans="1:1">
      <c r="A130217" s="16">
        <v>42632</v>
      </c>
    </row>
    <row r="130218" spans="1:1">
      <c r="A130218" s="16">
        <v>42633</v>
      </c>
    </row>
    <row r="130219" spans="1:1">
      <c r="A130219" s="16">
        <v>42634</v>
      </c>
    </row>
    <row r="130220" spans="1:1">
      <c r="A130220" s="16">
        <v>42635</v>
      </c>
    </row>
    <row r="130221" spans="1:1">
      <c r="A130221" s="16">
        <v>42636</v>
      </c>
    </row>
    <row r="130222" spans="1:1">
      <c r="A130222" s="16">
        <v>42639</v>
      </c>
    </row>
    <row r="130223" spans="1:1">
      <c r="A130223" s="16">
        <v>42640</v>
      </c>
    </row>
    <row r="130224" spans="1:1">
      <c r="A130224" s="16">
        <v>42641</v>
      </c>
    </row>
    <row r="130225" spans="1:1">
      <c r="A130225" s="16">
        <v>42642</v>
      </c>
    </row>
    <row r="130226" spans="1:1">
      <c r="A130226" s="16">
        <v>42643</v>
      </c>
    </row>
    <row r="130227" spans="1:1">
      <c r="A130227" s="16">
        <v>42653</v>
      </c>
    </row>
    <row r="130228" spans="1:1">
      <c r="A130228" s="16">
        <v>42654</v>
      </c>
    </row>
    <row r="130229" spans="1:1">
      <c r="A130229" s="16">
        <v>42655</v>
      </c>
    </row>
    <row r="130230" spans="1:1">
      <c r="A130230" s="16">
        <v>42656</v>
      </c>
    </row>
    <row r="130231" spans="1:1">
      <c r="A130231" s="16">
        <v>42657</v>
      </c>
    </row>
    <row r="130232" spans="1:1">
      <c r="A130232" s="16">
        <v>42660</v>
      </c>
    </row>
    <row r="130233" spans="1:1">
      <c r="A130233" s="16">
        <v>42661</v>
      </c>
    </row>
    <row r="130234" spans="1:1">
      <c r="A130234" s="16">
        <v>42662</v>
      </c>
    </row>
    <row r="130235" spans="1:1">
      <c r="A130235" s="16">
        <v>42663</v>
      </c>
    </row>
    <row r="130236" spans="1:1">
      <c r="A130236" s="16">
        <v>42664</v>
      </c>
    </row>
    <row r="130237" spans="1:1">
      <c r="A130237" s="16">
        <v>42667</v>
      </c>
    </row>
    <row r="130238" spans="1:1">
      <c r="A130238" s="16">
        <v>42668</v>
      </c>
    </row>
    <row r="130239" spans="1:1">
      <c r="A130239" s="16">
        <v>42669</v>
      </c>
    </row>
    <row r="130240" spans="1:1">
      <c r="A130240" s="16">
        <v>42670</v>
      </c>
    </row>
    <row r="130241" spans="1:1">
      <c r="A130241" s="16">
        <v>42671</v>
      </c>
    </row>
    <row r="130242" spans="1:1">
      <c r="A130242" s="16">
        <v>42674</v>
      </c>
    </row>
    <row r="130243" spans="1:1">
      <c r="A130243" s="16">
        <v>42675</v>
      </c>
    </row>
    <row r="130244" spans="1:1">
      <c r="A130244" s="16">
        <v>42676</v>
      </c>
    </row>
    <row r="130245" spans="1:1">
      <c r="A130245" s="16">
        <v>42677</v>
      </c>
    </row>
    <row r="130246" spans="1:1">
      <c r="A130246" s="16">
        <v>42678</v>
      </c>
    </row>
    <row r="146544" spans="1:1">
      <c r="A146544" s="16" t="s">
        <v>0</v>
      </c>
    </row>
    <row r="146545" spans="1:1">
      <c r="A146545" s="16" t="s">
        <v>1</v>
      </c>
    </row>
    <row r="146546" spans="1:1">
      <c r="A146546" s="16">
        <v>42551</v>
      </c>
    </row>
    <row r="146547" spans="1:1">
      <c r="A146547" s="16">
        <v>42552</v>
      </c>
    </row>
    <row r="146548" spans="1:1">
      <c r="A146548" s="16">
        <v>42555</v>
      </c>
    </row>
    <row r="146549" spans="1:1">
      <c r="A146549" s="16">
        <v>42556</v>
      </c>
    </row>
    <row r="146550" spans="1:1">
      <c r="A146550" s="16">
        <v>42557</v>
      </c>
    </row>
    <row r="146551" spans="1:1">
      <c r="A146551" s="16">
        <v>42558</v>
      </c>
    </row>
    <row r="146552" spans="1:1">
      <c r="A146552" s="16">
        <v>42559</v>
      </c>
    </row>
    <row r="146553" spans="1:1">
      <c r="A146553" s="16">
        <v>42562</v>
      </c>
    </row>
    <row r="146554" spans="1:1">
      <c r="A146554" s="16">
        <v>42563</v>
      </c>
    </row>
    <row r="146555" spans="1:1">
      <c r="A146555" s="16">
        <v>42564</v>
      </c>
    </row>
    <row r="146556" spans="1:1">
      <c r="A146556" s="16">
        <v>42565</v>
      </c>
    </row>
    <row r="146557" spans="1:1">
      <c r="A146557" s="16">
        <v>42566</v>
      </c>
    </row>
    <row r="146558" spans="1:1">
      <c r="A146558" s="16">
        <v>42569</v>
      </c>
    </row>
    <row r="146559" spans="1:1">
      <c r="A146559" s="16">
        <v>42570</v>
      </c>
    </row>
    <row r="146560" spans="1:1">
      <c r="A146560" s="16">
        <v>42571</v>
      </c>
    </row>
    <row r="146561" spans="1:1">
      <c r="A146561" s="16">
        <v>42572</v>
      </c>
    </row>
    <row r="146562" spans="1:1">
      <c r="A146562" s="16">
        <v>42573</v>
      </c>
    </row>
    <row r="146563" spans="1:1">
      <c r="A146563" s="16">
        <v>42576</v>
      </c>
    </row>
    <row r="146564" spans="1:1">
      <c r="A146564" s="16">
        <v>42577</v>
      </c>
    </row>
    <row r="146565" spans="1:1">
      <c r="A146565" s="16">
        <v>42578</v>
      </c>
    </row>
    <row r="146566" spans="1:1">
      <c r="A146566" s="16">
        <v>42579</v>
      </c>
    </row>
    <row r="146567" spans="1:1">
      <c r="A146567" s="16">
        <v>42580</v>
      </c>
    </row>
    <row r="146568" spans="1:1">
      <c r="A146568" s="16">
        <v>42583</v>
      </c>
    </row>
    <row r="146569" spans="1:1">
      <c r="A146569" s="16">
        <v>42584</v>
      </c>
    </row>
    <row r="146570" spans="1:1">
      <c r="A146570" s="16">
        <v>42585</v>
      </c>
    </row>
    <row r="146571" spans="1:1">
      <c r="A146571" s="16">
        <v>42586</v>
      </c>
    </row>
    <row r="146572" spans="1:1">
      <c r="A146572" s="16">
        <v>42587</v>
      </c>
    </row>
    <row r="146573" spans="1:1">
      <c r="A146573" s="16">
        <v>42590</v>
      </c>
    </row>
    <row r="146574" spans="1:1">
      <c r="A146574" s="16">
        <v>42591</v>
      </c>
    </row>
    <row r="146575" spans="1:1">
      <c r="A146575" s="16">
        <v>42592</v>
      </c>
    </row>
    <row r="146576" spans="1:1">
      <c r="A146576" s="16">
        <v>42593</v>
      </c>
    </row>
    <row r="146577" spans="1:1">
      <c r="A146577" s="16">
        <v>42594</v>
      </c>
    </row>
    <row r="146578" spans="1:1">
      <c r="A146578" s="16">
        <v>42597</v>
      </c>
    </row>
    <row r="146579" spans="1:1">
      <c r="A146579" s="16">
        <v>42598</v>
      </c>
    </row>
    <row r="146580" spans="1:1">
      <c r="A146580" s="16">
        <v>42599</v>
      </c>
    </row>
    <row r="146581" spans="1:1">
      <c r="A146581" s="16">
        <v>42600</v>
      </c>
    </row>
    <row r="146582" spans="1:1">
      <c r="A146582" s="16">
        <v>42601</v>
      </c>
    </row>
    <row r="146583" spans="1:1">
      <c r="A146583" s="16">
        <v>42604</v>
      </c>
    </row>
    <row r="146584" spans="1:1">
      <c r="A146584" s="16">
        <v>42605</v>
      </c>
    </row>
    <row r="146585" spans="1:1">
      <c r="A146585" s="16">
        <v>42606</v>
      </c>
    </row>
    <row r="146586" spans="1:1">
      <c r="A146586" s="16">
        <v>42607</v>
      </c>
    </row>
    <row r="146587" spans="1:1">
      <c r="A146587" s="16">
        <v>42608</v>
      </c>
    </row>
    <row r="146588" spans="1:1">
      <c r="A146588" s="16">
        <v>42611</v>
      </c>
    </row>
    <row r="146589" spans="1:1">
      <c r="A146589" s="16">
        <v>42612</v>
      </c>
    </row>
    <row r="146590" spans="1:1">
      <c r="A146590" s="16">
        <v>42613</v>
      </c>
    </row>
    <row r="146591" spans="1:1">
      <c r="A146591" s="16">
        <v>42614</v>
      </c>
    </row>
    <row r="146592" spans="1:1">
      <c r="A146592" s="16">
        <v>42615</v>
      </c>
    </row>
    <row r="146593" spans="1:1">
      <c r="A146593" s="16">
        <v>42618</v>
      </c>
    </row>
    <row r="146594" spans="1:1">
      <c r="A146594" s="16">
        <v>42619</v>
      </c>
    </row>
    <row r="146595" spans="1:1">
      <c r="A146595" s="16">
        <v>42620</v>
      </c>
    </row>
    <row r="146596" spans="1:1">
      <c r="A146596" s="16">
        <v>42621</v>
      </c>
    </row>
    <row r="146597" spans="1:1">
      <c r="A146597" s="16">
        <v>42622</v>
      </c>
    </row>
    <row r="146598" spans="1:1">
      <c r="A146598" s="16">
        <v>42625</v>
      </c>
    </row>
    <row r="146599" spans="1:1">
      <c r="A146599" s="16">
        <v>42626</v>
      </c>
    </row>
    <row r="146600" spans="1:1">
      <c r="A146600" s="16">
        <v>42627</v>
      </c>
    </row>
    <row r="146601" spans="1:1">
      <c r="A146601" s="16">
        <v>42632</v>
      </c>
    </row>
    <row r="146602" spans="1:1">
      <c r="A146602" s="16">
        <v>42633</v>
      </c>
    </row>
    <row r="146603" spans="1:1">
      <c r="A146603" s="16">
        <v>42634</v>
      </c>
    </row>
    <row r="146604" spans="1:1">
      <c r="A146604" s="16">
        <v>42635</v>
      </c>
    </row>
    <row r="146605" spans="1:1">
      <c r="A146605" s="16">
        <v>42636</v>
      </c>
    </row>
    <row r="146606" spans="1:1">
      <c r="A146606" s="16">
        <v>42639</v>
      </c>
    </row>
    <row r="146607" spans="1:1">
      <c r="A146607" s="16">
        <v>42640</v>
      </c>
    </row>
    <row r="146608" spans="1:1">
      <c r="A146608" s="16">
        <v>42641</v>
      </c>
    </row>
    <row r="146609" spans="1:1">
      <c r="A146609" s="16">
        <v>42642</v>
      </c>
    </row>
    <row r="146610" spans="1:1">
      <c r="A146610" s="16">
        <v>42643</v>
      </c>
    </row>
    <row r="146611" spans="1:1">
      <c r="A146611" s="16">
        <v>42653</v>
      </c>
    </row>
    <row r="146612" spans="1:1">
      <c r="A146612" s="16">
        <v>42654</v>
      </c>
    </row>
    <row r="146613" spans="1:1">
      <c r="A146613" s="16">
        <v>42655</v>
      </c>
    </row>
    <row r="146614" spans="1:1">
      <c r="A146614" s="16">
        <v>42656</v>
      </c>
    </row>
    <row r="146615" spans="1:1">
      <c r="A146615" s="16">
        <v>42657</v>
      </c>
    </row>
    <row r="146616" spans="1:1">
      <c r="A146616" s="16">
        <v>42660</v>
      </c>
    </row>
    <row r="146617" spans="1:1">
      <c r="A146617" s="16">
        <v>42661</v>
      </c>
    </row>
    <row r="146618" spans="1:1">
      <c r="A146618" s="16">
        <v>42662</v>
      </c>
    </row>
    <row r="146619" spans="1:1">
      <c r="A146619" s="16">
        <v>42663</v>
      </c>
    </row>
    <row r="146620" spans="1:1">
      <c r="A146620" s="16">
        <v>42664</v>
      </c>
    </row>
    <row r="146621" spans="1:1">
      <c r="A146621" s="16">
        <v>42667</v>
      </c>
    </row>
    <row r="146622" spans="1:1">
      <c r="A146622" s="16">
        <v>42668</v>
      </c>
    </row>
    <row r="146623" spans="1:1">
      <c r="A146623" s="16">
        <v>42669</v>
      </c>
    </row>
    <row r="146624" spans="1:1">
      <c r="A146624" s="16">
        <v>42670</v>
      </c>
    </row>
    <row r="146625" spans="1:1">
      <c r="A146625" s="16">
        <v>42671</v>
      </c>
    </row>
    <row r="146626" spans="1:1">
      <c r="A146626" s="16">
        <v>42674</v>
      </c>
    </row>
    <row r="146627" spans="1:1">
      <c r="A146627" s="16">
        <v>42675</v>
      </c>
    </row>
    <row r="146628" spans="1:1">
      <c r="A146628" s="16">
        <v>42676</v>
      </c>
    </row>
    <row r="146629" spans="1:1">
      <c r="A146629" s="16">
        <v>42677</v>
      </c>
    </row>
    <row r="146630" spans="1:1">
      <c r="A146630" s="16">
        <v>42678</v>
      </c>
    </row>
    <row r="162928" spans="1:1">
      <c r="A162928" s="16" t="s">
        <v>0</v>
      </c>
    </row>
    <row r="162929" spans="1:1">
      <c r="A162929" s="16" t="s">
        <v>1</v>
      </c>
    </row>
    <row r="162930" spans="1:1">
      <c r="A162930" s="16">
        <v>42551</v>
      </c>
    </row>
    <row r="162931" spans="1:1">
      <c r="A162931" s="16">
        <v>42552</v>
      </c>
    </row>
    <row r="162932" spans="1:1">
      <c r="A162932" s="16">
        <v>42555</v>
      </c>
    </row>
    <row r="162933" spans="1:1">
      <c r="A162933" s="16">
        <v>42556</v>
      </c>
    </row>
    <row r="162934" spans="1:1">
      <c r="A162934" s="16">
        <v>42557</v>
      </c>
    </row>
    <row r="162935" spans="1:1">
      <c r="A162935" s="16">
        <v>42558</v>
      </c>
    </row>
    <row r="162936" spans="1:1">
      <c r="A162936" s="16">
        <v>42559</v>
      </c>
    </row>
    <row r="162937" spans="1:1">
      <c r="A162937" s="16">
        <v>42562</v>
      </c>
    </row>
    <row r="162938" spans="1:1">
      <c r="A162938" s="16">
        <v>42563</v>
      </c>
    </row>
    <row r="162939" spans="1:1">
      <c r="A162939" s="16">
        <v>42564</v>
      </c>
    </row>
    <row r="162940" spans="1:1">
      <c r="A162940" s="16">
        <v>42565</v>
      </c>
    </row>
    <row r="162941" spans="1:1">
      <c r="A162941" s="16">
        <v>42566</v>
      </c>
    </row>
    <row r="162942" spans="1:1">
      <c r="A162942" s="16">
        <v>42569</v>
      </c>
    </row>
    <row r="162943" spans="1:1">
      <c r="A162943" s="16">
        <v>42570</v>
      </c>
    </row>
    <row r="162944" spans="1:1">
      <c r="A162944" s="16">
        <v>42571</v>
      </c>
    </row>
    <row r="162945" spans="1:1">
      <c r="A162945" s="16">
        <v>42572</v>
      </c>
    </row>
    <row r="162946" spans="1:1">
      <c r="A162946" s="16">
        <v>42573</v>
      </c>
    </row>
    <row r="162947" spans="1:1">
      <c r="A162947" s="16">
        <v>42576</v>
      </c>
    </row>
    <row r="162948" spans="1:1">
      <c r="A162948" s="16">
        <v>42577</v>
      </c>
    </row>
    <row r="162949" spans="1:1">
      <c r="A162949" s="16">
        <v>42578</v>
      </c>
    </row>
    <row r="162950" spans="1:1">
      <c r="A162950" s="16">
        <v>42579</v>
      </c>
    </row>
    <row r="162951" spans="1:1">
      <c r="A162951" s="16">
        <v>42580</v>
      </c>
    </row>
    <row r="162952" spans="1:1">
      <c r="A162952" s="16">
        <v>42583</v>
      </c>
    </row>
    <row r="162953" spans="1:1">
      <c r="A162953" s="16">
        <v>42584</v>
      </c>
    </row>
    <row r="162954" spans="1:1">
      <c r="A162954" s="16">
        <v>42585</v>
      </c>
    </row>
    <row r="162955" spans="1:1">
      <c r="A162955" s="16">
        <v>42586</v>
      </c>
    </row>
    <row r="162956" spans="1:1">
      <c r="A162956" s="16">
        <v>42587</v>
      </c>
    </row>
    <row r="162957" spans="1:1">
      <c r="A162957" s="16">
        <v>42590</v>
      </c>
    </row>
    <row r="162958" spans="1:1">
      <c r="A162958" s="16">
        <v>42591</v>
      </c>
    </row>
    <row r="162959" spans="1:1">
      <c r="A162959" s="16">
        <v>42592</v>
      </c>
    </row>
    <row r="162960" spans="1:1">
      <c r="A162960" s="16">
        <v>42593</v>
      </c>
    </row>
    <row r="162961" spans="1:1">
      <c r="A162961" s="16">
        <v>42594</v>
      </c>
    </row>
    <row r="162962" spans="1:1">
      <c r="A162962" s="16">
        <v>42597</v>
      </c>
    </row>
    <row r="162963" spans="1:1">
      <c r="A162963" s="16">
        <v>42598</v>
      </c>
    </row>
    <row r="162964" spans="1:1">
      <c r="A162964" s="16">
        <v>42599</v>
      </c>
    </row>
    <row r="162965" spans="1:1">
      <c r="A162965" s="16">
        <v>42600</v>
      </c>
    </row>
    <row r="162966" spans="1:1">
      <c r="A162966" s="16">
        <v>42601</v>
      </c>
    </row>
    <row r="162967" spans="1:1">
      <c r="A162967" s="16">
        <v>42604</v>
      </c>
    </row>
    <row r="162968" spans="1:1">
      <c r="A162968" s="16">
        <v>42605</v>
      </c>
    </row>
    <row r="162969" spans="1:1">
      <c r="A162969" s="16">
        <v>42606</v>
      </c>
    </row>
    <row r="162970" spans="1:1">
      <c r="A162970" s="16">
        <v>42607</v>
      </c>
    </row>
    <row r="162971" spans="1:1">
      <c r="A162971" s="16">
        <v>42608</v>
      </c>
    </row>
    <row r="162972" spans="1:1">
      <c r="A162972" s="16">
        <v>42611</v>
      </c>
    </row>
    <row r="162973" spans="1:1">
      <c r="A162973" s="16">
        <v>42612</v>
      </c>
    </row>
    <row r="162974" spans="1:1">
      <c r="A162974" s="16">
        <v>42613</v>
      </c>
    </row>
    <row r="162975" spans="1:1">
      <c r="A162975" s="16">
        <v>42614</v>
      </c>
    </row>
    <row r="162976" spans="1:1">
      <c r="A162976" s="16">
        <v>42615</v>
      </c>
    </row>
    <row r="162977" spans="1:1">
      <c r="A162977" s="16">
        <v>42618</v>
      </c>
    </row>
    <row r="162978" spans="1:1">
      <c r="A162978" s="16">
        <v>42619</v>
      </c>
    </row>
    <row r="162979" spans="1:1">
      <c r="A162979" s="16">
        <v>42620</v>
      </c>
    </row>
    <row r="162980" spans="1:1">
      <c r="A162980" s="16">
        <v>42621</v>
      </c>
    </row>
    <row r="162981" spans="1:1">
      <c r="A162981" s="16">
        <v>42622</v>
      </c>
    </row>
    <row r="162982" spans="1:1">
      <c r="A162982" s="16">
        <v>42625</v>
      </c>
    </row>
    <row r="162983" spans="1:1">
      <c r="A162983" s="16">
        <v>42626</v>
      </c>
    </row>
    <row r="162984" spans="1:1">
      <c r="A162984" s="16">
        <v>42627</v>
      </c>
    </row>
    <row r="162985" spans="1:1">
      <c r="A162985" s="16">
        <v>42632</v>
      </c>
    </row>
    <row r="162986" spans="1:1">
      <c r="A162986" s="16">
        <v>42633</v>
      </c>
    </row>
    <row r="162987" spans="1:1">
      <c r="A162987" s="16">
        <v>42634</v>
      </c>
    </row>
    <row r="162988" spans="1:1">
      <c r="A162988" s="16">
        <v>42635</v>
      </c>
    </row>
    <row r="162989" spans="1:1">
      <c r="A162989" s="16">
        <v>42636</v>
      </c>
    </row>
    <row r="162990" spans="1:1">
      <c r="A162990" s="16">
        <v>42639</v>
      </c>
    </row>
    <row r="162991" spans="1:1">
      <c r="A162991" s="16">
        <v>42640</v>
      </c>
    </row>
    <row r="162992" spans="1:1">
      <c r="A162992" s="16">
        <v>42641</v>
      </c>
    </row>
    <row r="162993" spans="1:1">
      <c r="A162993" s="16">
        <v>42642</v>
      </c>
    </row>
    <row r="162994" spans="1:1">
      <c r="A162994" s="16">
        <v>42643</v>
      </c>
    </row>
    <row r="162995" spans="1:1">
      <c r="A162995" s="16">
        <v>42653</v>
      </c>
    </row>
    <row r="162996" spans="1:1">
      <c r="A162996" s="16">
        <v>42654</v>
      </c>
    </row>
    <row r="162997" spans="1:1">
      <c r="A162997" s="16">
        <v>42655</v>
      </c>
    </row>
    <row r="162998" spans="1:1">
      <c r="A162998" s="16">
        <v>42656</v>
      </c>
    </row>
    <row r="162999" spans="1:1">
      <c r="A162999" s="16">
        <v>42657</v>
      </c>
    </row>
    <row r="163000" spans="1:1">
      <c r="A163000" s="16">
        <v>42660</v>
      </c>
    </row>
    <row r="163001" spans="1:1">
      <c r="A163001" s="16">
        <v>42661</v>
      </c>
    </row>
    <row r="163002" spans="1:1">
      <c r="A163002" s="16">
        <v>42662</v>
      </c>
    </row>
    <row r="163003" spans="1:1">
      <c r="A163003" s="16">
        <v>42663</v>
      </c>
    </row>
    <row r="163004" spans="1:1">
      <c r="A163004" s="16">
        <v>42664</v>
      </c>
    </row>
    <row r="163005" spans="1:1">
      <c r="A163005" s="16">
        <v>42667</v>
      </c>
    </row>
    <row r="163006" spans="1:1">
      <c r="A163006" s="16">
        <v>42668</v>
      </c>
    </row>
    <row r="163007" spans="1:1">
      <c r="A163007" s="16">
        <v>42669</v>
      </c>
    </row>
    <row r="163008" spans="1:1">
      <c r="A163008" s="16">
        <v>42670</v>
      </c>
    </row>
    <row r="163009" spans="1:1">
      <c r="A163009" s="16">
        <v>42671</v>
      </c>
    </row>
    <row r="163010" spans="1:1">
      <c r="A163010" s="16">
        <v>42674</v>
      </c>
    </row>
    <row r="163011" spans="1:1">
      <c r="A163011" s="16">
        <v>42675</v>
      </c>
    </row>
    <row r="163012" spans="1:1">
      <c r="A163012" s="16">
        <v>42676</v>
      </c>
    </row>
    <row r="163013" spans="1:1">
      <c r="A163013" s="16">
        <v>42677</v>
      </c>
    </row>
    <row r="163014" spans="1:1">
      <c r="A163014" s="16">
        <v>42678</v>
      </c>
    </row>
    <row r="179312" spans="1:1">
      <c r="A179312" s="16" t="s">
        <v>0</v>
      </c>
    </row>
    <row r="179313" spans="1:1">
      <c r="A179313" s="16" t="s">
        <v>1</v>
      </c>
    </row>
    <row r="179314" spans="1:1">
      <c r="A179314" s="16">
        <v>42551</v>
      </c>
    </row>
    <row r="179315" spans="1:1">
      <c r="A179315" s="16">
        <v>42552</v>
      </c>
    </row>
    <row r="179316" spans="1:1">
      <c r="A179316" s="16">
        <v>42555</v>
      </c>
    </row>
    <row r="179317" spans="1:1">
      <c r="A179317" s="16">
        <v>42556</v>
      </c>
    </row>
    <row r="179318" spans="1:1">
      <c r="A179318" s="16">
        <v>42557</v>
      </c>
    </row>
    <row r="179319" spans="1:1">
      <c r="A179319" s="16">
        <v>42558</v>
      </c>
    </row>
    <row r="179320" spans="1:1">
      <c r="A179320" s="16">
        <v>42559</v>
      </c>
    </row>
    <row r="179321" spans="1:1">
      <c r="A179321" s="16">
        <v>42562</v>
      </c>
    </row>
    <row r="179322" spans="1:1">
      <c r="A179322" s="16">
        <v>42563</v>
      </c>
    </row>
    <row r="179323" spans="1:1">
      <c r="A179323" s="16">
        <v>42564</v>
      </c>
    </row>
    <row r="179324" spans="1:1">
      <c r="A179324" s="16">
        <v>42565</v>
      </c>
    </row>
    <row r="179325" spans="1:1">
      <c r="A179325" s="16">
        <v>42566</v>
      </c>
    </row>
    <row r="179326" spans="1:1">
      <c r="A179326" s="16">
        <v>42569</v>
      </c>
    </row>
    <row r="179327" spans="1:1">
      <c r="A179327" s="16">
        <v>42570</v>
      </c>
    </row>
    <row r="179328" spans="1:1">
      <c r="A179328" s="16">
        <v>42571</v>
      </c>
    </row>
    <row r="179329" spans="1:1">
      <c r="A179329" s="16">
        <v>42572</v>
      </c>
    </row>
    <row r="179330" spans="1:1">
      <c r="A179330" s="16">
        <v>42573</v>
      </c>
    </row>
    <row r="179331" spans="1:1">
      <c r="A179331" s="16">
        <v>42576</v>
      </c>
    </row>
    <row r="179332" spans="1:1">
      <c r="A179332" s="16">
        <v>42577</v>
      </c>
    </row>
    <row r="179333" spans="1:1">
      <c r="A179333" s="16">
        <v>42578</v>
      </c>
    </row>
    <row r="179334" spans="1:1">
      <c r="A179334" s="16">
        <v>42579</v>
      </c>
    </row>
    <row r="179335" spans="1:1">
      <c r="A179335" s="16">
        <v>42580</v>
      </c>
    </row>
    <row r="179336" spans="1:1">
      <c r="A179336" s="16">
        <v>42583</v>
      </c>
    </row>
    <row r="179337" spans="1:1">
      <c r="A179337" s="16">
        <v>42584</v>
      </c>
    </row>
    <row r="179338" spans="1:1">
      <c r="A179338" s="16">
        <v>42585</v>
      </c>
    </row>
    <row r="179339" spans="1:1">
      <c r="A179339" s="16">
        <v>42586</v>
      </c>
    </row>
    <row r="179340" spans="1:1">
      <c r="A179340" s="16">
        <v>42587</v>
      </c>
    </row>
    <row r="179341" spans="1:1">
      <c r="A179341" s="16">
        <v>42590</v>
      </c>
    </row>
    <row r="179342" spans="1:1">
      <c r="A179342" s="16">
        <v>42591</v>
      </c>
    </row>
    <row r="179343" spans="1:1">
      <c r="A179343" s="16">
        <v>42592</v>
      </c>
    </row>
    <row r="179344" spans="1:1">
      <c r="A179344" s="16">
        <v>42593</v>
      </c>
    </row>
    <row r="179345" spans="1:1">
      <c r="A179345" s="16">
        <v>42594</v>
      </c>
    </row>
    <row r="179346" spans="1:1">
      <c r="A179346" s="16">
        <v>42597</v>
      </c>
    </row>
    <row r="179347" spans="1:1">
      <c r="A179347" s="16">
        <v>42598</v>
      </c>
    </row>
    <row r="179348" spans="1:1">
      <c r="A179348" s="16">
        <v>42599</v>
      </c>
    </row>
    <row r="179349" spans="1:1">
      <c r="A179349" s="16">
        <v>42600</v>
      </c>
    </row>
    <row r="179350" spans="1:1">
      <c r="A179350" s="16">
        <v>42601</v>
      </c>
    </row>
    <row r="179351" spans="1:1">
      <c r="A179351" s="16">
        <v>42604</v>
      </c>
    </row>
    <row r="179352" spans="1:1">
      <c r="A179352" s="16">
        <v>42605</v>
      </c>
    </row>
    <row r="179353" spans="1:1">
      <c r="A179353" s="16">
        <v>42606</v>
      </c>
    </row>
    <row r="179354" spans="1:1">
      <c r="A179354" s="16">
        <v>42607</v>
      </c>
    </row>
    <row r="179355" spans="1:1">
      <c r="A179355" s="16">
        <v>42608</v>
      </c>
    </row>
    <row r="179356" spans="1:1">
      <c r="A179356" s="16">
        <v>42611</v>
      </c>
    </row>
    <row r="179357" spans="1:1">
      <c r="A179357" s="16">
        <v>42612</v>
      </c>
    </row>
    <row r="179358" spans="1:1">
      <c r="A179358" s="16">
        <v>42613</v>
      </c>
    </row>
    <row r="179359" spans="1:1">
      <c r="A179359" s="16">
        <v>42614</v>
      </c>
    </row>
    <row r="179360" spans="1:1">
      <c r="A179360" s="16">
        <v>42615</v>
      </c>
    </row>
    <row r="179361" spans="1:1">
      <c r="A179361" s="16">
        <v>42618</v>
      </c>
    </row>
    <row r="179362" spans="1:1">
      <c r="A179362" s="16">
        <v>42619</v>
      </c>
    </row>
    <row r="179363" spans="1:1">
      <c r="A179363" s="16">
        <v>42620</v>
      </c>
    </row>
    <row r="179364" spans="1:1">
      <c r="A179364" s="16">
        <v>42621</v>
      </c>
    </row>
    <row r="179365" spans="1:1">
      <c r="A179365" s="16">
        <v>42622</v>
      </c>
    </row>
    <row r="179366" spans="1:1">
      <c r="A179366" s="16">
        <v>42625</v>
      </c>
    </row>
    <row r="179367" spans="1:1">
      <c r="A179367" s="16">
        <v>42626</v>
      </c>
    </row>
    <row r="179368" spans="1:1">
      <c r="A179368" s="16">
        <v>42627</v>
      </c>
    </row>
    <row r="179369" spans="1:1">
      <c r="A179369" s="16">
        <v>42632</v>
      </c>
    </row>
    <row r="179370" spans="1:1">
      <c r="A179370" s="16">
        <v>42633</v>
      </c>
    </row>
    <row r="179371" spans="1:1">
      <c r="A179371" s="16">
        <v>42634</v>
      </c>
    </row>
    <row r="179372" spans="1:1">
      <c r="A179372" s="16">
        <v>42635</v>
      </c>
    </row>
    <row r="179373" spans="1:1">
      <c r="A179373" s="16">
        <v>42636</v>
      </c>
    </row>
    <row r="179374" spans="1:1">
      <c r="A179374" s="16">
        <v>42639</v>
      </c>
    </row>
    <row r="179375" spans="1:1">
      <c r="A179375" s="16">
        <v>42640</v>
      </c>
    </row>
    <row r="179376" spans="1:1">
      <c r="A179376" s="16">
        <v>42641</v>
      </c>
    </row>
    <row r="179377" spans="1:1">
      <c r="A179377" s="16">
        <v>42642</v>
      </c>
    </row>
    <row r="179378" spans="1:1">
      <c r="A179378" s="16">
        <v>42643</v>
      </c>
    </row>
    <row r="179379" spans="1:1">
      <c r="A179379" s="16">
        <v>42653</v>
      </c>
    </row>
    <row r="179380" spans="1:1">
      <c r="A179380" s="16">
        <v>42654</v>
      </c>
    </row>
    <row r="179381" spans="1:1">
      <c r="A179381" s="16">
        <v>42655</v>
      </c>
    </row>
    <row r="179382" spans="1:1">
      <c r="A179382" s="16">
        <v>42656</v>
      </c>
    </row>
    <row r="179383" spans="1:1">
      <c r="A179383" s="16">
        <v>42657</v>
      </c>
    </row>
    <row r="179384" spans="1:1">
      <c r="A179384" s="16">
        <v>42660</v>
      </c>
    </row>
    <row r="179385" spans="1:1">
      <c r="A179385" s="16">
        <v>42661</v>
      </c>
    </row>
    <row r="179386" spans="1:1">
      <c r="A179386" s="16">
        <v>42662</v>
      </c>
    </row>
    <row r="179387" spans="1:1">
      <c r="A179387" s="16">
        <v>42663</v>
      </c>
    </row>
    <row r="179388" spans="1:1">
      <c r="A179388" s="16">
        <v>42664</v>
      </c>
    </row>
    <row r="179389" spans="1:1">
      <c r="A179389" s="16">
        <v>42667</v>
      </c>
    </row>
    <row r="179390" spans="1:1">
      <c r="A179390" s="16">
        <v>42668</v>
      </c>
    </row>
    <row r="179391" spans="1:1">
      <c r="A179391" s="16">
        <v>42669</v>
      </c>
    </row>
    <row r="179392" spans="1:1">
      <c r="A179392" s="16">
        <v>42670</v>
      </c>
    </row>
    <row r="179393" spans="1:1">
      <c r="A179393" s="16">
        <v>42671</v>
      </c>
    </row>
    <row r="179394" spans="1:1">
      <c r="A179394" s="16">
        <v>42674</v>
      </c>
    </row>
    <row r="179395" spans="1:1">
      <c r="A179395" s="16">
        <v>42675</v>
      </c>
    </row>
    <row r="179396" spans="1:1">
      <c r="A179396" s="16">
        <v>42676</v>
      </c>
    </row>
    <row r="179397" spans="1:1">
      <c r="A179397" s="16">
        <v>42677</v>
      </c>
    </row>
    <row r="179398" spans="1:1">
      <c r="A179398" s="16">
        <v>42678</v>
      </c>
    </row>
    <row r="195696" spans="1:1">
      <c r="A195696" s="16" t="s">
        <v>0</v>
      </c>
    </row>
    <row r="195697" spans="1:1">
      <c r="A195697" s="16" t="s">
        <v>1</v>
      </c>
    </row>
    <row r="195698" spans="1:1">
      <c r="A195698" s="16">
        <v>42551</v>
      </c>
    </row>
    <row r="195699" spans="1:1">
      <c r="A195699" s="16">
        <v>42552</v>
      </c>
    </row>
    <row r="195700" spans="1:1">
      <c r="A195700" s="16">
        <v>42555</v>
      </c>
    </row>
    <row r="195701" spans="1:1">
      <c r="A195701" s="16">
        <v>42556</v>
      </c>
    </row>
    <row r="195702" spans="1:1">
      <c r="A195702" s="16">
        <v>42557</v>
      </c>
    </row>
    <row r="195703" spans="1:1">
      <c r="A195703" s="16">
        <v>42558</v>
      </c>
    </row>
    <row r="195704" spans="1:1">
      <c r="A195704" s="16">
        <v>42559</v>
      </c>
    </row>
    <row r="195705" spans="1:1">
      <c r="A195705" s="16">
        <v>42562</v>
      </c>
    </row>
    <row r="195706" spans="1:1">
      <c r="A195706" s="16">
        <v>42563</v>
      </c>
    </row>
    <row r="195707" spans="1:1">
      <c r="A195707" s="16">
        <v>42564</v>
      </c>
    </row>
    <row r="195708" spans="1:1">
      <c r="A195708" s="16">
        <v>42565</v>
      </c>
    </row>
    <row r="195709" spans="1:1">
      <c r="A195709" s="16">
        <v>42566</v>
      </c>
    </row>
    <row r="195710" spans="1:1">
      <c r="A195710" s="16">
        <v>42569</v>
      </c>
    </row>
    <row r="195711" spans="1:1">
      <c r="A195711" s="16">
        <v>42570</v>
      </c>
    </row>
    <row r="195712" spans="1:1">
      <c r="A195712" s="16">
        <v>42571</v>
      </c>
    </row>
    <row r="195713" spans="1:1">
      <c r="A195713" s="16">
        <v>42572</v>
      </c>
    </row>
    <row r="195714" spans="1:1">
      <c r="A195714" s="16">
        <v>42573</v>
      </c>
    </row>
    <row r="195715" spans="1:1">
      <c r="A195715" s="16">
        <v>42576</v>
      </c>
    </row>
    <row r="195716" spans="1:1">
      <c r="A195716" s="16">
        <v>42577</v>
      </c>
    </row>
    <row r="195717" spans="1:1">
      <c r="A195717" s="16">
        <v>42578</v>
      </c>
    </row>
    <row r="195718" spans="1:1">
      <c r="A195718" s="16">
        <v>42579</v>
      </c>
    </row>
    <row r="195719" spans="1:1">
      <c r="A195719" s="16">
        <v>42580</v>
      </c>
    </row>
    <row r="195720" spans="1:1">
      <c r="A195720" s="16">
        <v>42583</v>
      </c>
    </row>
    <row r="195721" spans="1:1">
      <c r="A195721" s="16">
        <v>42584</v>
      </c>
    </row>
    <row r="195722" spans="1:1">
      <c r="A195722" s="16">
        <v>42585</v>
      </c>
    </row>
    <row r="195723" spans="1:1">
      <c r="A195723" s="16">
        <v>42586</v>
      </c>
    </row>
    <row r="195724" spans="1:1">
      <c r="A195724" s="16">
        <v>42587</v>
      </c>
    </row>
    <row r="195725" spans="1:1">
      <c r="A195725" s="16">
        <v>42590</v>
      </c>
    </row>
    <row r="195726" spans="1:1">
      <c r="A195726" s="16">
        <v>42591</v>
      </c>
    </row>
    <row r="195727" spans="1:1">
      <c r="A195727" s="16">
        <v>42592</v>
      </c>
    </row>
    <row r="195728" spans="1:1">
      <c r="A195728" s="16">
        <v>42593</v>
      </c>
    </row>
    <row r="195729" spans="1:1">
      <c r="A195729" s="16">
        <v>42594</v>
      </c>
    </row>
    <row r="195730" spans="1:1">
      <c r="A195730" s="16">
        <v>42597</v>
      </c>
    </row>
    <row r="195731" spans="1:1">
      <c r="A195731" s="16">
        <v>42598</v>
      </c>
    </row>
    <row r="195732" spans="1:1">
      <c r="A195732" s="16">
        <v>42599</v>
      </c>
    </row>
    <row r="195733" spans="1:1">
      <c r="A195733" s="16">
        <v>42600</v>
      </c>
    </row>
    <row r="195734" spans="1:1">
      <c r="A195734" s="16">
        <v>42601</v>
      </c>
    </row>
    <row r="195735" spans="1:1">
      <c r="A195735" s="16">
        <v>42604</v>
      </c>
    </row>
    <row r="195736" spans="1:1">
      <c r="A195736" s="16">
        <v>42605</v>
      </c>
    </row>
    <row r="195737" spans="1:1">
      <c r="A195737" s="16">
        <v>42606</v>
      </c>
    </row>
    <row r="195738" spans="1:1">
      <c r="A195738" s="16">
        <v>42607</v>
      </c>
    </row>
    <row r="195739" spans="1:1">
      <c r="A195739" s="16">
        <v>42608</v>
      </c>
    </row>
    <row r="195740" spans="1:1">
      <c r="A195740" s="16">
        <v>42611</v>
      </c>
    </row>
    <row r="195741" spans="1:1">
      <c r="A195741" s="16">
        <v>42612</v>
      </c>
    </row>
    <row r="195742" spans="1:1">
      <c r="A195742" s="16">
        <v>42613</v>
      </c>
    </row>
    <row r="195743" spans="1:1">
      <c r="A195743" s="16">
        <v>42614</v>
      </c>
    </row>
    <row r="195744" spans="1:1">
      <c r="A195744" s="16">
        <v>42615</v>
      </c>
    </row>
    <row r="195745" spans="1:1">
      <c r="A195745" s="16">
        <v>42618</v>
      </c>
    </row>
    <row r="195746" spans="1:1">
      <c r="A195746" s="16">
        <v>42619</v>
      </c>
    </row>
    <row r="195747" spans="1:1">
      <c r="A195747" s="16">
        <v>42620</v>
      </c>
    </row>
    <row r="195748" spans="1:1">
      <c r="A195748" s="16">
        <v>42621</v>
      </c>
    </row>
    <row r="195749" spans="1:1">
      <c r="A195749" s="16">
        <v>42622</v>
      </c>
    </row>
    <row r="195750" spans="1:1">
      <c r="A195750" s="16">
        <v>42625</v>
      </c>
    </row>
    <row r="195751" spans="1:1">
      <c r="A195751" s="16">
        <v>42626</v>
      </c>
    </row>
    <row r="195752" spans="1:1">
      <c r="A195752" s="16">
        <v>42627</v>
      </c>
    </row>
    <row r="195753" spans="1:1">
      <c r="A195753" s="16">
        <v>42632</v>
      </c>
    </row>
    <row r="195754" spans="1:1">
      <c r="A195754" s="16">
        <v>42633</v>
      </c>
    </row>
    <row r="195755" spans="1:1">
      <c r="A195755" s="16">
        <v>42634</v>
      </c>
    </row>
    <row r="195756" spans="1:1">
      <c r="A195756" s="16">
        <v>42635</v>
      </c>
    </row>
    <row r="195757" spans="1:1">
      <c r="A195757" s="16">
        <v>42636</v>
      </c>
    </row>
    <row r="195758" spans="1:1">
      <c r="A195758" s="16">
        <v>42639</v>
      </c>
    </row>
    <row r="195759" spans="1:1">
      <c r="A195759" s="16">
        <v>42640</v>
      </c>
    </row>
    <row r="195760" spans="1:1">
      <c r="A195760" s="16">
        <v>42641</v>
      </c>
    </row>
    <row r="195761" spans="1:1">
      <c r="A195761" s="16">
        <v>42642</v>
      </c>
    </row>
    <row r="195762" spans="1:1">
      <c r="A195762" s="16">
        <v>42643</v>
      </c>
    </row>
    <row r="195763" spans="1:1">
      <c r="A195763" s="16">
        <v>42653</v>
      </c>
    </row>
    <row r="195764" spans="1:1">
      <c r="A195764" s="16">
        <v>42654</v>
      </c>
    </row>
    <row r="195765" spans="1:1">
      <c r="A195765" s="16">
        <v>42655</v>
      </c>
    </row>
    <row r="195766" spans="1:1">
      <c r="A195766" s="16">
        <v>42656</v>
      </c>
    </row>
    <row r="195767" spans="1:1">
      <c r="A195767" s="16">
        <v>42657</v>
      </c>
    </row>
    <row r="195768" spans="1:1">
      <c r="A195768" s="16">
        <v>42660</v>
      </c>
    </row>
    <row r="195769" spans="1:1">
      <c r="A195769" s="16">
        <v>42661</v>
      </c>
    </row>
    <row r="195770" spans="1:1">
      <c r="A195770" s="16">
        <v>42662</v>
      </c>
    </row>
    <row r="195771" spans="1:1">
      <c r="A195771" s="16">
        <v>42663</v>
      </c>
    </row>
    <row r="195772" spans="1:1">
      <c r="A195772" s="16">
        <v>42664</v>
      </c>
    </row>
    <row r="195773" spans="1:1">
      <c r="A195773" s="16">
        <v>42667</v>
      </c>
    </row>
    <row r="195774" spans="1:1">
      <c r="A195774" s="16">
        <v>42668</v>
      </c>
    </row>
    <row r="195775" spans="1:1">
      <c r="A195775" s="16">
        <v>42669</v>
      </c>
    </row>
    <row r="195776" spans="1:1">
      <c r="A195776" s="16">
        <v>42670</v>
      </c>
    </row>
    <row r="195777" spans="1:1">
      <c r="A195777" s="16">
        <v>42671</v>
      </c>
    </row>
    <row r="195778" spans="1:1">
      <c r="A195778" s="16">
        <v>42674</v>
      </c>
    </row>
    <row r="195779" spans="1:1">
      <c r="A195779" s="16">
        <v>42675</v>
      </c>
    </row>
    <row r="195780" spans="1:1">
      <c r="A195780" s="16">
        <v>42676</v>
      </c>
    </row>
    <row r="195781" spans="1:1">
      <c r="A195781" s="16">
        <v>42677</v>
      </c>
    </row>
    <row r="195782" spans="1:1">
      <c r="A195782" s="16">
        <v>42678</v>
      </c>
    </row>
    <row r="212080" spans="1:1">
      <c r="A212080" s="16" t="s">
        <v>0</v>
      </c>
    </row>
    <row r="212081" spans="1:1">
      <c r="A212081" s="16" t="s">
        <v>1</v>
      </c>
    </row>
    <row r="212082" spans="1:1">
      <c r="A212082" s="16">
        <v>42551</v>
      </c>
    </row>
    <row r="212083" spans="1:1">
      <c r="A212083" s="16">
        <v>42552</v>
      </c>
    </row>
    <row r="212084" spans="1:1">
      <c r="A212084" s="16">
        <v>42555</v>
      </c>
    </row>
    <row r="212085" spans="1:1">
      <c r="A212085" s="16">
        <v>42556</v>
      </c>
    </row>
    <row r="212086" spans="1:1">
      <c r="A212086" s="16">
        <v>42557</v>
      </c>
    </row>
    <row r="212087" spans="1:1">
      <c r="A212087" s="16">
        <v>42558</v>
      </c>
    </row>
    <row r="212088" spans="1:1">
      <c r="A212088" s="16">
        <v>42559</v>
      </c>
    </row>
    <row r="212089" spans="1:1">
      <c r="A212089" s="16">
        <v>42562</v>
      </c>
    </row>
    <row r="212090" spans="1:1">
      <c r="A212090" s="16">
        <v>42563</v>
      </c>
    </row>
    <row r="212091" spans="1:1">
      <c r="A212091" s="16">
        <v>42564</v>
      </c>
    </row>
    <row r="212092" spans="1:1">
      <c r="A212092" s="16">
        <v>42565</v>
      </c>
    </row>
    <row r="212093" spans="1:1">
      <c r="A212093" s="16">
        <v>42566</v>
      </c>
    </row>
    <row r="212094" spans="1:1">
      <c r="A212094" s="16">
        <v>42569</v>
      </c>
    </row>
    <row r="212095" spans="1:1">
      <c r="A212095" s="16">
        <v>42570</v>
      </c>
    </row>
    <row r="212096" spans="1:1">
      <c r="A212096" s="16">
        <v>42571</v>
      </c>
    </row>
    <row r="212097" spans="1:1">
      <c r="A212097" s="16">
        <v>42572</v>
      </c>
    </row>
    <row r="212098" spans="1:1">
      <c r="A212098" s="16">
        <v>42573</v>
      </c>
    </row>
    <row r="212099" spans="1:1">
      <c r="A212099" s="16">
        <v>42576</v>
      </c>
    </row>
    <row r="212100" spans="1:1">
      <c r="A212100" s="16">
        <v>42577</v>
      </c>
    </row>
    <row r="212101" spans="1:1">
      <c r="A212101" s="16">
        <v>42578</v>
      </c>
    </row>
    <row r="212102" spans="1:1">
      <c r="A212102" s="16">
        <v>42579</v>
      </c>
    </row>
    <row r="212103" spans="1:1">
      <c r="A212103" s="16">
        <v>42580</v>
      </c>
    </row>
    <row r="212104" spans="1:1">
      <c r="A212104" s="16">
        <v>42583</v>
      </c>
    </row>
    <row r="212105" spans="1:1">
      <c r="A212105" s="16">
        <v>42584</v>
      </c>
    </row>
    <row r="212106" spans="1:1">
      <c r="A212106" s="16">
        <v>42585</v>
      </c>
    </row>
    <row r="212107" spans="1:1">
      <c r="A212107" s="16">
        <v>42586</v>
      </c>
    </row>
    <row r="212108" spans="1:1">
      <c r="A212108" s="16">
        <v>42587</v>
      </c>
    </row>
    <row r="212109" spans="1:1">
      <c r="A212109" s="16">
        <v>42590</v>
      </c>
    </row>
    <row r="212110" spans="1:1">
      <c r="A212110" s="16">
        <v>42591</v>
      </c>
    </row>
    <row r="212111" spans="1:1">
      <c r="A212111" s="16">
        <v>42592</v>
      </c>
    </row>
    <row r="212112" spans="1:1">
      <c r="A212112" s="16">
        <v>42593</v>
      </c>
    </row>
    <row r="212113" spans="1:1">
      <c r="A212113" s="16">
        <v>42594</v>
      </c>
    </row>
    <row r="212114" spans="1:1">
      <c r="A212114" s="16">
        <v>42597</v>
      </c>
    </row>
    <row r="212115" spans="1:1">
      <c r="A212115" s="16">
        <v>42598</v>
      </c>
    </row>
    <row r="212116" spans="1:1">
      <c r="A212116" s="16">
        <v>42599</v>
      </c>
    </row>
    <row r="212117" spans="1:1">
      <c r="A212117" s="16">
        <v>42600</v>
      </c>
    </row>
    <row r="212118" spans="1:1">
      <c r="A212118" s="16">
        <v>42601</v>
      </c>
    </row>
    <row r="212119" spans="1:1">
      <c r="A212119" s="16">
        <v>42604</v>
      </c>
    </row>
    <row r="212120" spans="1:1">
      <c r="A212120" s="16">
        <v>42605</v>
      </c>
    </row>
    <row r="212121" spans="1:1">
      <c r="A212121" s="16">
        <v>42606</v>
      </c>
    </row>
    <row r="212122" spans="1:1">
      <c r="A212122" s="16">
        <v>42607</v>
      </c>
    </row>
    <row r="212123" spans="1:1">
      <c r="A212123" s="16">
        <v>42608</v>
      </c>
    </row>
    <row r="212124" spans="1:1">
      <c r="A212124" s="16">
        <v>42611</v>
      </c>
    </row>
    <row r="212125" spans="1:1">
      <c r="A212125" s="16">
        <v>42612</v>
      </c>
    </row>
    <row r="212126" spans="1:1">
      <c r="A212126" s="16">
        <v>42613</v>
      </c>
    </row>
    <row r="212127" spans="1:1">
      <c r="A212127" s="16">
        <v>42614</v>
      </c>
    </row>
    <row r="212128" spans="1:1">
      <c r="A212128" s="16">
        <v>42615</v>
      </c>
    </row>
    <row r="212129" spans="1:1">
      <c r="A212129" s="16">
        <v>42618</v>
      </c>
    </row>
    <row r="212130" spans="1:1">
      <c r="A212130" s="16">
        <v>42619</v>
      </c>
    </row>
    <row r="212131" spans="1:1">
      <c r="A212131" s="16">
        <v>42620</v>
      </c>
    </row>
    <row r="212132" spans="1:1">
      <c r="A212132" s="16">
        <v>42621</v>
      </c>
    </row>
    <row r="212133" spans="1:1">
      <c r="A212133" s="16">
        <v>42622</v>
      </c>
    </row>
    <row r="212134" spans="1:1">
      <c r="A212134" s="16">
        <v>42625</v>
      </c>
    </row>
    <row r="212135" spans="1:1">
      <c r="A212135" s="16">
        <v>42626</v>
      </c>
    </row>
    <row r="212136" spans="1:1">
      <c r="A212136" s="16">
        <v>42627</v>
      </c>
    </row>
    <row r="212137" spans="1:1">
      <c r="A212137" s="16">
        <v>42632</v>
      </c>
    </row>
    <row r="212138" spans="1:1">
      <c r="A212138" s="16">
        <v>42633</v>
      </c>
    </row>
    <row r="212139" spans="1:1">
      <c r="A212139" s="16">
        <v>42634</v>
      </c>
    </row>
    <row r="212140" spans="1:1">
      <c r="A212140" s="16">
        <v>42635</v>
      </c>
    </row>
    <row r="212141" spans="1:1">
      <c r="A212141" s="16">
        <v>42636</v>
      </c>
    </row>
    <row r="212142" spans="1:1">
      <c r="A212142" s="16">
        <v>42639</v>
      </c>
    </row>
    <row r="212143" spans="1:1">
      <c r="A212143" s="16">
        <v>42640</v>
      </c>
    </row>
    <row r="212144" spans="1:1">
      <c r="A212144" s="16">
        <v>42641</v>
      </c>
    </row>
    <row r="212145" spans="1:1">
      <c r="A212145" s="16">
        <v>42642</v>
      </c>
    </row>
    <row r="212146" spans="1:1">
      <c r="A212146" s="16">
        <v>42643</v>
      </c>
    </row>
    <row r="212147" spans="1:1">
      <c r="A212147" s="16">
        <v>42653</v>
      </c>
    </row>
    <row r="212148" spans="1:1">
      <c r="A212148" s="16">
        <v>42654</v>
      </c>
    </row>
    <row r="212149" spans="1:1">
      <c r="A212149" s="16">
        <v>42655</v>
      </c>
    </row>
    <row r="212150" spans="1:1">
      <c r="A212150" s="16">
        <v>42656</v>
      </c>
    </row>
    <row r="212151" spans="1:1">
      <c r="A212151" s="16">
        <v>42657</v>
      </c>
    </row>
    <row r="212152" spans="1:1">
      <c r="A212152" s="16">
        <v>42660</v>
      </c>
    </row>
    <row r="212153" spans="1:1">
      <c r="A212153" s="16">
        <v>42661</v>
      </c>
    </row>
    <row r="212154" spans="1:1">
      <c r="A212154" s="16">
        <v>42662</v>
      </c>
    </row>
    <row r="212155" spans="1:1">
      <c r="A212155" s="16">
        <v>42663</v>
      </c>
    </row>
    <row r="212156" spans="1:1">
      <c r="A212156" s="16">
        <v>42664</v>
      </c>
    </row>
    <row r="212157" spans="1:1">
      <c r="A212157" s="16">
        <v>42667</v>
      </c>
    </row>
    <row r="212158" spans="1:1">
      <c r="A212158" s="16">
        <v>42668</v>
      </c>
    </row>
    <row r="212159" spans="1:1">
      <c r="A212159" s="16">
        <v>42669</v>
      </c>
    </row>
    <row r="212160" spans="1:1">
      <c r="A212160" s="16">
        <v>42670</v>
      </c>
    </row>
    <row r="212161" spans="1:1">
      <c r="A212161" s="16">
        <v>42671</v>
      </c>
    </row>
    <row r="212162" spans="1:1">
      <c r="A212162" s="16">
        <v>42674</v>
      </c>
    </row>
    <row r="212163" spans="1:1">
      <c r="A212163" s="16">
        <v>42675</v>
      </c>
    </row>
    <row r="212164" spans="1:1">
      <c r="A212164" s="16">
        <v>42676</v>
      </c>
    </row>
    <row r="212165" spans="1:1">
      <c r="A212165" s="16">
        <v>42677</v>
      </c>
    </row>
    <row r="212166" spans="1:1">
      <c r="A212166" s="16">
        <v>42678</v>
      </c>
    </row>
    <row r="228464" spans="1:1">
      <c r="A228464" s="16" t="s">
        <v>0</v>
      </c>
    </row>
    <row r="228465" spans="1:1">
      <c r="A228465" s="16" t="s">
        <v>1</v>
      </c>
    </row>
    <row r="228466" spans="1:1">
      <c r="A228466" s="16">
        <v>42551</v>
      </c>
    </row>
    <row r="228467" spans="1:1">
      <c r="A228467" s="16">
        <v>42552</v>
      </c>
    </row>
    <row r="228468" spans="1:1">
      <c r="A228468" s="16">
        <v>42555</v>
      </c>
    </row>
    <row r="228469" spans="1:1">
      <c r="A228469" s="16">
        <v>42556</v>
      </c>
    </row>
    <row r="228470" spans="1:1">
      <c r="A228470" s="16">
        <v>42557</v>
      </c>
    </row>
    <row r="228471" spans="1:1">
      <c r="A228471" s="16">
        <v>42558</v>
      </c>
    </row>
    <row r="228472" spans="1:1">
      <c r="A228472" s="16">
        <v>42559</v>
      </c>
    </row>
    <row r="228473" spans="1:1">
      <c r="A228473" s="16">
        <v>42562</v>
      </c>
    </row>
    <row r="228474" spans="1:1">
      <c r="A228474" s="16">
        <v>42563</v>
      </c>
    </row>
    <row r="228475" spans="1:1">
      <c r="A228475" s="16">
        <v>42564</v>
      </c>
    </row>
    <row r="228476" spans="1:1">
      <c r="A228476" s="16">
        <v>42565</v>
      </c>
    </row>
    <row r="228477" spans="1:1">
      <c r="A228477" s="16">
        <v>42566</v>
      </c>
    </row>
    <row r="228478" spans="1:1">
      <c r="A228478" s="16">
        <v>42569</v>
      </c>
    </row>
    <row r="228479" spans="1:1">
      <c r="A228479" s="16">
        <v>42570</v>
      </c>
    </row>
    <row r="228480" spans="1:1">
      <c r="A228480" s="16">
        <v>42571</v>
      </c>
    </row>
    <row r="228481" spans="1:1">
      <c r="A228481" s="16">
        <v>42572</v>
      </c>
    </row>
    <row r="228482" spans="1:1">
      <c r="A228482" s="16">
        <v>42573</v>
      </c>
    </row>
    <row r="228483" spans="1:1">
      <c r="A228483" s="16">
        <v>42576</v>
      </c>
    </row>
    <row r="228484" spans="1:1">
      <c r="A228484" s="16">
        <v>42577</v>
      </c>
    </row>
    <row r="228485" spans="1:1">
      <c r="A228485" s="16">
        <v>42578</v>
      </c>
    </row>
    <row r="228486" spans="1:1">
      <c r="A228486" s="16">
        <v>42579</v>
      </c>
    </row>
    <row r="228487" spans="1:1">
      <c r="A228487" s="16">
        <v>42580</v>
      </c>
    </row>
    <row r="228488" spans="1:1">
      <c r="A228488" s="16">
        <v>42583</v>
      </c>
    </row>
    <row r="228489" spans="1:1">
      <c r="A228489" s="16">
        <v>42584</v>
      </c>
    </row>
    <row r="228490" spans="1:1">
      <c r="A228490" s="16">
        <v>42585</v>
      </c>
    </row>
    <row r="228491" spans="1:1">
      <c r="A228491" s="16">
        <v>42586</v>
      </c>
    </row>
    <row r="228492" spans="1:1">
      <c r="A228492" s="16">
        <v>42587</v>
      </c>
    </row>
    <row r="228493" spans="1:1">
      <c r="A228493" s="16">
        <v>42590</v>
      </c>
    </row>
    <row r="228494" spans="1:1">
      <c r="A228494" s="16">
        <v>42591</v>
      </c>
    </row>
    <row r="228495" spans="1:1">
      <c r="A228495" s="16">
        <v>42592</v>
      </c>
    </row>
    <row r="228496" spans="1:1">
      <c r="A228496" s="16">
        <v>42593</v>
      </c>
    </row>
    <row r="228497" spans="1:1">
      <c r="A228497" s="16">
        <v>42594</v>
      </c>
    </row>
    <row r="228498" spans="1:1">
      <c r="A228498" s="16">
        <v>42597</v>
      </c>
    </row>
    <row r="228499" spans="1:1">
      <c r="A228499" s="16">
        <v>42598</v>
      </c>
    </row>
    <row r="228500" spans="1:1">
      <c r="A228500" s="16">
        <v>42599</v>
      </c>
    </row>
    <row r="228501" spans="1:1">
      <c r="A228501" s="16">
        <v>42600</v>
      </c>
    </row>
    <row r="228502" spans="1:1">
      <c r="A228502" s="16">
        <v>42601</v>
      </c>
    </row>
    <row r="228503" spans="1:1">
      <c r="A228503" s="16">
        <v>42604</v>
      </c>
    </row>
    <row r="228504" spans="1:1">
      <c r="A228504" s="16">
        <v>42605</v>
      </c>
    </row>
    <row r="228505" spans="1:1">
      <c r="A228505" s="16">
        <v>42606</v>
      </c>
    </row>
    <row r="228506" spans="1:1">
      <c r="A228506" s="16">
        <v>42607</v>
      </c>
    </row>
    <row r="228507" spans="1:1">
      <c r="A228507" s="16">
        <v>42608</v>
      </c>
    </row>
    <row r="228508" spans="1:1">
      <c r="A228508" s="16">
        <v>42611</v>
      </c>
    </row>
    <row r="228509" spans="1:1">
      <c r="A228509" s="16">
        <v>42612</v>
      </c>
    </row>
    <row r="228510" spans="1:1">
      <c r="A228510" s="16">
        <v>42613</v>
      </c>
    </row>
    <row r="228511" spans="1:1">
      <c r="A228511" s="16">
        <v>42614</v>
      </c>
    </row>
    <row r="228512" spans="1:1">
      <c r="A228512" s="16">
        <v>42615</v>
      </c>
    </row>
    <row r="228513" spans="1:1">
      <c r="A228513" s="16">
        <v>42618</v>
      </c>
    </row>
    <row r="228514" spans="1:1">
      <c r="A228514" s="16">
        <v>42619</v>
      </c>
    </row>
    <row r="228515" spans="1:1">
      <c r="A228515" s="16">
        <v>42620</v>
      </c>
    </row>
    <row r="228516" spans="1:1">
      <c r="A228516" s="16">
        <v>42621</v>
      </c>
    </row>
    <row r="228517" spans="1:1">
      <c r="A228517" s="16">
        <v>42622</v>
      </c>
    </row>
    <row r="228518" spans="1:1">
      <c r="A228518" s="16">
        <v>42625</v>
      </c>
    </row>
    <row r="228519" spans="1:1">
      <c r="A228519" s="16">
        <v>42626</v>
      </c>
    </row>
    <row r="228520" spans="1:1">
      <c r="A228520" s="16">
        <v>42627</v>
      </c>
    </row>
    <row r="228521" spans="1:1">
      <c r="A228521" s="16">
        <v>42632</v>
      </c>
    </row>
    <row r="228522" spans="1:1">
      <c r="A228522" s="16">
        <v>42633</v>
      </c>
    </row>
    <row r="228523" spans="1:1">
      <c r="A228523" s="16">
        <v>42634</v>
      </c>
    </row>
    <row r="228524" spans="1:1">
      <c r="A228524" s="16">
        <v>42635</v>
      </c>
    </row>
    <row r="228525" spans="1:1">
      <c r="A228525" s="16">
        <v>42636</v>
      </c>
    </row>
    <row r="228526" spans="1:1">
      <c r="A228526" s="16">
        <v>42639</v>
      </c>
    </row>
    <row r="228527" spans="1:1">
      <c r="A228527" s="16">
        <v>42640</v>
      </c>
    </row>
    <row r="228528" spans="1:1">
      <c r="A228528" s="16">
        <v>42641</v>
      </c>
    </row>
    <row r="228529" spans="1:1">
      <c r="A228529" s="16">
        <v>42642</v>
      </c>
    </row>
    <row r="228530" spans="1:1">
      <c r="A228530" s="16">
        <v>42643</v>
      </c>
    </row>
    <row r="228531" spans="1:1">
      <c r="A228531" s="16">
        <v>42653</v>
      </c>
    </row>
    <row r="228532" spans="1:1">
      <c r="A228532" s="16">
        <v>42654</v>
      </c>
    </row>
    <row r="228533" spans="1:1">
      <c r="A228533" s="16">
        <v>42655</v>
      </c>
    </row>
    <row r="228534" spans="1:1">
      <c r="A228534" s="16">
        <v>42656</v>
      </c>
    </row>
    <row r="228535" spans="1:1">
      <c r="A228535" s="16">
        <v>42657</v>
      </c>
    </row>
    <row r="228536" spans="1:1">
      <c r="A228536" s="16">
        <v>42660</v>
      </c>
    </row>
    <row r="228537" spans="1:1">
      <c r="A228537" s="16">
        <v>42661</v>
      </c>
    </row>
    <row r="228538" spans="1:1">
      <c r="A228538" s="16">
        <v>42662</v>
      </c>
    </row>
    <row r="228539" spans="1:1">
      <c r="A228539" s="16">
        <v>42663</v>
      </c>
    </row>
    <row r="228540" spans="1:1">
      <c r="A228540" s="16">
        <v>42664</v>
      </c>
    </row>
    <row r="228541" spans="1:1">
      <c r="A228541" s="16">
        <v>42667</v>
      </c>
    </row>
    <row r="228542" spans="1:1">
      <c r="A228542" s="16">
        <v>42668</v>
      </c>
    </row>
    <row r="228543" spans="1:1">
      <c r="A228543" s="16">
        <v>42669</v>
      </c>
    </row>
    <row r="228544" spans="1:1">
      <c r="A228544" s="16">
        <v>42670</v>
      </c>
    </row>
    <row r="228545" spans="1:1">
      <c r="A228545" s="16">
        <v>42671</v>
      </c>
    </row>
    <row r="228546" spans="1:1">
      <c r="A228546" s="16">
        <v>42674</v>
      </c>
    </row>
    <row r="228547" spans="1:1">
      <c r="A228547" s="16">
        <v>42675</v>
      </c>
    </row>
    <row r="228548" spans="1:1">
      <c r="A228548" s="16">
        <v>42676</v>
      </c>
    </row>
    <row r="228549" spans="1:1">
      <c r="A228549" s="16">
        <v>42677</v>
      </c>
    </row>
    <row r="228550" spans="1:1">
      <c r="A228550" s="16">
        <v>42678</v>
      </c>
    </row>
    <row r="244848" spans="1:1">
      <c r="A244848" s="16" t="s">
        <v>0</v>
      </c>
    </row>
    <row r="244849" spans="1:1">
      <c r="A244849" s="16" t="s">
        <v>1</v>
      </c>
    </row>
    <row r="244850" spans="1:1">
      <c r="A244850" s="16">
        <v>42551</v>
      </c>
    </row>
    <row r="244851" spans="1:1">
      <c r="A244851" s="16">
        <v>42552</v>
      </c>
    </row>
    <row r="244852" spans="1:1">
      <c r="A244852" s="16">
        <v>42555</v>
      </c>
    </row>
    <row r="244853" spans="1:1">
      <c r="A244853" s="16">
        <v>42556</v>
      </c>
    </row>
    <row r="244854" spans="1:1">
      <c r="A244854" s="16">
        <v>42557</v>
      </c>
    </row>
    <row r="244855" spans="1:1">
      <c r="A244855" s="16">
        <v>42558</v>
      </c>
    </row>
    <row r="244856" spans="1:1">
      <c r="A244856" s="16">
        <v>42559</v>
      </c>
    </row>
    <row r="244857" spans="1:1">
      <c r="A244857" s="16">
        <v>42562</v>
      </c>
    </row>
    <row r="244858" spans="1:1">
      <c r="A244858" s="16">
        <v>42563</v>
      </c>
    </row>
    <row r="244859" spans="1:1">
      <c r="A244859" s="16">
        <v>42564</v>
      </c>
    </row>
    <row r="244860" spans="1:1">
      <c r="A244860" s="16">
        <v>42565</v>
      </c>
    </row>
    <row r="244861" spans="1:1">
      <c r="A244861" s="16">
        <v>42566</v>
      </c>
    </row>
    <row r="244862" spans="1:1">
      <c r="A244862" s="16">
        <v>42569</v>
      </c>
    </row>
    <row r="244863" spans="1:1">
      <c r="A244863" s="16">
        <v>42570</v>
      </c>
    </row>
    <row r="244864" spans="1:1">
      <c r="A244864" s="16">
        <v>42571</v>
      </c>
    </row>
    <row r="244865" spans="1:1">
      <c r="A244865" s="16">
        <v>42572</v>
      </c>
    </row>
    <row r="244866" spans="1:1">
      <c r="A244866" s="16">
        <v>42573</v>
      </c>
    </row>
    <row r="244867" spans="1:1">
      <c r="A244867" s="16">
        <v>42576</v>
      </c>
    </row>
    <row r="244868" spans="1:1">
      <c r="A244868" s="16">
        <v>42577</v>
      </c>
    </row>
    <row r="244869" spans="1:1">
      <c r="A244869" s="16">
        <v>42578</v>
      </c>
    </row>
    <row r="244870" spans="1:1">
      <c r="A244870" s="16">
        <v>42579</v>
      </c>
    </row>
    <row r="244871" spans="1:1">
      <c r="A244871" s="16">
        <v>42580</v>
      </c>
    </row>
    <row r="244872" spans="1:1">
      <c r="A244872" s="16">
        <v>42583</v>
      </c>
    </row>
    <row r="244873" spans="1:1">
      <c r="A244873" s="16">
        <v>42584</v>
      </c>
    </row>
    <row r="244874" spans="1:1">
      <c r="A244874" s="16">
        <v>42585</v>
      </c>
    </row>
    <row r="244875" spans="1:1">
      <c r="A244875" s="16">
        <v>42586</v>
      </c>
    </row>
    <row r="244876" spans="1:1">
      <c r="A244876" s="16">
        <v>42587</v>
      </c>
    </row>
    <row r="244877" spans="1:1">
      <c r="A244877" s="16">
        <v>42590</v>
      </c>
    </row>
    <row r="244878" spans="1:1">
      <c r="A244878" s="16">
        <v>42591</v>
      </c>
    </row>
    <row r="244879" spans="1:1">
      <c r="A244879" s="16">
        <v>42592</v>
      </c>
    </row>
    <row r="244880" spans="1:1">
      <c r="A244880" s="16">
        <v>42593</v>
      </c>
    </row>
    <row r="244881" spans="1:1">
      <c r="A244881" s="16">
        <v>42594</v>
      </c>
    </row>
    <row r="244882" spans="1:1">
      <c r="A244882" s="16">
        <v>42597</v>
      </c>
    </row>
    <row r="244883" spans="1:1">
      <c r="A244883" s="16">
        <v>42598</v>
      </c>
    </row>
    <row r="244884" spans="1:1">
      <c r="A244884" s="16">
        <v>42599</v>
      </c>
    </row>
    <row r="244885" spans="1:1">
      <c r="A244885" s="16">
        <v>42600</v>
      </c>
    </row>
    <row r="244886" spans="1:1">
      <c r="A244886" s="16">
        <v>42601</v>
      </c>
    </row>
    <row r="244887" spans="1:1">
      <c r="A244887" s="16">
        <v>42604</v>
      </c>
    </row>
    <row r="244888" spans="1:1">
      <c r="A244888" s="16">
        <v>42605</v>
      </c>
    </row>
    <row r="244889" spans="1:1">
      <c r="A244889" s="16">
        <v>42606</v>
      </c>
    </row>
    <row r="244890" spans="1:1">
      <c r="A244890" s="16">
        <v>42607</v>
      </c>
    </row>
    <row r="244891" spans="1:1">
      <c r="A244891" s="16">
        <v>42608</v>
      </c>
    </row>
    <row r="244892" spans="1:1">
      <c r="A244892" s="16">
        <v>42611</v>
      </c>
    </row>
    <row r="244893" spans="1:1">
      <c r="A244893" s="16">
        <v>42612</v>
      </c>
    </row>
    <row r="244894" spans="1:1">
      <c r="A244894" s="16">
        <v>42613</v>
      </c>
    </row>
    <row r="244895" spans="1:1">
      <c r="A244895" s="16">
        <v>42614</v>
      </c>
    </row>
    <row r="244896" spans="1:1">
      <c r="A244896" s="16">
        <v>42615</v>
      </c>
    </row>
    <row r="244897" spans="1:1">
      <c r="A244897" s="16">
        <v>42618</v>
      </c>
    </row>
    <row r="244898" spans="1:1">
      <c r="A244898" s="16">
        <v>42619</v>
      </c>
    </row>
    <row r="244899" spans="1:1">
      <c r="A244899" s="16">
        <v>42620</v>
      </c>
    </row>
    <row r="244900" spans="1:1">
      <c r="A244900" s="16">
        <v>42621</v>
      </c>
    </row>
    <row r="244901" spans="1:1">
      <c r="A244901" s="16">
        <v>42622</v>
      </c>
    </row>
    <row r="244902" spans="1:1">
      <c r="A244902" s="16">
        <v>42625</v>
      </c>
    </row>
    <row r="244903" spans="1:1">
      <c r="A244903" s="16">
        <v>42626</v>
      </c>
    </row>
    <row r="244904" spans="1:1">
      <c r="A244904" s="16">
        <v>42627</v>
      </c>
    </row>
    <row r="244905" spans="1:1">
      <c r="A244905" s="16">
        <v>42632</v>
      </c>
    </row>
    <row r="244906" spans="1:1">
      <c r="A244906" s="16">
        <v>42633</v>
      </c>
    </row>
    <row r="244907" spans="1:1">
      <c r="A244907" s="16">
        <v>42634</v>
      </c>
    </row>
    <row r="244908" spans="1:1">
      <c r="A244908" s="16">
        <v>42635</v>
      </c>
    </row>
    <row r="244909" spans="1:1">
      <c r="A244909" s="16">
        <v>42636</v>
      </c>
    </row>
    <row r="244910" spans="1:1">
      <c r="A244910" s="16">
        <v>42639</v>
      </c>
    </row>
    <row r="244911" spans="1:1">
      <c r="A244911" s="16">
        <v>42640</v>
      </c>
    </row>
    <row r="244912" spans="1:1">
      <c r="A244912" s="16">
        <v>42641</v>
      </c>
    </row>
    <row r="244913" spans="1:1">
      <c r="A244913" s="16">
        <v>42642</v>
      </c>
    </row>
    <row r="244914" spans="1:1">
      <c r="A244914" s="16">
        <v>42643</v>
      </c>
    </row>
    <row r="244915" spans="1:1">
      <c r="A244915" s="16">
        <v>42653</v>
      </c>
    </row>
    <row r="244916" spans="1:1">
      <c r="A244916" s="16">
        <v>42654</v>
      </c>
    </row>
    <row r="244917" spans="1:1">
      <c r="A244917" s="16">
        <v>42655</v>
      </c>
    </row>
    <row r="244918" spans="1:1">
      <c r="A244918" s="16">
        <v>42656</v>
      </c>
    </row>
    <row r="244919" spans="1:1">
      <c r="A244919" s="16">
        <v>42657</v>
      </c>
    </row>
    <row r="244920" spans="1:1">
      <c r="A244920" s="16">
        <v>42660</v>
      </c>
    </row>
    <row r="244921" spans="1:1">
      <c r="A244921" s="16">
        <v>42661</v>
      </c>
    </row>
    <row r="244922" spans="1:1">
      <c r="A244922" s="16">
        <v>42662</v>
      </c>
    </row>
    <row r="244923" spans="1:1">
      <c r="A244923" s="16">
        <v>42663</v>
      </c>
    </row>
    <row r="244924" spans="1:1">
      <c r="A244924" s="16">
        <v>42664</v>
      </c>
    </row>
    <row r="244925" spans="1:1">
      <c r="A244925" s="16">
        <v>42667</v>
      </c>
    </row>
    <row r="244926" spans="1:1">
      <c r="A244926" s="16">
        <v>42668</v>
      </c>
    </row>
    <row r="244927" spans="1:1">
      <c r="A244927" s="16">
        <v>42669</v>
      </c>
    </row>
    <row r="244928" spans="1:1">
      <c r="A244928" s="16">
        <v>42670</v>
      </c>
    </row>
    <row r="244929" spans="1:1">
      <c r="A244929" s="16">
        <v>42671</v>
      </c>
    </row>
    <row r="244930" spans="1:1">
      <c r="A244930" s="16">
        <v>42674</v>
      </c>
    </row>
    <row r="244931" spans="1:1">
      <c r="A244931" s="16">
        <v>42675</v>
      </c>
    </row>
    <row r="244932" spans="1:1">
      <c r="A244932" s="16">
        <v>42676</v>
      </c>
    </row>
    <row r="244933" spans="1:1">
      <c r="A244933" s="16">
        <v>42677</v>
      </c>
    </row>
    <row r="244934" spans="1:1">
      <c r="A244934" s="16">
        <v>42678</v>
      </c>
    </row>
    <row r="261232" spans="1:1">
      <c r="A261232" s="16" t="s">
        <v>0</v>
      </c>
    </row>
    <row r="261233" spans="1:1">
      <c r="A261233" s="16" t="s">
        <v>1</v>
      </c>
    </row>
    <row r="261234" spans="1:1">
      <c r="A261234" s="16">
        <v>42551</v>
      </c>
    </row>
    <row r="261235" spans="1:1">
      <c r="A261235" s="16">
        <v>42552</v>
      </c>
    </row>
    <row r="261236" spans="1:1">
      <c r="A261236" s="16">
        <v>42555</v>
      </c>
    </row>
    <row r="261237" spans="1:1">
      <c r="A261237" s="16">
        <v>42556</v>
      </c>
    </row>
    <row r="261238" spans="1:1">
      <c r="A261238" s="16">
        <v>42557</v>
      </c>
    </row>
    <row r="261239" spans="1:1">
      <c r="A261239" s="16">
        <v>42558</v>
      </c>
    </row>
    <row r="261240" spans="1:1">
      <c r="A261240" s="16">
        <v>42559</v>
      </c>
    </row>
    <row r="261241" spans="1:1">
      <c r="A261241" s="16">
        <v>42562</v>
      </c>
    </row>
    <row r="261242" spans="1:1">
      <c r="A261242" s="16">
        <v>42563</v>
      </c>
    </row>
    <row r="261243" spans="1:1">
      <c r="A261243" s="16">
        <v>42564</v>
      </c>
    </row>
    <row r="261244" spans="1:1">
      <c r="A261244" s="16">
        <v>42565</v>
      </c>
    </row>
    <row r="261245" spans="1:1">
      <c r="A261245" s="16">
        <v>42566</v>
      </c>
    </row>
    <row r="261246" spans="1:1">
      <c r="A261246" s="16">
        <v>42569</v>
      </c>
    </row>
    <row r="261247" spans="1:1">
      <c r="A261247" s="16">
        <v>42570</v>
      </c>
    </row>
    <row r="261248" spans="1:1">
      <c r="A261248" s="16">
        <v>42571</v>
      </c>
    </row>
    <row r="261249" spans="1:1">
      <c r="A261249" s="16">
        <v>42572</v>
      </c>
    </row>
    <row r="261250" spans="1:1">
      <c r="A261250" s="16">
        <v>42573</v>
      </c>
    </row>
    <row r="261251" spans="1:1">
      <c r="A261251" s="16">
        <v>42576</v>
      </c>
    </row>
    <row r="261252" spans="1:1">
      <c r="A261252" s="16">
        <v>42577</v>
      </c>
    </row>
    <row r="261253" spans="1:1">
      <c r="A261253" s="16">
        <v>42578</v>
      </c>
    </row>
    <row r="261254" spans="1:1">
      <c r="A261254" s="16">
        <v>42579</v>
      </c>
    </row>
    <row r="261255" spans="1:1">
      <c r="A261255" s="16">
        <v>42580</v>
      </c>
    </row>
    <row r="261256" spans="1:1">
      <c r="A261256" s="16">
        <v>42583</v>
      </c>
    </row>
    <row r="261257" spans="1:1">
      <c r="A261257" s="16">
        <v>42584</v>
      </c>
    </row>
    <row r="261258" spans="1:1">
      <c r="A261258" s="16">
        <v>42585</v>
      </c>
    </row>
    <row r="261259" spans="1:1">
      <c r="A261259" s="16">
        <v>42586</v>
      </c>
    </row>
    <row r="261260" spans="1:1">
      <c r="A261260" s="16">
        <v>42587</v>
      </c>
    </row>
    <row r="261261" spans="1:1">
      <c r="A261261" s="16">
        <v>42590</v>
      </c>
    </row>
    <row r="261262" spans="1:1">
      <c r="A261262" s="16">
        <v>42591</v>
      </c>
    </row>
    <row r="261263" spans="1:1">
      <c r="A261263" s="16">
        <v>42592</v>
      </c>
    </row>
    <row r="261264" spans="1:1">
      <c r="A261264" s="16">
        <v>42593</v>
      </c>
    </row>
    <row r="261265" spans="1:1">
      <c r="A261265" s="16">
        <v>42594</v>
      </c>
    </row>
    <row r="261266" spans="1:1">
      <c r="A261266" s="16">
        <v>42597</v>
      </c>
    </row>
    <row r="261267" spans="1:1">
      <c r="A261267" s="16">
        <v>42598</v>
      </c>
    </row>
    <row r="261268" spans="1:1">
      <c r="A261268" s="16">
        <v>42599</v>
      </c>
    </row>
    <row r="261269" spans="1:1">
      <c r="A261269" s="16">
        <v>42600</v>
      </c>
    </row>
    <row r="261270" spans="1:1">
      <c r="A261270" s="16">
        <v>42601</v>
      </c>
    </row>
    <row r="261271" spans="1:1">
      <c r="A261271" s="16">
        <v>42604</v>
      </c>
    </row>
    <row r="261272" spans="1:1">
      <c r="A261272" s="16">
        <v>42605</v>
      </c>
    </row>
    <row r="261273" spans="1:1">
      <c r="A261273" s="16">
        <v>42606</v>
      </c>
    </row>
    <row r="261274" spans="1:1">
      <c r="A261274" s="16">
        <v>42607</v>
      </c>
    </row>
    <row r="261275" spans="1:1">
      <c r="A261275" s="16">
        <v>42608</v>
      </c>
    </row>
    <row r="261276" spans="1:1">
      <c r="A261276" s="16">
        <v>42611</v>
      </c>
    </row>
    <row r="261277" spans="1:1">
      <c r="A261277" s="16">
        <v>42612</v>
      </c>
    </row>
    <row r="261278" spans="1:1">
      <c r="A261278" s="16">
        <v>42613</v>
      </c>
    </row>
    <row r="261279" spans="1:1">
      <c r="A261279" s="16">
        <v>42614</v>
      </c>
    </row>
    <row r="261280" spans="1:1">
      <c r="A261280" s="16">
        <v>42615</v>
      </c>
    </row>
    <row r="261281" spans="1:1">
      <c r="A261281" s="16">
        <v>42618</v>
      </c>
    </row>
    <row r="261282" spans="1:1">
      <c r="A261282" s="16">
        <v>42619</v>
      </c>
    </row>
    <row r="261283" spans="1:1">
      <c r="A261283" s="16">
        <v>42620</v>
      </c>
    </row>
    <row r="261284" spans="1:1">
      <c r="A261284" s="16">
        <v>42621</v>
      </c>
    </row>
    <row r="261285" spans="1:1">
      <c r="A261285" s="16">
        <v>42622</v>
      </c>
    </row>
    <row r="261286" spans="1:1">
      <c r="A261286" s="16">
        <v>42625</v>
      </c>
    </row>
    <row r="261287" spans="1:1">
      <c r="A261287" s="16">
        <v>42626</v>
      </c>
    </row>
    <row r="261288" spans="1:1">
      <c r="A261288" s="16">
        <v>42627</v>
      </c>
    </row>
    <row r="261289" spans="1:1">
      <c r="A261289" s="16">
        <v>42632</v>
      </c>
    </row>
    <row r="261290" spans="1:1">
      <c r="A261290" s="16">
        <v>42633</v>
      </c>
    </row>
    <row r="261291" spans="1:1">
      <c r="A261291" s="16">
        <v>42634</v>
      </c>
    </row>
    <row r="261292" spans="1:1">
      <c r="A261292" s="16">
        <v>42635</v>
      </c>
    </row>
    <row r="261293" spans="1:1">
      <c r="A261293" s="16">
        <v>42636</v>
      </c>
    </row>
    <row r="261294" spans="1:1">
      <c r="A261294" s="16">
        <v>42639</v>
      </c>
    </row>
    <row r="261295" spans="1:1">
      <c r="A261295" s="16">
        <v>42640</v>
      </c>
    </row>
    <row r="261296" spans="1:1">
      <c r="A261296" s="16">
        <v>42641</v>
      </c>
    </row>
    <row r="261297" spans="1:1">
      <c r="A261297" s="16">
        <v>42642</v>
      </c>
    </row>
    <row r="261298" spans="1:1">
      <c r="A261298" s="16">
        <v>42643</v>
      </c>
    </row>
    <row r="261299" spans="1:1">
      <c r="A261299" s="16">
        <v>42653</v>
      </c>
    </row>
    <row r="261300" spans="1:1">
      <c r="A261300" s="16">
        <v>42654</v>
      </c>
    </row>
    <row r="261301" spans="1:1">
      <c r="A261301" s="16">
        <v>42655</v>
      </c>
    </row>
    <row r="261302" spans="1:1">
      <c r="A261302" s="16">
        <v>42656</v>
      </c>
    </row>
    <row r="261303" spans="1:1">
      <c r="A261303" s="16">
        <v>42657</v>
      </c>
    </row>
    <row r="261304" spans="1:1">
      <c r="A261304" s="16">
        <v>42660</v>
      </c>
    </row>
    <row r="261305" spans="1:1">
      <c r="A261305" s="16">
        <v>42661</v>
      </c>
    </row>
    <row r="261306" spans="1:1">
      <c r="A261306" s="16">
        <v>42662</v>
      </c>
    </row>
    <row r="261307" spans="1:1">
      <c r="A261307" s="16">
        <v>42663</v>
      </c>
    </row>
    <row r="261308" spans="1:1">
      <c r="A261308" s="16">
        <v>42664</v>
      </c>
    </row>
    <row r="261309" spans="1:1">
      <c r="A261309" s="16">
        <v>42667</v>
      </c>
    </row>
    <row r="261310" spans="1:1">
      <c r="A261310" s="16">
        <v>42668</v>
      </c>
    </row>
    <row r="261311" spans="1:1">
      <c r="A261311" s="16">
        <v>42669</v>
      </c>
    </row>
    <row r="261312" spans="1:1">
      <c r="A261312" s="16">
        <v>42670</v>
      </c>
    </row>
    <row r="261313" spans="1:1">
      <c r="A261313" s="16">
        <v>42671</v>
      </c>
    </row>
    <row r="261314" spans="1:1">
      <c r="A261314" s="16">
        <v>42674</v>
      </c>
    </row>
    <row r="261315" spans="1:1">
      <c r="A261315" s="16">
        <v>42675</v>
      </c>
    </row>
    <row r="261316" spans="1:1">
      <c r="A261316" s="16">
        <v>42676</v>
      </c>
    </row>
    <row r="261317" spans="1:1">
      <c r="A261317" s="16">
        <v>42677</v>
      </c>
    </row>
    <row r="261318" spans="1:1">
      <c r="A261318" s="16">
        <v>42678</v>
      </c>
    </row>
    <row r="277616" spans="1:1">
      <c r="A277616" s="16" t="s">
        <v>0</v>
      </c>
    </row>
    <row r="277617" spans="1:1">
      <c r="A277617" s="16" t="s">
        <v>1</v>
      </c>
    </row>
    <row r="277618" spans="1:1">
      <c r="A277618" s="16">
        <v>42551</v>
      </c>
    </row>
    <row r="277619" spans="1:1">
      <c r="A277619" s="16">
        <v>42552</v>
      </c>
    </row>
    <row r="277620" spans="1:1">
      <c r="A277620" s="16">
        <v>42555</v>
      </c>
    </row>
    <row r="277621" spans="1:1">
      <c r="A277621" s="16">
        <v>42556</v>
      </c>
    </row>
    <row r="277622" spans="1:1">
      <c r="A277622" s="16">
        <v>42557</v>
      </c>
    </row>
    <row r="277623" spans="1:1">
      <c r="A277623" s="16">
        <v>42558</v>
      </c>
    </row>
    <row r="277624" spans="1:1">
      <c r="A277624" s="16">
        <v>42559</v>
      </c>
    </row>
    <row r="277625" spans="1:1">
      <c r="A277625" s="16">
        <v>42562</v>
      </c>
    </row>
    <row r="277626" spans="1:1">
      <c r="A277626" s="16">
        <v>42563</v>
      </c>
    </row>
    <row r="277627" spans="1:1">
      <c r="A277627" s="16">
        <v>42564</v>
      </c>
    </row>
    <row r="277628" spans="1:1">
      <c r="A277628" s="16">
        <v>42565</v>
      </c>
    </row>
    <row r="277629" spans="1:1">
      <c r="A277629" s="16">
        <v>42566</v>
      </c>
    </row>
    <row r="277630" spans="1:1">
      <c r="A277630" s="16">
        <v>42569</v>
      </c>
    </row>
    <row r="277631" spans="1:1">
      <c r="A277631" s="16">
        <v>42570</v>
      </c>
    </row>
    <row r="277632" spans="1:1">
      <c r="A277632" s="16">
        <v>42571</v>
      </c>
    </row>
    <row r="277633" spans="1:1">
      <c r="A277633" s="16">
        <v>42572</v>
      </c>
    </row>
    <row r="277634" spans="1:1">
      <c r="A277634" s="16">
        <v>42573</v>
      </c>
    </row>
    <row r="277635" spans="1:1">
      <c r="A277635" s="16">
        <v>42576</v>
      </c>
    </row>
    <row r="277636" spans="1:1">
      <c r="A277636" s="16">
        <v>42577</v>
      </c>
    </row>
    <row r="277637" spans="1:1">
      <c r="A277637" s="16">
        <v>42578</v>
      </c>
    </row>
    <row r="277638" spans="1:1">
      <c r="A277638" s="16">
        <v>42579</v>
      </c>
    </row>
    <row r="277639" spans="1:1">
      <c r="A277639" s="16">
        <v>42580</v>
      </c>
    </row>
    <row r="277640" spans="1:1">
      <c r="A277640" s="16">
        <v>42583</v>
      </c>
    </row>
    <row r="277641" spans="1:1">
      <c r="A277641" s="16">
        <v>42584</v>
      </c>
    </row>
    <row r="277642" spans="1:1">
      <c r="A277642" s="16">
        <v>42585</v>
      </c>
    </row>
    <row r="277643" spans="1:1">
      <c r="A277643" s="16">
        <v>42586</v>
      </c>
    </row>
    <row r="277644" spans="1:1">
      <c r="A277644" s="16">
        <v>42587</v>
      </c>
    </row>
    <row r="277645" spans="1:1">
      <c r="A277645" s="16">
        <v>42590</v>
      </c>
    </row>
    <row r="277646" spans="1:1">
      <c r="A277646" s="16">
        <v>42591</v>
      </c>
    </row>
    <row r="277647" spans="1:1">
      <c r="A277647" s="16">
        <v>42592</v>
      </c>
    </row>
    <row r="277648" spans="1:1">
      <c r="A277648" s="16">
        <v>42593</v>
      </c>
    </row>
    <row r="277649" spans="1:1">
      <c r="A277649" s="16">
        <v>42594</v>
      </c>
    </row>
    <row r="277650" spans="1:1">
      <c r="A277650" s="16">
        <v>42597</v>
      </c>
    </row>
    <row r="277651" spans="1:1">
      <c r="A277651" s="16">
        <v>42598</v>
      </c>
    </row>
    <row r="277652" spans="1:1">
      <c r="A277652" s="16">
        <v>42599</v>
      </c>
    </row>
    <row r="277653" spans="1:1">
      <c r="A277653" s="16">
        <v>42600</v>
      </c>
    </row>
    <row r="277654" spans="1:1">
      <c r="A277654" s="16">
        <v>42601</v>
      </c>
    </row>
    <row r="277655" spans="1:1">
      <c r="A277655" s="16">
        <v>42604</v>
      </c>
    </row>
    <row r="277656" spans="1:1">
      <c r="A277656" s="16">
        <v>42605</v>
      </c>
    </row>
    <row r="277657" spans="1:1">
      <c r="A277657" s="16">
        <v>42606</v>
      </c>
    </row>
    <row r="277658" spans="1:1">
      <c r="A277658" s="16">
        <v>42607</v>
      </c>
    </row>
    <row r="277659" spans="1:1">
      <c r="A277659" s="16">
        <v>42608</v>
      </c>
    </row>
    <row r="277660" spans="1:1">
      <c r="A277660" s="16">
        <v>42611</v>
      </c>
    </row>
    <row r="277661" spans="1:1">
      <c r="A277661" s="16">
        <v>42612</v>
      </c>
    </row>
    <row r="277662" spans="1:1">
      <c r="A277662" s="16">
        <v>42613</v>
      </c>
    </row>
    <row r="277663" spans="1:1">
      <c r="A277663" s="16">
        <v>42614</v>
      </c>
    </row>
    <row r="277664" spans="1:1">
      <c r="A277664" s="16">
        <v>42615</v>
      </c>
    </row>
    <row r="277665" spans="1:1">
      <c r="A277665" s="16">
        <v>42618</v>
      </c>
    </row>
    <row r="277666" spans="1:1">
      <c r="A277666" s="16">
        <v>42619</v>
      </c>
    </row>
    <row r="277667" spans="1:1">
      <c r="A277667" s="16">
        <v>42620</v>
      </c>
    </row>
    <row r="277668" spans="1:1">
      <c r="A277668" s="16">
        <v>42621</v>
      </c>
    </row>
    <row r="277669" spans="1:1">
      <c r="A277669" s="16">
        <v>42622</v>
      </c>
    </row>
    <row r="277670" spans="1:1">
      <c r="A277670" s="16">
        <v>42625</v>
      </c>
    </row>
    <row r="277671" spans="1:1">
      <c r="A277671" s="16">
        <v>42626</v>
      </c>
    </row>
    <row r="277672" spans="1:1">
      <c r="A277672" s="16">
        <v>42627</v>
      </c>
    </row>
    <row r="277673" spans="1:1">
      <c r="A277673" s="16">
        <v>42632</v>
      </c>
    </row>
    <row r="277674" spans="1:1">
      <c r="A277674" s="16">
        <v>42633</v>
      </c>
    </row>
    <row r="277675" spans="1:1">
      <c r="A277675" s="16">
        <v>42634</v>
      </c>
    </row>
    <row r="277676" spans="1:1">
      <c r="A277676" s="16">
        <v>42635</v>
      </c>
    </row>
    <row r="277677" spans="1:1">
      <c r="A277677" s="16">
        <v>42636</v>
      </c>
    </row>
    <row r="277678" spans="1:1">
      <c r="A277678" s="16">
        <v>42639</v>
      </c>
    </row>
    <row r="277679" spans="1:1">
      <c r="A277679" s="16">
        <v>42640</v>
      </c>
    </row>
    <row r="277680" spans="1:1">
      <c r="A277680" s="16">
        <v>42641</v>
      </c>
    </row>
    <row r="277681" spans="1:1">
      <c r="A277681" s="16">
        <v>42642</v>
      </c>
    </row>
    <row r="277682" spans="1:1">
      <c r="A277682" s="16">
        <v>42643</v>
      </c>
    </row>
    <row r="277683" spans="1:1">
      <c r="A277683" s="16">
        <v>42653</v>
      </c>
    </row>
    <row r="277684" spans="1:1">
      <c r="A277684" s="16">
        <v>42654</v>
      </c>
    </row>
    <row r="277685" spans="1:1">
      <c r="A277685" s="16">
        <v>42655</v>
      </c>
    </row>
    <row r="277686" spans="1:1">
      <c r="A277686" s="16">
        <v>42656</v>
      </c>
    </row>
    <row r="277687" spans="1:1">
      <c r="A277687" s="16">
        <v>42657</v>
      </c>
    </row>
    <row r="277688" spans="1:1">
      <c r="A277688" s="16">
        <v>42660</v>
      </c>
    </row>
    <row r="277689" spans="1:1">
      <c r="A277689" s="16">
        <v>42661</v>
      </c>
    </row>
    <row r="277690" spans="1:1">
      <c r="A277690" s="16">
        <v>42662</v>
      </c>
    </row>
    <row r="277691" spans="1:1">
      <c r="A277691" s="16">
        <v>42663</v>
      </c>
    </row>
    <row r="277692" spans="1:1">
      <c r="A277692" s="16">
        <v>42664</v>
      </c>
    </row>
    <row r="277693" spans="1:1">
      <c r="A277693" s="16">
        <v>42667</v>
      </c>
    </row>
    <row r="277694" spans="1:1">
      <c r="A277694" s="16">
        <v>42668</v>
      </c>
    </row>
    <row r="277695" spans="1:1">
      <c r="A277695" s="16">
        <v>42669</v>
      </c>
    </row>
    <row r="277696" spans="1:1">
      <c r="A277696" s="16">
        <v>42670</v>
      </c>
    </row>
    <row r="277697" spans="1:1">
      <c r="A277697" s="16">
        <v>42671</v>
      </c>
    </row>
    <row r="277698" spans="1:1">
      <c r="A277698" s="16">
        <v>42674</v>
      </c>
    </row>
    <row r="277699" spans="1:1">
      <c r="A277699" s="16">
        <v>42675</v>
      </c>
    </row>
    <row r="277700" spans="1:1">
      <c r="A277700" s="16">
        <v>42676</v>
      </c>
    </row>
    <row r="277701" spans="1:1">
      <c r="A277701" s="16">
        <v>42677</v>
      </c>
    </row>
    <row r="277702" spans="1:1">
      <c r="A277702" s="16">
        <v>42678</v>
      </c>
    </row>
    <row r="294000" spans="1:1">
      <c r="A294000" s="16" t="s">
        <v>0</v>
      </c>
    </row>
    <row r="294001" spans="1:1">
      <c r="A294001" s="16" t="s">
        <v>1</v>
      </c>
    </row>
    <row r="294002" spans="1:1">
      <c r="A294002" s="16">
        <v>42551</v>
      </c>
    </row>
    <row r="294003" spans="1:1">
      <c r="A294003" s="16">
        <v>42552</v>
      </c>
    </row>
    <row r="294004" spans="1:1">
      <c r="A294004" s="16">
        <v>42555</v>
      </c>
    </row>
    <row r="294005" spans="1:1">
      <c r="A294005" s="16">
        <v>42556</v>
      </c>
    </row>
    <row r="294006" spans="1:1">
      <c r="A294006" s="16">
        <v>42557</v>
      </c>
    </row>
    <row r="294007" spans="1:1">
      <c r="A294007" s="16">
        <v>42558</v>
      </c>
    </row>
    <row r="294008" spans="1:1">
      <c r="A294008" s="16">
        <v>42559</v>
      </c>
    </row>
    <row r="294009" spans="1:1">
      <c r="A294009" s="16">
        <v>42562</v>
      </c>
    </row>
    <row r="294010" spans="1:1">
      <c r="A294010" s="16">
        <v>42563</v>
      </c>
    </row>
    <row r="294011" spans="1:1">
      <c r="A294011" s="16">
        <v>42564</v>
      </c>
    </row>
    <row r="294012" spans="1:1">
      <c r="A294012" s="16">
        <v>42565</v>
      </c>
    </row>
    <row r="294013" spans="1:1">
      <c r="A294013" s="16">
        <v>42566</v>
      </c>
    </row>
    <row r="294014" spans="1:1">
      <c r="A294014" s="16">
        <v>42569</v>
      </c>
    </row>
    <row r="294015" spans="1:1">
      <c r="A294015" s="16">
        <v>42570</v>
      </c>
    </row>
    <row r="294016" spans="1:1">
      <c r="A294016" s="16">
        <v>42571</v>
      </c>
    </row>
    <row r="294017" spans="1:1">
      <c r="A294017" s="16">
        <v>42572</v>
      </c>
    </row>
    <row r="294018" spans="1:1">
      <c r="A294018" s="16">
        <v>42573</v>
      </c>
    </row>
    <row r="294019" spans="1:1">
      <c r="A294019" s="16">
        <v>42576</v>
      </c>
    </row>
    <row r="294020" spans="1:1">
      <c r="A294020" s="16">
        <v>42577</v>
      </c>
    </row>
    <row r="294021" spans="1:1">
      <c r="A294021" s="16">
        <v>42578</v>
      </c>
    </row>
    <row r="294022" spans="1:1">
      <c r="A294022" s="16">
        <v>42579</v>
      </c>
    </row>
    <row r="294023" spans="1:1">
      <c r="A294023" s="16">
        <v>42580</v>
      </c>
    </row>
    <row r="294024" spans="1:1">
      <c r="A294024" s="16">
        <v>42583</v>
      </c>
    </row>
    <row r="294025" spans="1:1">
      <c r="A294025" s="16">
        <v>42584</v>
      </c>
    </row>
    <row r="294026" spans="1:1">
      <c r="A294026" s="16">
        <v>42585</v>
      </c>
    </row>
    <row r="294027" spans="1:1">
      <c r="A294027" s="16">
        <v>42586</v>
      </c>
    </row>
    <row r="294028" spans="1:1">
      <c r="A294028" s="16">
        <v>42587</v>
      </c>
    </row>
    <row r="294029" spans="1:1">
      <c r="A294029" s="16">
        <v>42590</v>
      </c>
    </row>
    <row r="294030" spans="1:1">
      <c r="A294030" s="16">
        <v>42591</v>
      </c>
    </row>
    <row r="294031" spans="1:1">
      <c r="A294031" s="16">
        <v>42592</v>
      </c>
    </row>
    <row r="294032" spans="1:1">
      <c r="A294032" s="16">
        <v>42593</v>
      </c>
    </row>
    <row r="294033" spans="1:1">
      <c r="A294033" s="16">
        <v>42594</v>
      </c>
    </row>
    <row r="294034" spans="1:1">
      <c r="A294034" s="16">
        <v>42597</v>
      </c>
    </row>
    <row r="294035" spans="1:1">
      <c r="A294035" s="16">
        <v>42598</v>
      </c>
    </row>
    <row r="294036" spans="1:1">
      <c r="A294036" s="16">
        <v>42599</v>
      </c>
    </row>
    <row r="294037" spans="1:1">
      <c r="A294037" s="16">
        <v>42600</v>
      </c>
    </row>
    <row r="294038" spans="1:1">
      <c r="A294038" s="16">
        <v>42601</v>
      </c>
    </row>
    <row r="294039" spans="1:1">
      <c r="A294039" s="16">
        <v>42604</v>
      </c>
    </row>
    <row r="294040" spans="1:1">
      <c r="A294040" s="16">
        <v>42605</v>
      </c>
    </row>
    <row r="294041" spans="1:1">
      <c r="A294041" s="16">
        <v>42606</v>
      </c>
    </row>
    <row r="294042" spans="1:1">
      <c r="A294042" s="16">
        <v>42607</v>
      </c>
    </row>
    <row r="294043" spans="1:1">
      <c r="A294043" s="16">
        <v>42608</v>
      </c>
    </row>
    <row r="294044" spans="1:1">
      <c r="A294044" s="16">
        <v>42611</v>
      </c>
    </row>
    <row r="294045" spans="1:1">
      <c r="A294045" s="16">
        <v>42612</v>
      </c>
    </row>
    <row r="294046" spans="1:1">
      <c r="A294046" s="16">
        <v>42613</v>
      </c>
    </row>
    <row r="294047" spans="1:1">
      <c r="A294047" s="16">
        <v>42614</v>
      </c>
    </row>
    <row r="294048" spans="1:1">
      <c r="A294048" s="16">
        <v>42615</v>
      </c>
    </row>
    <row r="294049" spans="1:1">
      <c r="A294049" s="16">
        <v>42618</v>
      </c>
    </row>
    <row r="294050" spans="1:1">
      <c r="A294050" s="16">
        <v>42619</v>
      </c>
    </row>
    <row r="294051" spans="1:1">
      <c r="A294051" s="16">
        <v>42620</v>
      </c>
    </row>
    <row r="294052" spans="1:1">
      <c r="A294052" s="16">
        <v>42621</v>
      </c>
    </row>
    <row r="294053" spans="1:1">
      <c r="A294053" s="16">
        <v>42622</v>
      </c>
    </row>
    <row r="294054" spans="1:1">
      <c r="A294054" s="16">
        <v>42625</v>
      </c>
    </row>
    <row r="294055" spans="1:1">
      <c r="A294055" s="16">
        <v>42626</v>
      </c>
    </row>
    <row r="294056" spans="1:1">
      <c r="A294056" s="16">
        <v>42627</v>
      </c>
    </row>
    <row r="294057" spans="1:1">
      <c r="A294057" s="16">
        <v>42632</v>
      </c>
    </row>
    <row r="294058" spans="1:1">
      <c r="A294058" s="16">
        <v>42633</v>
      </c>
    </row>
    <row r="294059" spans="1:1">
      <c r="A294059" s="16">
        <v>42634</v>
      </c>
    </row>
    <row r="294060" spans="1:1">
      <c r="A294060" s="16">
        <v>42635</v>
      </c>
    </row>
    <row r="294061" spans="1:1">
      <c r="A294061" s="16">
        <v>42636</v>
      </c>
    </row>
    <row r="294062" spans="1:1">
      <c r="A294062" s="16">
        <v>42639</v>
      </c>
    </row>
    <row r="294063" spans="1:1">
      <c r="A294063" s="16">
        <v>42640</v>
      </c>
    </row>
    <row r="294064" spans="1:1">
      <c r="A294064" s="16">
        <v>42641</v>
      </c>
    </row>
    <row r="294065" spans="1:1">
      <c r="A294065" s="16">
        <v>42642</v>
      </c>
    </row>
    <row r="294066" spans="1:1">
      <c r="A294066" s="16">
        <v>42643</v>
      </c>
    </row>
    <row r="294067" spans="1:1">
      <c r="A294067" s="16">
        <v>42653</v>
      </c>
    </row>
    <row r="294068" spans="1:1">
      <c r="A294068" s="16">
        <v>42654</v>
      </c>
    </row>
    <row r="294069" spans="1:1">
      <c r="A294069" s="16">
        <v>42655</v>
      </c>
    </row>
    <row r="294070" spans="1:1">
      <c r="A294070" s="16">
        <v>42656</v>
      </c>
    </row>
    <row r="294071" spans="1:1">
      <c r="A294071" s="16">
        <v>42657</v>
      </c>
    </row>
    <row r="294072" spans="1:1">
      <c r="A294072" s="16">
        <v>42660</v>
      </c>
    </row>
    <row r="294073" spans="1:1">
      <c r="A294073" s="16">
        <v>42661</v>
      </c>
    </row>
    <row r="294074" spans="1:1">
      <c r="A294074" s="16">
        <v>42662</v>
      </c>
    </row>
    <row r="294075" spans="1:1">
      <c r="A294075" s="16">
        <v>42663</v>
      </c>
    </row>
    <row r="294076" spans="1:1">
      <c r="A294076" s="16">
        <v>42664</v>
      </c>
    </row>
    <row r="294077" spans="1:1">
      <c r="A294077" s="16">
        <v>42667</v>
      </c>
    </row>
    <row r="294078" spans="1:1">
      <c r="A294078" s="16">
        <v>42668</v>
      </c>
    </row>
    <row r="294079" spans="1:1">
      <c r="A294079" s="16">
        <v>42669</v>
      </c>
    </row>
    <row r="294080" spans="1:1">
      <c r="A294080" s="16">
        <v>42670</v>
      </c>
    </row>
    <row r="294081" spans="1:1">
      <c r="A294081" s="16">
        <v>42671</v>
      </c>
    </row>
    <row r="294082" spans="1:1">
      <c r="A294082" s="16">
        <v>42674</v>
      </c>
    </row>
    <row r="294083" spans="1:1">
      <c r="A294083" s="16">
        <v>42675</v>
      </c>
    </row>
    <row r="294084" spans="1:1">
      <c r="A294084" s="16">
        <v>42676</v>
      </c>
    </row>
    <row r="294085" spans="1:1">
      <c r="A294085" s="16">
        <v>42677</v>
      </c>
    </row>
    <row r="294086" spans="1:1">
      <c r="A294086" s="16">
        <v>42678</v>
      </c>
    </row>
    <row r="310384" spans="1:1">
      <c r="A310384" s="16" t="s">
        <v>0</v>
      </c>
    </row>
    <row r="310385" spans="1:1">
      <c r="A310385" s="16" t="s">
        <v>1</v>
      </c>
    </row>
    <row r="310386" spans="1:1">
      <c r="A310386" s="16">
        <v>42551</v>
      </c>
    </row>
    <row r="310387" spans="1:1">
      <c r="A310387" s="16">
        <v>42552</v>
      </c>
    </row>
    <row r="310388" spans="1:1">
      <c r="A310388" s="16">
        <v>42555</v>
      </c>
    </row>
    <row r="310389" spans="1:1">
      <c r="A310389" s="16">
        <v>42556</v>
      </c>
    </row>
    <row r="310390" spans="1:1">
      <c r="A310390" s="16">
        <v>42557</v>
      </c>
    </row>
    <row r="310391" spans="1:1">
      <c r="A310391" s="16">
        <v>42558</v>
      </c>
    </row>
    <row r="310392" spans="1:1">
      <c r="A310392" s="16">
        <v>42559</v>
      </c>
    </row>
    <row r="310393" spans="1:1">
      <c r="A310393" s="16">
        <v>42562</v>
      </c>
    </row>
    <row r="310394" spans="1:1">
      <c r="A310394" s="16">
        <v>42563</v>
      </c>
    </row>
    <row r="310395" spans="1:1">
      <c r="A310395" s="16">
        <v>42564</v>
      </c>
    </row>
    <row r="310396" spans="1:1">
      <c r="A310396" s="16">
        <v>42565</v>
      </c>
    </row>
    <row r="310397" spans="1:1">
      <c r="A310397" s="16">
        <v>42566</v>
      </c>
    </row>
    <row r="310398" spans="1:1">
      <c r="A310398" s="16">
        <v>42569</v>
      </c>
    </row>
    <row r="310399" spans="1:1">
      <c r="A310399" s="16">
        <v>42570</v>
      </c>
    </row>
    <row r="310400" spans="1:1">
      <c r="A310400" s="16">
        <v>42571</v>
      </c>
    </row>
    <row r="310401" spans="1:1">
      <c r="A310401" s="16">
        <v>42572</v>
      </c>
    </row>
    <row r="310402" spans="1:1">
      <c r="A310402" s="16">
        <v>42573</v>
      </c>
    </row>
    <row r="310403" spans="1:1">
      <c r="A310403" s="16">
        <v>42576</v>
      </c>
    </row>
    <row r="310404" spans="1:1">
      <c r="A310404" s="16">
        <v>42577</v>
      </c>
    </row>
    <row r="310405" spans="1:1">
      <c r="A310405" s="16">
        <v>42578</v>
      </c>
    </row>
    <row r="310406" spans="1:1">
      <c r="A310406" s="16">
        <v>42579</v>
      </c>
    </row>
    <row r="310407" spans="1:1">
      <c r="A310407" s="16">
        <v>42580</v>
      </c>
    </row>
    <row r="310408" spans="1:1">
      <c r="A310408" s="16">
        <v>42583</v>
      </c>
    </row>
    <row r="310409" spans="1:1">
      <c r="A310409" s="16">
        <v>42584</v>
      </c>
    </row>
    <row r="310410" spans="1:1">
      <c r="A310410" s="16">
        <v>42585</v>
      </c>
    </row>
    <row r="310411" spans="1:1">
      <c r="A310411" s="16">
        <v>42586</v>
      </c>
    </row>
    <row r="310412" spans="1:1">
      <c r="A310412" s="16">
        <v>42587</v>
      </c>
    </row>
    <row r="310413" spans="1:1">
      <c r="A310413" s="16">
        <v>42590</v>
      </c>
    </row>
    <row r="310414" spans="1:1">
      <c r="A310414" s="16">
        <v>42591</v>
      </c>
    </row>
    <row r="310415" spans="1:1">
      <c r="A310415" s="16">
        <v>42592</v>
      </c>
    </row>
    <row r="310416" spans="1:1">
      <c r="A310416" s="16">
        <v>42593</v>
      </c>
    </row>
    <row r="310417" spans="1:1">
      <c r="A310417" s="16">
        <v>42594</v>
      </c>
    </row>
    <row r="310418" spans="1:1">
      <c r="A310418" s="16">
        <v>42597</v>
      </c>
    </row>
    <row r="310419" spans="1:1">
      <c r="A310419" s="16">
        <v>42598</v>
      </c>
    </row>
    <row r="310420" spans="1:1">
      <c r="A310420" s="16">
        <v>42599</v>
      </c>
    </row>
    <row r="310421" spans="1:1">
      <c r="A310421" s="16">
        <v>42600</v>
      </c>
    </row>
    <row r="310422" spans="1:1">
      <c r="A310422" s="16">
        <v>42601</v>
      </c>
    </row>
    <row r="310423" spans="1:1">
      <c r="A310423" s="16">
        <v>42604</v>
      </c>
    </row>
    <row r="310424" spans="1:1">
      <c r="A310424" s="16">
        <v>42605</v>
      </c>
    </row>
    <row r="310425" spans="1:1">
      <c r="A310425" s="16">
        <v>42606</v>
      </c>
    </row>
    <row r="310426" spans="1:1">
      <c r="A310426" s="16">
        <v>42607</v>
      </c>
    </row>
    <row r="310427" spans="1:1">
      <c r="A310427" s="16">
        <v>42608</v>
      </c>
    </row>
    <row r="310428" spans="1:1">
      <c r="A310428" s="16">
        <v>42611</v>
      </c>
    </row>
    <row r="310429" spans="1:1">
      <c r="A310429" s="16">
        <v>42612</v>
      </c>
    </row>
    <row r="310430" spans="1:1">
      <c r="A310430" s="16">
        <v>42613</v>
      </c>
    </row>
    <row r="310431" spans="1:1">
      <c r="A310431" s="16">
        <v>42614</v>
      </c>
    </row>
    <row r="310432" spans="1:1">
      <c r="A310432" s="16">
        <v>42615</v>
      </c>
    </row>
    <row r="310433" spans="1:1">
      <c r="A310433" s="16">
        <v>42618</v>
      </c>
    </row>
    <row r="310434" spans="1:1">
      <c r="A310434" s="16">
        <v>42619</v>
      </c>
    </row>
    <row r="310435" spans="1:1">
      <c r="A310435" s="16">
        <v>42620</v>
      </c>
    </row>
    <row r="310436" spans="1:1">
      <c r="A310436" s="16">
        <v>42621</v>
      </c>
    </row>
    <row r="310437" spans="1:1">
      <c r="A310437" s="16">
        <v>42622</v>
      </c>
    </row>
    <row r="310438" spans="1:1">
      <c r="A310438" s="16">
        <v>42625</v>
      </c>
    </row>
    <row r="310439" spans="1:1">
      <c r="A310439" s="16">
        <v>42626</v>
      </c>
    </row>
    <row r="310440" spans="1:1">
      <c r="A310440" s="16">
        <v>42627</v>
      </c>
    </row>
    <row r="310441" spans="1:1">
      <c r="A310441" s="16">
        <v>42632</v>
      </c>
    </row>
    <row r="310442" spans="1:1">
      <c r="A310442" s="16">
        <v>42633</v>
      </c>
    </row>
    <row r="310443" spans="1:1">
      <c r="A310443" s="16">
        <v>42634</v>
      </c>
    </row>
    <row r="310444" spans="1:1">
      <c r="A310444" s="16">
        <v>42635</v>
      </c>
    </row>
    <row r="310445" spans="1:1">
      <c r="A310445" s="16">
        <v>42636</v>
      </c>
    </row>
    <row r="310446" spans="1:1">
      <c r="A310446" s="16">
        <v>42639</v>
      </c>
    </row>
    <row r="310447" spans="1:1">
      <c r="A310447" s="16">
        <v>42640</v>
      </c>
    </row>
    <row r="310448" spans="1:1">
      <c r="A310448" s="16">
        <v>42641</v>
      </c>
    </row>
    <row r="310449" spans="1:1">
      <c r="A310449" s="16">
        <v>42642</v>
      </c>
    </row>
    <row r="310450" spans="1:1">
      <c r="A310450" s="16">
        <v>42643</v>
      </c>
    </row>
    <row r="310451" spans="1:1">
      <c r="A310451" s="16">
        <v>42653</v>
      </c>
    </row>
    <row r="310452" spans="1:1">
      <c r="A310452" s="16">
        <v>42654</v>
      </c>
    </row>
    <row r="310453" spans="1:1">
      <c r="A310453" s="16">
        <v>42655</v>
      </c>
    </row>
    <row r="310454" spans="1:1">
      <c r="A310454" s="16">
        <v>42656</v>
      </c>
    </row>
    <row r="310455" spans="1:1">
      <c r="A310455" s="16">
        <v>42657</v>
      </c>
    </row>
    <row r="310456" spans="1:1">
      <c r="A310456" s="16">
        <v>42660</v>
      </c>
    </row>
    <row r="310457" spans="1:1">
      <c r="A310457" s="16">
        <v>42661</v>
      </c>
    </row>
    <row r="310458" spans="1:1">
      <c r="A310458" s="16">
        <v>42662</v>
      </c>
    </row>
    <row r="310459" spans="1:1">
      <c r="A310459" s="16">
        <v>42663</v>
      </c>
    </row>
    <row r="310460" spans="1:1">
      <c r="A310460" s="16">
        <v>42664</v>
      </c>
    </row>
    <row r="310461" spans="1:1">
      <c r="A310461" s="16">
        <v>42667</v>
      </c>
    </row>
    <row r="310462" spans="1:1">
      <c r="A310462" s="16">
        <v>42668</v>
      </c>
    </row>
    <row r="310463" spans="1:1">
      <c r="A310463" s="16">
        <v>42669</v>
      </c>
    </row>
    <row r="310464" spans="1:1">
      <c r="A310464" s="16">
        <v>42670</v>
      </c>
    </row>
    <row r="310465" spans="1:1">
      <c r="A310465" s="16">
        <v>42671</v>
      </c>
    </row>
    <row r="310466" spans="1:1">
      <c r="A310466" s="16">
        <v>42674</v>
      </c>
    </row>
    <row r="310467" spans="1:1">
      <c r="A310467" s="16">
        <v>42675</v>
      </c>
    </row>
    <row r="310468" spans="1:1">
      <c r="A310468" s="16">
        <v>42676</v>
      </c>
    </row>
    <row r="310469" spans="1:1">
      <c r="A310469" s="16">
        <v>42677</v>
      </c>
    </row>
    <row r="310470" spans="1:1">
      <c r="A310470" s="16">
        <v>42678</v>
      </c>
    </row>
    <row r="326768" spans="1:1">
      <c r="A326768" s="16" t="s">
        <v>0</v>
      </c>
    </row>
    <row r="326769" spans="1:1">
      <c r="A326769" s="16" t="s">
        <v>1</v>
      </c>
    </row>
    <row r="326770" spans="1:1">
      <c r="A326770" s="16">
        <v>42551</v>
      </c>
    </row>
    <row r="326771" spans="1:1">
      <c r="A326771" s="16">
        <v>42552</v>
      </c>
    </row>
    <row r="326772" spans="1:1">
      <c r="A326772" s="16">
        <v>42555</v>
      </c>
    </row>
    <row r="326773" spans="1:1">
      <c r="A326773" s="16">
        <v>42556</v>
      </c>
    </row>
    <row r="326774" spans="1:1">
      <c r="A326774" s="16">
        <v>42557</v>
      </c>
    </row>
    <row r="326775" spans="1:1">
      <c r="A326775" s="16">
        <v>42558</v>
      </c>
    </row>
    <row r="326776" spans="1:1">
      <c r="A326776" s="16">
        <v>42559</v>
      </c>
    </row>
    <row r="326777" spans="1:1">
      <c r="A326777" s="16">
        <v>42562</v>
      </c>
    </row>
    <row r="326778" spans="1:1">
      <c r="A326778" s="16">
        <v>42563</v>
      </c>
    </row>
    <row r="326779" spans="1:1">
      <c r="A326779" s="16">
        <v>42564</v>
      </c>
    </row>
    <row r="326780" spans="1:1">
      <c r="A326780" s="16">
        <v>42565</v>
      </c>
    </row>
    <row r="326781" spans="1:1">
      <c r="A326781" s="16">
        <v>42566</v>
      </c>
    </row>
    <row r="326782" spans="1:1">
      <c r="A326782" s="16">
        <v>42569</v>
      </c>
    </row>
    <row r="326783" spans="1:1">
      <c r="A326783" s="16">
        <v>42570</v>
      </c>
    </row>
    <row r="326784" spans="1:1">
      <c r="A326784" s="16">
        <v>42571</v>
      </c>
    </row>
    <row r="326785" spans="1:1">
      <c r="A326785" s="16">
        <v>42572</v>
      </c>
    </row>
    <row r="326786" spans="1:1">
      <c r="A326786" s="16">
        <v>42573</v>
      </c>
    </row>
    <row r="326787" spans="1:1">
      <c r="A326787" s="16">
        <v>42576</v>
      </c>
    </row>
    <row r="326788" spans="1:1">
      <c r="A326788" s="16">
        <v>42577</v>
      </c>
    </row>
    <row r="326789" spans="1:1">
      <c r="A326789" s="16">
        <v>42578</v>
      </c>
    </row>
    <row r="326790" spans="1:1">
      <c r="A326790" s="16">
        <v>42579</v>
      </c>
    </row>
    <row r="326791" spans="1:1">
      <c r="A326791" s="16">
        <v>42580</v>
      </c>
    </row>
    <row r="326792" spans="1:1">
      <c r="A326792" s="16">
        <v>42583</v>
      </c>
    </row>
    <row r="326793" spans="1:1">
      <c r="A326793" s="16">
        <v>42584</v>
      </c>
    </row>
    <row r="326794" spans="1:1">
      <c r="A326794" s="16">
        <v>42585</v>
      </c>
    </row>
    <row r="326795" spans="1:1">
      <c r="A326795" s="16">
        <v>42586</v>
      </c>
    </row>
    <row r="326796" spans="1:1">
      <c r="A326796" s="16">
        <v>42587</v>
      </c>
    </row>
    <row r="326797" spans="1:1">
      <c r="A326797" s="16">
        <v>42590</v>
      </c>
    </row>
    <row r="326798" spans="1:1">
      <c r="A326798" s="16">
        <v>42591</v>
      </c>
    </row>
    <row r="326799" spans="1:1">
      <c r="A326799" s="16">
        <v>42592</v>
      </c>
    </row>
    <row r="326800" spans="1:1">
      <c r="A326800" s="16">
        <v>42593</v>
      </c>
    </row>
    <row r="326801" spans="1:1">
      <c r="A326801" s="16">
        <v>42594</v>
      </c>
    </row>
    <row r="326802" spans="1:1">
      <c r="A326802" s="16">
        <v>42597</v>
      </c>
    </row>
    <row r="326803" spans="1:1">
      <c r="A326803" s="16">
        <v>42598</v>
      </c>
    </row>
    <row r="326804" spans="1:1">
      <c r="A326804" s="16">
        <v>42599</v>
      </c>
    </row>
    <row r="326805" spans="1:1">
      <c r="A326805" s="16">
        <v>42600</v>
      </c>
    </row>
    <row r="326806" spans="1:1">
      <c r="A326806" s="16">
        <v>42601</v>
      </c>
    </row>
    <row r="326807" spans="1:1">
      <c r="A326807" s="16">
        <v>42604</v>
      </c>
    </row>
    <row r="326808" spans="1:1">
      <c r="A326808" s="16">
        <v>42605</v>
      </c>
    </row>
    <row r="326809" spans="1:1">
      <c r="A326809" s="16">
        <v>42606</v>
      </c>
    </row>
    <row r="326810" spans="1:1">
      <c r="A326810" s="16">
        <v>42607</v>
      </c>
    </row>
    <row r="326811" spans="1:1">
      <c r="A326811" s="16">
        <v>42608</v>
      </c>
    </row>
    <row r="326812" spans="1:1">
      <c r="A326812" s="16">
        <v>42611</v>
      </c>
    </row>
    <row r="326813" spans="1:1">
      <c r="A326813" s="16">
        <v>42612</v>
      </c>
    </row>
    <row r="326814" spans="1:1">
      <c r="A326814" s="16">
        <v>42613</v>
      </c>
    </row>
    <row r="326815" spans="1:1">
      <c r="A326815" s="16">
        <v>42614</v>
      </c>
    </row>
    <row r="326816" spans="1:1">
      <c r="A326816" s="16">
        <v>42615</v>
      </c>
    </row>
    <row r="326817" spans="1:1">
      <c r="A326817" s="16">
        <v>42618</v>
      </c>
    </row>
    <row r="326818" spans="1:1">
      <c r="A326818" s="16">
        <v>42619</v>
      </c>
    </row>
    <row r="326819" spans="1:1">
      <c r="A326819" s="16">
        <v>42620</v>
      </c>
    </row>
    <row r="326820" spans="1:1">
      <c r="A326820" s="16">
        <v>42621</v>
      </c>
    </row>
    <row r="326821" spans="1:1">
      <c r="A326821" s="16">
        <v>42622</v>
      </c>
    </row>
    <row r="326822" spans="1:1">
      <c r="A326822" s="16">
        <v>42625</v>
      </c>
    </row>
    <row r="326823" spans="1:1">
      <c r="A326823" s="16">
        <v>42626</v>
      </c>
    </row>
    <row r="326824" spans="1:1">
      <c r="A326824" s="16">
        <v>42627</v>
      </c>
    </row>
    <row r="326825" spans="1:1">
      <c r="A326825" s="16">
        <v>42632</v>
      </c>
    </row>
    <row r="326826" spans="1:1">
      <c r="A326826" s="16">
        <v>42633</v>
      </c>
    </row>
    <row r="326827" spans="1:1">
      <c r="A326827" s="16">
        <v>42634</v>
      </c>
    </row>
    <row r="326828" spans="1:1">
      <c r="A326828" s="16">
        <v>42635</v>
      </c>
    </row>
    <row r="326829" spans="1:1">
      <c r="A326829" s="16">
        <v>42636</v>
      </c>
    </row>
    <row r="326830" spans="1:1">
      <c r="A326830" s="16">
        <v>42639</v>
      </c>
    </row>
    <row r="326831" spans="1:1">
      <c r="A326831" s="16">
        <v>42640</v>
      </c>
    </row>
    <row r="326832" spans="1:1">
      <c r="A326832" s="16">
        <v>42641</v>
      </c>
    </row>
    <row r="326833" spans="1:1">
      <c r="A326833" s="16">
        <v>42642</v>
      </c>
    </row>
    <row r="326834" spans="1:1">
      <c r="A326834" s="16">
        <v>42643</v>
      </c>
    </row>
    <row r="326835" spans="1:1">
      <c r="A326835" s="16">
        <v>42653</v>
      </c>
    </row>
    <row r="326836" spans="1:1">
      <c r="A326836" s="16">
        <v>42654</v>
      </c>
    </row>
    <row r="326837" spans="1:1">
      <c r="A326837" s="16">
        <v>42655</v>
      </c>
    </row>
    <row r="326838" spans="1:1">
      <c r="A326838" s="16">
        <v>42656</v>
      </c>
    </row>
    <row r="326839" spans="1:1">
      <c r="A326839" s="16">
        <v>42657</v>
      </c>
    </row>
    <row r="326840" spans="1:1">
      <c r="A326840" s="16">
        <v>42660</v>
      </c>
    </row>
    <row r="326841" spans="1:1">
      <c r="A326841" s="16">
        <v>42661</v>
      </c>
    </row>
    <row r="326842" spans="1:1">
      <c r="A326842" s="16">
        <v>42662</v>
      </c>
    </row>
    <row r="326843" spans="1:1">
      <c r="A326843" s="16">
        <v>42663</v>
      </c>
    </row>
    <row r="326844" spans="1:1">
      <c r="A326844" s="16">
        <v>42664</v>
      </c>
    </row>
    <row r="326845" spans="1:1">
      <c r="A326845" s="16">
        <v>42667</v>
      </c>
    </row>
    <row r="326846" spans="1:1">
      <c r="A326846" s="16">
        <v>42668</v>
      </c>
    </row>
    <row r="326847" spans="1:1">
      <c r="A326847" s="16">
        <v>42669</v>
      </c>
    </row>
    <row r="326848" spans="1:1">
      <c r="A326848" s="16">
        <v>42670</v>
      </c>
    </row>
    <row r="326849" spans="1:1">
      <c r="A326849" s="16">
        <v>42671</v>
      </c>
    </row>
    <row r="326850" spans="1:1">
      <c r="A326850" s="16">
        <v>42674</v>
      </c>
    </row>
    <row r="326851" spans="1:1">
      <c r="A326851" s="16">
        <v>42675</v>
      </c>
    </row>
    <row r="326852" spans="1:1">
      <c r="A326852" s="16">
        <v>42676</v>
      </c>
    </row>
    <row r="326853" spans="1:1">
      <c r="A326853" s="16">
        <v>42677</v>
      </c>
    </row>
    <row r="326854" spans="1:1">
      <c r="A326854" s="16">
        <v>42678</v>
      </c>
    </row>
    <row r="343152" spans="1:1">
      <c r="A343152" s="16" t="s">
        <v>0</v>
      </c>
    </row>
    <row r="343153" spans="1:1">
      <c r="A343153" s="16" t="s">
        <v>1</v>
      </c>
    </row>
    <row r="343154" spans="1:1">
      <c r="A343154" s="16">
        <v>42551</v>
      </c>
    </row>
    <row r="343155" spans="1:1">
      <c r="A343155" s="16">
        <v>42552</v>
      </c>
    </row>
    <row r="343156" spans="1:1">
      <c r="A343156" s="16">
        <v>42555</v>
      </c>
    </row>
    <row r="343157" spans="1:1">
      <c r="A343157" s="16">
        <v>42556</v>
      </c>
    </row>
    <row r="343158" spans="1:1">
      <c r="A343158" s="16">
        <v>42557</v>
      </c>
    </row>
    <row r="343159" spans="1:1">
      <c r="A343159" s="16">
        <v>42558</v>
      </c>
    </row>
    <row r="343160" spans="1:1">
      <c r="A343160" s="16">
        <v>42559</v>
      </c>
    </row>
    <row r="343161" spans="1:1">
      <c r="A343161" s="16">
        <v>42562</v>
      </c>
    </row>
    <row r="343162" spans="1:1">
      <c r="A343162" s="16">
        <v>42563</v>
      </c>
    </row>
    <row r="343163" spans="1:1">
      <c r="A343163" s="16">
        <v>42564</v>
      </c>
    </row>
    <row r="343164" spans="1:1">
      <c r="A343164" s="16">
        <v>42565</v>
      </c>
    </row>
    <row r="343165" spans="1:1">
      <c r="A343165" s="16">
        <v>42566</v>
      </c>
    </row>
    <row r="343166" spans="1:1">
      <c r="A343166" s="16">
        <v>42569</v>
      </c>
    </row>
    <row r="343167" spans="1:1">
      <c r="A343167" s="16">
        <v>42570</v>
      </c>
    </row>
    <row r="343168" spans="1:1">
      <c r="A343168" s="16">
        <v>42571</v>
      </c>
    </row>
    <row r="343169" spans="1:1">
      <c r="A343169" s="16">
        <v>42572</v>
      </c>
    </row>
    <row r="343170" spans="1:1">
      <c r="A343170" s="16">
        <v>42573</v>
      </c>
    </row>
    <row r="343171" spans="1:1">
      <c r="A343171" s="16">
        <v>42576</v>
      </c>
    </row>
    <row r="343172" spans="1:1">
      <c r="A343172" s="16">
        <v>42577</v>
      </c>
    </row>
    <row r="343173" spans="1:1">
      <c r="A343173" s="16">
        <v>42578</v>
      </c>
    </row>
    <row r="343174" spans="1:1">
      <c r="A343174" s="16">
        <v>42579</v>
      </c>
    </row>
    <row r="343175" spans="1:1">
      <c r="A343175" s="16">
        <v>42580</v>
      </c>
    </row>
    <row r="343176" spans="1:1">
      <c r="A343176" s="16">
        <v>42583</v>
      </c>
    </row>
    <row r="343177" spans="1:1">
      <c r="A343177" s="16">
        <v>42584</v>
      </c>
    </row>
    <row r="343178" spans="1:1">
      <c r="A343178" s="16">
        <v>42585</v>
      </c>
    </row>
    <row r="343179" spans="1:1">
      <c r="A343179" s="16">
        <v>42586</v>
      </c>
    </row>
    <row r="343180" spans="1:1">
      <c r="A343180" s="16">
        <v>42587</v>
      </c>
    </row>
    <row r="343181" spans="1:1">
      <c r="A343181" s="16">
        <v>42590</v>
      </c>
    </row>
    <row r="343182" spans="1:1">
      <c r="A343182" s="16">
        <v>42591</v>
      </c>
    </row>
    <row r="343183" spans="1:1">
      <c r="A343183" s="16">
        <v>42592</v>
      </c>
    </row>
    <row r="343184" spans="1:1">
      <c r="A343184" s="16">
        <v>42593</v>
      </c>
    </row>
    <row r="343185" spans="1:1">
      <c r="A343185" s="16">
        <v>42594</v>
      </c>
    </row>
    <row r="343186" spans="1:1">
      <c r="A343186" s="16">
        <v>42597</v>
      </c>
    </row>
    <row r="343187" spans="1:1">
      <c r="A343187" s="16">
        <v>42598</v>
      </c>
    </row>
    <row r="343188" spans="1:1">
      <c r="A343188" s="16">
        <v>42599</v>
      </c>
    </row>
    <row r="343189" spans="1:1">
      <c r="A343189" s="16">
        <v>42600</v>
      </c>
    </row>
    <row r="343190" spans="1:1">
      <c r="A343190" s="16">
        <v>42601</v>
      </c>
    </row>
    <row r="343191" spans="1:1">
      <c r="A343191" s="16">
        <v>42604</v>
      </c>
    </row>
    <row r="343192" spans="1:1">
      <c r="A343192" s="16">
        <v>42605</v>
      </c>
    </row>
    <row r="343193" spans="1:1">
      <c r="A343193" s="16">
        <v>42606</v>
      </c>
    </row>
    <row r="343194" spans="1:1">
      <c r="A343194" s="16">
        <v>42607</v>
      </c>
    </row>
    <row r="343195" spans="1:1">
      <c r="A343195" s="16">
        <v>42608</v>
      </c>
    </row>
    <row r="343196" spans="1:1">
      <c r="A343196" s="16">
        <v>42611</v>
      </c>
    </row>
    <row r="343197" spans="1:1">
      <c r="A343197" s="16">
        <v>42612</v>
      </c>
    </row>
    <row r="343198" spans="1:1">
      <c r="A343198" s="16">
        <v>42613</v>
      </c>
    </row>
    <row r="343199" spans="1:1">
      <c r="A343199" s="16">
        <v>42614</v>
      </c>
    </row>
    <row r="343200" spans="1:1">
      <c r="A343200" s="16">
        <v>42615</v>
      </c>
    </row>
    <row r="343201" spans="1:1">
      <c r="A343201" s="16">
        <v>42618</v>
      </c>
    </row>
    <row r="343202" spans="1:1">
      <c r="A343202" s="16">
        <v>42619</v>
      </c>
    </row>
    <row r="343203" spans="1:1">
      <c r="A343203" s="16">
        <v>42620</v>
      </c>
    </row>
    <row r="343204" spans="1:1">
      <c r="A343204" s="16">
        <v>42621</v>
      </c>
    </row>
    <row r="343205" spans="1:1">
      <c r="A343205" s="16">
        <v>42622</v>
      </c>
    </row>
    <row r="343206" spans="1:1">
      <c r="A343206" s="16">
        <v>42625</v>
      </c>
    </row>
    <row r="343207" spans="1:1">
      <c r="A343207" s="16">
        <v>42626</v>
      </c>
    </row>
    <row r="343208" spans="1:1">
      <c r="A343208" s="16">
        <v>42627</v>
      </c>
    </row>
    <row r="343209" spans="1:1">
      <c r="A343209" s="16">
        <v>42632</v>
      </c>
    </row>
    <row r="343210" spans="1:1">
      <c r="A343210" s="16">
        <v>42633</v>
      </c>
    </row>
    <row r="343211" spans="1:1">
      <c r="A343211" s="16">
        <v>42634</v>
      </c>
    </row>
    <row r="343212" spans="1:1">
      <c r="A343212" s="16">
        <v>42635</v>
      </c>
    </row>
    <row r="343213" spans="1:1">
      <c r="A343213" s="16">
        <v>42636</v>
      </c>
    </row>
    <row r="343214" spans="1:1">
      <c r="A343214" s="16">
        <v>42639</v>
      </c>
    </row>
    <row r="343215" spans="1:1">
      <c r="A343215" s="16">
        <v>42640</v>
      </c>
    </row>
    <row r="343216" spans="1:1">
      <c r="A343216" s="16">
        <v>42641</v>
      </c>
    </row>
    <row r="343217" spans="1:1">
      <c r="A343217" s="16">
        <v>42642</v>
      </c>
    </row>
    <row r="343218" spans="1:1">
      <c r="A343218" s="16">
        <v>42643</v>
      </c>
    </row>
    <row r="343219" spans="1:1">
      <c r="A343219" s="16">
        <v>42653</v>
      </c>
    </row>
    <row r="343220" spans="1:1">
      <c r="A343220" s="16">
        <v>42654</v>
      </c>
    </row>
    <row r="343221" spans="1:1">
      <c r="A343221" s="16">
        <v>42655</v>
      </c>
    </row>
    <row r="343222" spans="1:1">
      <c r="A343222" s="16">
        <v>42656</v>
      </c>
    </row>
    <row r="343223" spans="1:1">
      <c r="A343223" s="16">
        <v>42657</v>
      </c>
    </row>
    <row r="343224" spans="1:1">
      <c r="A343224" s="16">
        <v>42660</v>
      </c>
    </row>
    <row r="343225" spans="1:1">
      <c r="A343225" s="16">
        <v>42661</v>
      </c>
    </row>
    <row r="343226" spans="1:1">
      <c r="A343226" s="16">
        <v>42662</v>
      </c>
    </row>
    <row r="343227" spans="1:1">
      <c r="A343227" s="16">
        <v>42663</v>
      </c>
    </row>
    <row r="343228" spans="1:1">
      <c r="A343228" s="16">
        <v>42664</v>
      </c>
    </row>
    <row r="343229" spans="1:1">
      <c r="A343229" s="16">
        <v>42667</v>
      </c>
    </row>
    <row r="343230" spans="1:1">
      <c r="A343230" s="16">
        <v>42668</v>
      </c>
    </row>
    <row r="343231" spans="1:1">
      <c r="A343231" s="16">
        <v>42669</v>
      </c>
    </row>
    <row r="343232" spans="1:1">
      <c r="A343232" s="16">
        <v>42670</v>
      </c>
    </row>
    <row r="343233" spans="1:1">
      <c r="A343233" s="16">
        <v>42671</v>
      </c>
    </row>
    <row r="343234" spans="1:1">
      <c r="A343234" s="16">
        <v>42674</v>
      </c>
    </row>
    <row r="343235" spans="1:1">
      <c r="A343235" s="16">
        <v>42675</v>
      </c>
    </row>
    <row r="343236" spans="1:1">
      <c r="A343236" s="16">
        <v>42676</v>
      </c>
    </row>
    <row r="343237" spans="1:1">
      <c r="A343237" s="16">
        <v>42677</v>
      </c>
    </row>
    <row r="343238" spans="1:1">
      <c r="A343238" s="16">
        <v>42678</v>
      </c>
    </row>
    <row r="359536" spans="1:1">
      <c r="A359536" s="16" t="s">
        <v>0</v>
      </c>
    </row>
    <row r="359537" spans="1:1">
      <c r="A359537" s="16" t="s">
        <v>1</v>
      </c>
    </row>
    <row r="359538" spans="1:1">
      <c r="A359538" s="16">
        <v>42551</v>
      </c>
    </row>
    <row r="359539" spans="1:1">
      <c r="A359539" s="16">
        <v>42552</v>
      </c>
    </row>
    <row r="359540" spans="1:1">
      <c r="A359540" s="16">
        <v>42555</v>
      </c>
    </row>
    <row r="359541" spans="1:1">
      <c r="A359541" s="16">
        <v>42556</v>
      </c>
    </row>
    <row r="359542" spans="1:1">
      <c r="A359542" s="16">
        <v>42557</v>
      </c>
    </row>
    <row r="359543" spans="1:1">
      <c r="A359543" s="16">
        <v>42558</v>
      </c>
    </row>
    <row r="359544" spans="1:1">
      <c r="A359544" s="16">
        <v>42559</v>
      </c>
    </row>
    <row r="359545" spans="1:1">
      <c r="A359545" s="16">
        <v>42562</v>
      </c>
    </row>
    <row r="359546" spans="1:1">
      <c r="A359546" s="16">
        <v>42563</v>
      </c>
    </row>
    <row r="359547" spans="1:1">
      <c r="A359547" s="16">
        <v>42564</v>
      </c>
    </row>
    <row r="359548" spans="1:1">
      <c r="A359548" s="16">
        <v>42565</v>
      </c>
    </row>
    <row r="359549" spans="1:1">
      <c r="A359549" s="16">
        <v>42566</v>
      </c>
    </row>
    <row r="359550" spans="1:1">
      <c r="A359550" s="16">
        <v>42569</v>
      </c>
    </row>
    <row r="359551" spans="1:1">
      <c r="A359551" s="16">
        <v>42570</v>
      </c>
    </row>
    <row r="359552" spans="1:1">
      <c r="A359552" s="16">
        <v>42571</v>
      </c>
    </row>
    <row r="359553" spans="1:1">
      <c r="A359553" s="16">
        <v>42572</v>
      </c>
    </row>
    <row r="359554" spans="1:1">
      <c r="A359554" s="16">
        <v>42573</v>
      </c>
    </row>
    <row r="359555" spans="1:1">
      <c r="A359555" s="16">
        <v>42576</v>
      </c>
    </row>
    <row r="359556" spans="1:1">
      <c r="A359556" s="16">
        <v>42577</v>
      </c>
    </row>
    <row r="359557" spans="1:1">
      <c r="A359557" s="16">
        <v>42578</v>
      </c>
    </row>
    <row r="359558" spans="1:1">
      <c r="A359558" s="16">
        <v>42579</v>
      </c>
    </row>
    <row r="359559" spans="1:1">
      <c r="A359559" s="16">
        <v>42580</v>
      </c>
    </row>
    <row r="359560" spans="1:1">
      <c r="A359560" s="16">
        <v>42583</v>
      </c>
    </row>
    <row r="359561" spans="1:1">
      <c r="A359561" s="16">
        <v>42584</v>
      </c>
    </row>
    <row r="359562" spans="1:1">
      <c r="A359562" s="16">
        <v>42585</v>
      </c>
    </row>
    <row r="359563" spans="1:1">
      <c r="A359563" s="16">
        <v>42586</v>
      </c>
    </row>
    <row r="359564" spans="1:1">
      <c r="A359564" s="16">
        <v>42587</v>
      </c>
    </row>
    <row r="359565" spans="1:1">
      <c r="A359565" s="16">
        <v>42590</v>
      </c>
    </row>
    <row r="359566" spans="1:1">
      <c r="A359566" s="16">
        <v>42591</v>
      </c>
    </row>
    <row r="359567" spans="1:1">
      <c r="A359567" s="16">
        <v>42592</v>
      </c>
    </row>
    <row r="359568" spans="1:1">
      <c r="A359568" s="16">
        <v>42593</v>
      </c>
    </row>
    <row r="359569" spans="1:1">
      <c r="A359569" s="16">
        <v>42594</v>
      </c>
    </row>
    <row r="359570" spans="1:1">
      <c r="A359570" s="16">
        <v>42597</v>
      </c>
    </row>
    <row r="359571" spans="1:1">
      <c r="A359571" s="16">
        <v>42598</v>
      </c>
    </row>
    <row r="359572" spans="1:1">
      <c r="A359572" s="16">
        <v>42599</v>
      </c>
    </row>
    <row r="359573" spans="1:1">
      <c r="A359573" s="16">
        <v>42600</v>
      </c>
    </row>
    <row r="359574" spans="1:1">
      <c r="A359574" s="16">
        <v>42601</v>
      </c>
    </row>
    <row r="359575" spans="1:1">
      <c r="A359575" s="16">
        <v>42604</v>
      </c>
    </row>
    <row r="359576" spans="1:1">
      <c r="A359576" s="16">
        <v>42605</v>
      </c>
    </row>
    <row r="359577" spans="1:1">
      <c r="A359577" s="16">
        <v>42606</v>
      </c>
    </row>
    <row r="359578" spans="1:1">
      <c r="A359578" s="16">
        <v>42607</v>
      </c>
    </row>
    <row r="359579" spans="1:1">
      <c r="A359579" s="16">
        <v>42608</v>
      </c>
    </row>
    <row r="359580" spans="1:1">
      <c r="A359580" s="16">
        <v>42611</v>
      </c>
    </row>
    <row r="359581" spans="1:1">
      <c r="A359581" s="16">
        <v>42612</v>
      </c>
    </row>
    <row r="359582" spans="1:1">
      <c r="A359582" s="16">
        <v>42613</v>
      </c>
    </row>
    <row r="359583" spans="1:1">
      <c r="A359583" s="16">
        <v>42614</v>
      </c>
    </row>
    <row r="359584" spans="1:1">
      <c r="A359584" s="16">
        <v>42615</v>
      </c>
    </row>
    <row r="359585" spans="1:1">
      <c r="A359585" s="16">
        <v>42618</v>
      </c>
    </row>
    <row r="359586" spans="1:1">
      <c r="A359586" s="16">
        <v>42619</v>
      </c>
    </row>
    <row r="359587" spans="1:1">
      <c r="A359587" s="16">
        <v>42620</v>
      </c>
    </row>
    <row r="359588" spans="1:1">
      <c r="A359588" s="16">
        <v>42621</v>
      </c>
    </row>
    <row r="359589" spans="1:1">
      <c r="A359589" s="16">
        <v>42622</v>
      </c>
    </row>
    <row r="359590" spans="1:1">
      <c r="A359590" s="16">
        <v>42625</v>
      </c>
    </row>
    <row r="359591" spans="1:1">
      <c r="A359591" s="16">
        <v>42626</v>
      </c>
    </row>
    <row r="359592" spans="1:1">
      <c r="A359592" s="16">
        <v>42627</v>
      </c>
    </row>
    <row r="359593" spans="1:1">
      <c r="A359593" s="16">
        <v>42632</v>
      </c>
    </row>
    <row r="359594" spans="1:1">
      <c r="A359594" s="16">
        <v>42633</v>
      </c>
    </row>
    <row r="359595" spans="1:1">
      <c r="A359595" s="16">
        <v>42634</v>
      </c>
    </row>
    <row r="359596" spans="1:1">
      <c r="A359596" s="16">
        <v>42635</v>
      </c>
    </row>
    <row r="359597" spans="1:1">
      <c r="A359597" s="16">
        <v>42636</v>
      </c>
    </row>
    <row r="359598" spans="1:1">
      <c r="A359598" s="16">
        <v>42639</v>
      </c>
    </row>
    <row r="359599" spans="1:1">
      <c r="A359599" s="16">
        <v>42640</v>
      </c>
    </row>
    <row r="359600" spans="1:1">
      <c r="A359600" s="16">
        <v>42641</v>
      </c>
    </row>
    <row r="359601" spans="1:1">
      <c r="A359601" s="16">
        <v>42642</v>
      </c>
    </row>
    <row r="359602" spans="1:1">
      <c r="A359602" s="16">
        <v>42643</v>
      </c>
    </row>
    <row r="359603" spans="1:1">
      <c r="A359603" s="16">
        <v>42653</v>
      </c>
    </row>
    <row r="359604" spans="1:1">
      <c r="A359604" s="16">
        <v>42654</v>
      </c>
    </row>
    <row r="359605" spans="1:1">
      <c r="A359605" s="16">
        <v>42655</v>
      </c>
    </row>
    <row r="359606" spans="1:1">
      <c r="A359606" s="16">
        <v>42656</v>
      </c>
    </row>
    <row r="359607" spans="1:1">
      <c r="A359607" s="16">
        <v>42657</v>
      </c>
    </row>
    <row r="359608" spans="1:1">
      <c r="A359608" s="16">
        <v>42660</v>
      </c>
    </row>
    <row r="359609" spans="1:1">
      <c r="A359609" s="16">
        <v>42661</v>
      </c>
    </row>
    <row r="359610" spans="1:1">
      <c r="A359610" s="16">
        <v>42662</v>
      </c>
    </row>
    <row r="359611" spans="1:1">
      <c r="A359611" s="16">
        <v>42663</v>
      </c>
    </row>
    <row r="359612" spans="1:1">
      <c r="A359612" s="16">
        <v>42664</v>
      </c>
    </row>
    <row r="359613" spans="1:1">
      <c r="A359613" s="16">
        <v>42667</v>
      </c>
    </row>
    <row r="359614" spans="1:1">
      <c r="A359614" s="16">
        <v>42668</v>
      </c>
    </row>
    <row r="359615" spans="1:1">
      <c r="A359615" s="16">
        <v>42669</v>
      </c>
    </row>
    <row r="359616" spans="1:1">
      <c r="A359616" s="16">
        <v>42670</v>
      </c>
    </row>
    <row r="359617" spans="1:1">
      <c r="A359617" s="16">
        <v>42671</v>
      </c>
    </row>
    <row r="359618" spans="1:1">
      <c r="A359618" s="16">
        <v>42674</v>
      </c>
    </row>
    <row r="359619" spans="1:1">
      <c r="A359619" s="16">
        <v>42675</v>
      </c>
    </row>
    <row r="359620" spans="1:1">
      <c r="A359620" s="16">
        <v>42676</v>
      </c>
    </row>
    <row r="359621" spans="1:1">
      <c r="A359621" s="16">
        <v>42677</v>
      </c>
    </row>
    <row r="359622" spans="1:1">
      <c r="A359622" s="16">
        <v>42678</v>
      </c>
    </row>
    <row r="375920" spans="1:1">
      <c r="A375920" s="16" t="s">
        <v>0</v>
      </c>
    </row>
    <row r="375921" spans="1:1">
      <c r="A375921" s="16" t="s">
        <v>1</v>
      </c>
    </row>
    <row r="375922" spans="1:1">
      <c r="A375922" s="16">
        <v>42551</v>
      </c>
    </row>
    <row r="375923" spans="1:1">
      <c r="A375923" s="16">
        <v>42552</v>
      </c>
    </row>
    <row r="375924" spans="1:1">
      <c r="A375924" s="16">
        <v>42555</v>
      </c>
    </row>
    <row r="375925" spans="1:1">
      <c r="A375925" s="16">
        <v>42556</v>
      </c>
    </row>
    <row r="375926" spans="1:1">
      <c r="A375926" s="16">
        <v>42557</v>
      </c>
    </row>
    <row r="375927" spans="1:1">
      <c r="A375927" s="16">
        <v>42558</v>
      </c>
    </row>
    <row r="375928" spans="1:1">
      <c r="A375928" s="16">
        <v>42559</v>
      </c>
    </row>
    <row r="375929" spans="1:1">
      <c r="A375929" s="16">
        <v>42562</v>
      </c>
    </row>
    <row r="375930" spans="1:1">
      <c r="A375930" s="16">
        <v>42563</v>
      </c>
    </row>
    <row r="375931" spans="1:1">
      <c r="A375931" s="16">
        <v>42564</v>
      </c>
    </row>
    <row r="375932" spans="1:1">
      <c r="A375932" s="16">
        <v>42565</v>
      </c>
    </row>
    <row r="375933" spans="1:1">
      <c r="A375933" s="16">
        <v>42566</v>
      </c>
    </row>
    <row r="375934" spans="1:1">
      <c r="A375934" s="16">
        <v>42569</v>
      </c>
    </row>
    <row r="375935" spans="1:1">
      <c r="A375935" s="16">
        <v>42570</v>
      </c>
    </row>
    <row r="375936" spans="1:1">
      <c r="A375936" s="16">
        <v>42571</v>
      </c>
    </row>
    <row r="375937" spans="1:1">
      <c r="A375937" s="16">
        <v>42572</v>
      </c>
    </row>
    <row r="375938" spans="1:1">
      <c r="A375938" s="16">
        <v>42573</v>
      </c>
    </row>
    <row r="375939" spans="1:1">
      <c r="A375939" s="16">
        <v>42576</v>
      </c>
    </row>
    <row r="375940" spans="1:1">
      <c r="A375940" s="16">
        <v>42577</v>
      </c>
    </row>
    <row r="375941" spans="1:1">
      <c r="A375941" s="16">
        <v>42578</v>
      </c>
    </row>
    <row r="375942" spans="1:1">
      <c r="A375942" s="16">
        <v>42579</v>
      </c>
    </row>
    <row r="375943" spans="1:1">
      <c r="A375943" s="16">
        <v>42580</v>
      </c>
    </row>
    <row r="375944" spans="1:1">
      <c r="A375944" s="16">
        <v>42583</v>
      </c>
    </row>
    <row r="375945" spans="1:1">
      <c r="A375945" s="16">
        <v>42584</v>
      </c>
    </row>
    <row r="375946" spans="1:1">
      <c r="A375946" s="16">
        <v>42585</v>
      </c>
    </row>
    <row r="375947" spans="1:1">
      <c r="A375947" s="16">
        <v>42586</v>
      </c>
    </row>
    <row r="375948" spans="1:1">
      <c r="A375948" s="16">
        <v>42587</v>
      </c>
    </row>
    <row r="375949" spans="1:1">
      <c r="A375949" s="16">
        <v>42590</v>
      </c>
    </row>
    <row r="375950" spans="1:1">
      <c r="A375950" s="16">
        <v>42591</v>
      </c>
    </row>
    <row r="375951" spans="1:1">
      <c r="A375951" s="16">
        <v>42592</v>
      </c>
    </row>
    <row r="375952" spans="1:1">
      <c r="A375952" s="16">
        <v>42593</v>
      </c>
    </row>
    <row r="375953" spans="1:1">
      <c r="A375953" s="16">
        <v>42594</v>
      </c>
    </row>
    <row r="375954" spans="1:1">
      <c r="A375954" s="16">
        <v>42597</v>
      </c>
    </row>
    <row r="375955" spans="1:1">
      <c r="A375955" s="16">
        <v>42598</v>
      </c>
    </row>
    <row r="375956" spans="1:1">
      <c r="A375956" s="16">
        <v>42599</v>
      </c>
    </row>
    <row r="375957" spans="1:1">
      <c r="A375957" s="16">
        <v>42600</v>
      </c>
    </row>
    <row r="375958" spans="1:1">
      <c r="A375958" s="16">
        <v>42601</v>
      </c>
    </row>
    <row r="375959" spans="1:1">
      <c r="A375959" s="16">
        <v>42604</v>
      </c>
    </row>
    <row r="375960" spans="1:1">
      <c r="A375960" s="16">
        <v>42605</v>
      </c>
    </row>
    <row r="375961" spans="1:1">
      <c r="A375961" s="16">
        <v>42606</v>
      </c>
    </row>
    <row r="375962" spans="1:1">
      <c r="A375962" s="16">
        <v>42607</v>
      </c>
    </row>
    <row r="375963" spans="1:1">
      <c r="A375963" s="16">
        <v>42608</v>
      </c>
    </row>
    <row r="375964" spans="1:1">
      <c r="A375964" s="16">
        <v>42611</v>
      </c>
    </row>
    <row r="375965" spans="1:1">
      <c r="A375965" s="16">
        <v>42612</v>
      </c>
    </row>
    <row r="375966" spans="1:1">
      <c r="A375966" s="16">
        <v>42613</v>
      </c>
    </row>
    <row r="375967" spans="1:1">
      <c r="A375967" s="16">
        <v>42614</v>
      </c>
    </row>
    <row r="375968" spans="1:1">
      <c r="A375968" s="16">
        <v>42615</v>
      </c>
    </row>
    <row r="375969" spans="1:1">
      <c r="A375969" s="16">
        <v>42618</v>
      </c>
    </row>
    <row r="375970" spans="1:1">
      <c r="A375970" s="16">
        <v>42619</v>
      </c>
    </row>
    <row r="375971" spans="1:1">
      <c r="A375971" s="16">
        <v>42620</v>
      </c>
    </row>
    <row r="375972" spans="1:1">
      <c r="A375972" s="16">
        <v>42621</v>
      </c>
    </row>
    <row r="375973" spans="1:1">
      <c r="A375973" s="16">
        <v>42622</v>
      </c>
    </row>
    <row r="375974" spans="1:1">
      <c r="A375974" s="16">
        <v>42625</v>
      </c>
    </row>
    <row r="375975" spans="1:1">
      <c r="A375975" s="16">
        <v>42626</v>
      </c>
    </row>
    <row r="375976" spans="1:1">
      <c r="A375976" s="16">
        <v>42627</v>
      </c>
    </row>
    <row r="375977" spans="1:1">
      <c r="A375977" s="16">
        <v>42632</v>
      </c>
    </row>
    <row r="375978" spans="1:1">
      <c r="A375978" s="16">
        <v>42633</v>
      </c>
    </row>
    <row r="375979" spans="1:1">
      <c r="A375979" s="16">
        <v>42634</v>
      </c>
    </row>
    <row r="375980" spans="1:1">
      <c r="A375980" s="16">
        <v>42635</v>
      </c>
    </row>
    <row r="375981" spans="1:1">
      <c r="A375981" s="16">
        <v>42636</v>
      </c>
    </row>
    <row r="375982" spans="1:1">
      <c r="A375982" s="16">
        <v>42639</v>
      </c>
    </row>
    <row r="375983" spans="1:1">
      <c r="A375983" s="16">
        <v>42640</v>
      </c>
    </row>
    <row r="375984" spans="1:1">
      <c r="A375984" s="16">
        <v>42641</v>
      </c>
    </row>
    <row r="375985" spans="1:1">
      <c r="A375985" s="16">
        <v>42642</v>
      </c>
    </row>
    <row r="375986" spans="1:1">
      <c r="A375986" s="16">
        <v>42643</v>
      </c>
    </row>
    <row r="375987" spans="1:1">
      <c r="A375987" s="16">
        <v>42653</v>
      </c>
    </row>
    <row r="375988" spans="1:1">
      <c r="A375988" s="16">
        <v>42654</v>
      </c>
    </row>
    <row r="375989" spans="1:1">
      <c r="A375989" s="16">
        <v>42655</v>
      </c>
    </row>
    <row r="375990" spans="1:1">
      <c r="A375990" s="16">
        <v>42656</v>
      </c>
    </row>
    <row r="375991" spans="1:1">
      <c r="A375991" s="16">
        <v>42657</v>
      </c>
    </row>
    <row r="375992" spans="1:1">
      <c r="A375992" s="16">
        <v>42660</v>
      </c>
    </row>
    <row r="375993" spans="1:1">
      <c r="A375993" s="16">
        <v>42661</v>
      </c>
    </row>
    <row r="375994" spans="1:1">
      <c r="A375994" s="16">
        <v>42662</v>
      </c>
    </row>
    <row r="375995" spans="1:1">
      <c r="A375995" s="16">
        <v>42663</v>
      </c>
    </row>
    <row r="375996" spans="1:1">
      <c r="A375996" s="16">
        <v>42664</v>
      </c>
    </row>
    <row r="375997" spans="1:1">
      <c r="A375997" s="16">
        <v>42667</v>
      </c>
    </row>
    <row r="375998" spans="1:1">
      <c r="A375998" s="16">
        <v>42668</v>
      </c>
    </row>
    <row r="375999" spans="1:1">
      <c r="A375999" s="16">
        <v>42669</v>
      </c>
    </row>
    <row r="376000" spans="1:1">
      <c r="A376000" s="16">
        <v>42670</v>
      </c>
    </row>
    <row r="376001" spans="1:1">
      <c r="A376001" s="16">
        <v>42671</v>
      </c>
    </row>
    <row r="376002" spans="1:1">
      <c r="A376002" s="16">
        <v>42674</v>
      </c>
    </row>
    <row r="376003" spans="1:1">
      <c r="A376003" s="16">
        <v>42675</v>
      </c>
    </row>
    <row r="376004" spans="1:1">
      <c r="A376004" s="16">
        <v>42676</v>
      </c>
    </row>
    <row r="376005" spans="1:1">
      <c r="A376005" s="16">
        <v>42677</v>
      </c>
    </row>
    <row r="376006" spans="1:1">
      <c r="A376006" s="16">
        <v>42678</v>
      </c>
    </row>
    <row r="392304" spans="1:1">
      <c r="A392304" s="16" t="s">
        <v>0</v>
      </c>
    </row>
    <row r="392305" spans="1:1">
      <c r="A392305" s="16" t="s">
        <v>1</v>
      </c>
    </row>
    <row r="392306" spans="1:1">
      <c r="A392306" s="16">
        <v>42551</v>
      </c>
    </row>
    <row r="392307" spans="1:1">
      <c r="A392307" s="16">
        <v>42552</v>
      </c>
    </row>
    <row r="392308" spans="1:1">
      <c r="A392308" s="16">
        <v>42555</v>
      </c>
    </row>
    <row r="392309" spans="1:1">
      <c r="A392309" s="16">
        <v>42556</v>
      </c>
    </row>
    <row r="392310" spans="1:1">
      <c r="A392310" s="16">
        <v>42557</v>
      </c>
    </row>
    <row r="392311" spans="1:1">
      <c r="A392311" s="16">
        <v>42558</v>
      </c>
    </row>
    <row r="392312" spans="1:1">
      <c r="A392312" s="16">
        <v>42559</v>
      </c>
    </row>
    <row r="392313" spans="1:1">
      <c r="A392313" s="16">
        <v>42562</v>
      </c>
    </row>
    <row r="392314" spans="1:1">
      <c r="A392314" s="16">
        <v>42563</v>
      </c>
    </row>
    <row r="392315" spans="1:1">
      <c r="A392315" s="16">
        <v>42564</v>
      </c>
    </row>
    <row r="392316" spans="1:1">
      <c r="A392316" s="16">
        <v>42565</v>
      </c>
    </row>
    <row r="392317" spans="1:1">
      <c r="A392317" s="16">
        <v>42566</v>
      </c>
    </row>
    <row r="392318" spans="1:1">
      <c r="A392318" s="16">
        <v>42569</v>
      </c>
    </row>
    <row r="392319" spans="1:1">
      <c r="A392319" s="16">
        <v>42570</v>
      </c>
    </row>
    <row r="392320" spans="1:1">
      <c r="A392320" s="16">
        <v>42571</v>
      </c>
    </row>
    <row r="392321" spans="1:1">
      <c r="A392321" s="16">
        <v>42572</v>
      </c>
    </row>
    <row r="392322" spans="1:1">
      <c r="A392322" s="16">
        <v>42573</v>
      </c>
    </row>
    <row r="392323" spans="1:1">
      <c r="A392323" s="16">
        <v>42576</v>
      </c>
    </row>
    <row r="392324" spans="1:1">
      <c r="A392324" s="16">
        <v>42577</v>
      </c>
    </row>
    <row r="392325" spans="1:1">
      <c r="A392325" s="16">
        <v>42578</v>
      </c>
    </row>
    <row r="392326" spans="1:1">
      <c r="A392326" s="16">
        <v>42579</v>
      </c>
    </row>
    <row r="392327" spans="1:1">
      <c r="A392327" s="16">
        <v>42580</v>
      </c>
    </row>
    <row r="392328" spans="1:1">
      <c r="A392328" s="16">
        <v>42583</v>
      </c>
    </row>
    <row r="392329" spans="1:1">
      <c r="A392329" s="16">
        <v>42584</v>
      </c>
    </row>
    <row r="392330" spans="1:1">
      <c r="A392330" s="16">
        <v>42585</v>
      </c>
    </row>
    <row r="392331" spans="1:1">
      <c r="A392331" s="16">
        <v>42586</v>
      </c>
    </row>
    <row r="392332" spans="1:1">
      <c r="A392332" s="16">
        <v>42587</v>
      </c>
    </row>
    <row r="392333" spans="1:1">
      <c r="A392333" s="16">
        <v>42590</v>
      </c>
    </row>
    <row r="392334" spans="1:1">
      <c r="A392334" s="16">
        <v>42591</v>
      </c>
    </row>
    <row r="392335" spans="1:1">
      <c r="A392335" s="16">
        <v>42592</v>
      </c>
    </row>
    <row r="392336" spans="1:1">
      <c r="A392336" s="16">
        <v>42593</v>
      </c>
    </row>
    <row r="392337" spans="1:1">
      <c r="A392337" s="16">
        <v>42594</v>
      </c>
    </row>
    <row r="392338" spans="1:1">
      <c r="A392338" s="16">
        <v>42597</v>
      </c>
    </row>
    <row r="392339" spans="1:1">
      <c r="A392339" s="16">
        <v>42598</v>
      </c>
    </row>
    <row r="392340" spans="1:1">
      <c r="A392340" s="16">
        <v>42599</v>
      </c>
    </row>
    <row r="392341" spans="1:1">
      <c r="A392341" s="16">
        <v>42600</v>
      </c>
    </row>
    <row r="392342" spans="1:1">
      <c r="A392342" s="16">
        <v>42601</v>
      </c>
    </row>
    <row r="392343" spans="1:1">
      <c r="A392343" s="16">
        <v>42604</v>
      </c>
    </row>
    <row r="392344" spans="1:1">
      <c r="A392344" s="16">
        <v>42605</v>
      </c>
    </row>
    <row r="392345" spans="1:1">
      <c r="A392345" s="16">
        <v>42606</v>
      </c>
    </row>
    <row r="392346" spans="1:1">
      <c r="A392346" s="16">
        <v>42607</v>
      </c>
    </row>
    <row r="392347" spans="1:1">
      <c r="A392347" s="16">
        <v>42608</v>
      </c>
    </row>
    <row r="392348" spans="1:1">
      <c r="A392348" s="16">
        <v>42611</v>
      </c>
    </row>
    <row r="392349" spans="1:1">
      <c r="A392349" s="16">
        <v>42612</v>
      </c>
    </row>
    <row r="392350" spans="1:1">
      <c r="A392350" s="16">
        <v>42613</v>
      </c>
    </row>
    <row r="392351" spans="1:1">
      <c r="A392351" s="16">
        <v>42614</v>
      </c>
    </row>
    <row r="392352" spans="1:1">
      <c r="A392352" s="16">
        <v>42615</v>
      </c>
    </row>
    <row r="392353" spans="1:1">
      <c r="A392353" s="16">
        <v>42618</v>
      </c>
    </row>
    <row r="392354" spans="1:1">
      <c r="A392354" s="16">
        <v>42619</v>
      </c>
    </row>
    <row r="392355" spans="1:1">
      <c r="A392355" s="16">
        <v>42620</v>
      </c>
    </row>
    <row r="392356" spans="1:1">
      <c r="A392356" s="16">
        <v>42621</v>
      </c>
    </row>
    <row r="392357" spans="1:1">
      <c r="A392357" s="16">
        <v>42622</v>
      </c>
    </row>
    <row r="392358" spans="1:1">
      <c r="A392358" s="16">
        <v>42625</v>
      </c>
    </row>
    <row r="392359" spans="1:1">
      <c r="A392359" s="16">
        <v>42626</v>
      </c>
    </row>
    <row r="392360" spans="1:1">
      <c r="A392360" s="16">
        <v>42627</v>
      </c>
    </row>
    <row r="392361" spans="1:1">
      <c r="A392361" s="16">
        <v>42632</v>
      </c>
    </row>
    <row r="392362" spans="1:1">
      <c r="A392362" s="16">
        <v>42633</v>
      </c>
    </row>
    <row r="392363" spans="1:1">
      <c r="A392363" s="16">
        <v>42634</v>
      </c>
    </row>
    <row r="392364" spans="1:1">
      <c r="A392364" s="16">
        <v>42635</v>
      </c>
    </row>
    <row r="392365" spans="1:1">
      <c r="A392365" s="16">
        <v>42636</v>
      </c>
    </row>
    <row r="392366" spans="1:1">
      <c r="A392366" s="16">
        <v>42639</v>
      </c>
    </row>
    <row r="392367" spans="1:1">
      <c r="A392367" s="16">
        <v>42640</v>
      </c>
    </row>
    <row r="392368" spans="1:1">
      <c r="A392368" s="16">
        <v>42641</v>
      </c>
    </row>
    <row r="392369" spans="1:1">
      <c r="A392369" s="16">
        <v>42642</v>
      </c>
    </row>
    <row r="392370" spans="1:1">
      <c r="A392370" s="16">
        <v>42643</v>
      </c>
    </row>
    <row r="392371" spans="1:1">
      <c r="A392371" s="16">
        <v>42653</v>
      </c>
    </row>
    <row r="392372" spans="1:1">
      <c r="A392372" s="16">
        <v>42654</v>
      </c>
    </row>
    <row r="392373" spans="1:1">
      <c r="A392373" s="16">
        <v>42655</v>
      </c>
    </row>
    <row r="392374" spans="1:1">
      <c r="A392374" s="16">
        <v>42656</v>
      </c>
    </row>
    <row r="392375" spans="1:1">
      <c r="A392375" s="16">
        <v>42657</v>
      </c>
    </row>
    <row r="392376" spans="1:1">
      <c r="A392376" s="16">
        <v>42660</v>
      </c>
    </row>
    <row r="392377" spans="1:1">
      <c r="A392377" s="16">
        <v>42661</v>
      </c>
    </row>
    <row r="392378" spans="1:1">
      <c r="A392378" s="16">
        <v>42662</v>
      </c>
    </row>
    <row r="392379" spans="1:1">
      <c r="A392379" s="16">
        <v>42663</v>
      </c>
    </row>
    <row r="392380" spans="1:1">
      <c r="A392380" s="16">
        <v>42664</v>
      </c>
    </row>
    <row r="392381" spans="1:1">
      <c r="A392381" s="16">
        <v>42667</v>
      </c>
    </row>
    <row r="392382" spans="1:1">
      <c r="A392382" s="16">
        <v>42668</v>
      </c>
    </row>
    <row r="392383" spans="1:1">
      <c r="A392383" s="16">
        <v>42669</v>
      </c>
    </row>
    <row r="392384" spans="1:1">
      <c r="A392384" s="16">
        <v>42670</v>
      </c>
    </row>
    <row r="392385" spans="1:1">
      <c r="A392385" s="16">
        <v>42671</v>
      </c>
    </row>
    <row r="392386" spans="1:1">
      <c r="A392386" s="16">
        <v>42674</v>
      </c>
    </row>
    <row r="392387" spans="1:1">
      <c r="A392387" s="16">
        <v>42675</v>
      </c>
    </row>
    <row r="392388" spans="1:1">
      <c r="A392388" s="16">
        <v>42676</v>
      </c>
    </row>
    <row r="392389" spans="1:1">
      <c r="A392389" s="16">
        <v>42677</v>
      </c>
    </row>
    <row r="392390" spans="1:1">
      <c r="A392390" s="16">
        <v>42678</v>
      </c>
    </row>
    <row r="408688" spans="1:1">
      <c r="A408688" s="16" t="s">
        <v>0</v>
      </c>
    </row>
    <row r="408689" spans="1:1">
      <c r="A408689" s="16" t="s">
        <v>1</v>
      </c>
    </row>
    <row r="408690" spans="1:1">
      <c r="A408690" s="16">
        <v>42551</v>
      </c>
    </row>
    <row r="408691" spans="1:1">
      <c r="A408691" s="16">
        <v>42552</v>
      </c>
    </row>
    <row r="408692" spans="1:1">
      <c r="A408692" s="16">
        <v>42555</v>
      </c>
    </row>
    <row r="408693" spans="1:1">
      <c r="A408693" s="16">
        <v>42556</v>
      </c>
    </row>
    <row r="408694" spans="1:1">
      <c r="A408694" s="16">
        <v>42557</v>
      </c>
    </row>
    <row r="408695" spans="1:1">
      <c r="A408695" s="16">
        <v>42558</v>
      </c>
    </row>
    <row r="408696" spans="1:1">
      <c r="A408696" s="16">
        <v>42559</v>
      </c>
    </row>
    <row r="408697" spans="1:1">
      <c r="A408697" s="16">
        <v>42562</v>
      </c>
    </row>
    <row r="408698" spans="1:1">
      <c r="A408698" s="16">
        <v>42563</v>
      </c>
    </row>
    <row r="408699" spans="1:1">
      <c r="A408699" s="16">
        <v>42564</v>
      </c>
    </row>
    <row r="408700" spans="1:1">
      <c r="A408700" s="16">
        <v>42565</v>
      </c>
    </row>
    <row r="408701" spans="1:1">
      <c r="A408701" s="16">
        <v>42566</v>
      </c>
    </row>
    <row r="408702" spans="1:1">
      <c r="A408702" s="16">
        <v>42569</v>
      </c>
    </row>
    <row r="408703" spans="1:1">
      <c r="A408703" s="16">
        <v>42570</v>
      </c>
    </row>
    <row r="408704" spans="1:1">
      <c r="A408704" s="16">
        <v>42571</v>
      </c>
    </row>
    <row r="408705" spans="1:1">
      <c r="A408705" s="16">
        <v>42572</v>
      </c>
    </row>
    <row r="408706" spans="1:1">
      <c r="A408706" s="16">
        <v>42573</v>
      </c>
    </row>
    <row r="408707" spans="1:1">
      <c r="A408707" s="16">
        <v>42576</v>
      </c>
    </row>
    <row r="408708" spans="1:1">
      <c r="A408708" s="16">
        <v>42577</v>
      </c>
    </row>
    <row r="408709" spans="1:1">
      <c r="A408709" s="16">
        <v>42578</v>
      </c>
    </row>
    <row r="408710" spans="1:1">
      <c r="A408710" s="16">
        <v>42579</v>
      </c>
    </row>
    <row r="408711" spans="1:1">
      <c r="A408711" s="16">
        <v>42580</v>
      </c>
    </row>
    <row r="408712" spans="1:1">
      <c r="A408712" s="16">
        <v>42583</v>
      </c>
    </row>
    <row r="408713" spans="1:1">
      <c r="A408713" s="16">
        <v>42584</v>
      </c>
    </row>
    <row r="408714" spans="1:1">
      <c r="A408714" s="16">
        <v>42585</v>
      </c>
    </row>
    <row r="408715" spans="1:1">
      <c r="A408715" s="16">
        <v>42586</v>
      </c>
    </row>
    <row r="408716" spans="1:1">
      <c r="A408716" s="16">
        <v>42587</v>
      </c>
    </row>
    <row r="408717" spans="1:1">
      <c r="A408717" s="16">
        <v>42590</v>
      </c>
    </row>
    <row r="408718" spans="1:1">
      <c r="A408718" s="16">
        <v>42591</v>
      </c>
    </row>
    <row r="408719" spans="1:1">
      <c r="A408719" s="16">
        <v>42592</v>
      </c>
    </row>
    <row r="408720" spans="1:1">
      <c r="A408720" s="16">
        <v>42593</v>
      </c>
    </row>
    <row r="408721" spans="1:1">
      <c r="A408721" s="16">
        <v>42594</v>
      </c>
    </row>
    <row r="408722" spans="1:1">
      <c r="A408722" s="16">
        <v>42597</v>
      </c>
    </row>
    <row r="408723" spans="1:1">
      <c r="A408723" s="16">
        <v>42598</v>
      </c>
    </row>
    <row r="408724" spans="1:1">
      <c r="A408724" s="16">
        <v>42599</v>
      </c>
    </row>
    <row r="408725" spans="1:1">
      <c r="A408725" s="16">
        <v>42600</v>
      </c>
    </row>
    <row r="408726" spans="1:1">
      <c r="A408726" s="16">
        <v>42601</v>
      </c>
    </row>
    <row r="408727" spans="1:1">
      <c r="A408727" s="16">
        <v>42604</v>
      </c>
    </row>
    <row r="408728" spans="1:1">
      <c r="A408728" s="16">
        <v>42605</v>
      </c>
    </row>
    <row r="408729" spans="1:1">
      <c r="A408729" s="16">
        <v>42606</v>
      </c>
    </row>
    <row r="408730" spans="1:1">
      <c r="A408730" s="16">
        <v>42607</v>
      </c>
    </row>
    <row r="408731" spans="1:1">
      <c r="A408731" s="16">
        <v>42608</v>
      </c>
    </row>
    <row r="408732" spans="1:1">
      <c r="A408732" s="16">
        <v>42611</v>
      </c>
    </row>
    <row r="408733" spans="1:1">
      <c r="A408733" s="16">
        <v>42612</v>
      </c>
    </row>
    <row r="408734" spans="1:1">
      <c r="A408734" s="16">
        <v>42613</v>
      </c>
    </row>
    <row r="408735" spans="1:1">
      <c r="A408735" s="16">
        <v>42614</v>
      </c>
    </row>
    <row r="408736" spans="1:1">
      <c r="A408736" s="16">
        <v>42615</v>
      </c>
    </row>
    <row r="408737" spans="1:1">
      <c r="A408737" s="16">
        <v>42618</v>
      </c>
    </row>
    <row r="408738" spans="1:1">
      <c r="A408738" s="16">
        <v>42619</v>
      </c>
    </row>
    <row r="408739" spans="1:1">
      <c r="A408739" s="16">
        <v>42620</v>
      </c>
    </row>
    <row r="408740" spans="1:1">
      <c r="A408740" s="16">
        <v>42621</v>
      </c>
    </row>
    <row r="408741" spans="1:1">
      <c r="A408741" s="16">
        <v>42622</v>
      </c>
    </row>
    <row r="408742" spans="1:1">
      <c r="A408742" s="16">
        <v>42625</v>
      </c>
    </row>
    <row r="408743" spans="1:1">
      <c r="A408743" s="16">
        <v>42626</v>
      </c>
    </row>
    <row r="408744" spans="1:1">
      <c r="A408744" s="16">
        <v>42627</v>
      </c>
    </row>
    <row r="408745" spans="1:1">
      <c r="A408745" s="16">
        <v>42632</v>
      </c>
    </row>
    <row r="408746" spans="1:1">
      <c r="A408746" s="16">
        <v>42633</v>
      </c>
    </row>
    <row r="408747" spans="1:1">
      <c r="A408747" s="16">
        <v>42634</v>
      </c>
    </row>
    <row r="408748" spans="1:1">
      <c r="A408748" s="16">
        <v>42635</v>
      </c>
    </row>
    <row r="408749" spans="1:1">
      <c r="A408749" s="16">
        <v>42636</v>
      </c>
    </row>
    <row r="408750" spans="1:1">
      <c r="A408750" s="16">
        <v>42639</v>
      </c>
    </row>
    <row r="408751" spans="1:1">
      <c r="A408751" s="16">
        <v>42640</v>
      </c>
    </row>
    <row r="408752" spans="1:1">
      <c r="A408752" s="16">
        <v>42641</v>
      </c>
    </row>
    <row r="408753" spans="1:1">
      <c r="A408753" s="16">
        <v>42642</v>
      </c>
    </row>
    <row r="408754" spans="1:1">
      <c r="A408754" s="16">
        <v>42643</v>
      </c>
    </row>
    <row r="408755" spans="1:1">
      <c r="A408755" s="16">
        <v>42653</v>
      </c>
    </row>
    <row r="408756" spans="1:1">
      <c r="A408756" s="16">
        <v>42654</v>
      </c>
    </row>
    <row r="408757" spans="1:1">
      <c r="A408757" s="16">
        <v>42655</v>
      </c>
    </row>
    <row r="408758" spans="1:1">
      <c r="A408758" s="16">
        <v>42656</v>
      </c>
    </row>
    <row r="408759" spans="1:1">
      <c r="A408759" s="16">
        <v>42657</v>
      </c>
    </row>
    <row r="408760" spans="1:1">
      <c r="A408760" s="16">
        <v>42660</v>
      </c>
    </row>
    <row r="408761" spans="1:1">
      <c r="A408761" s="16">
        <v>42661</v>
      </c>
    </row>
    <row r="408762" spans="1:1">
      <c r="A408762" s="16">
        <v>42662</v>
      </c>
    </row>
    <row r="408763" spans="1:1">
      <c r="A408763" s="16">
        <v>42663</v>
      </c>
    </row>
    <row r="408764" spans="1:1">
      <c r="A408764" s="16">
        <v>42664</v>
      </c>
    </row>
    <row r="408765" spans="1:1">
      <c r="A408765" s="16">
        <v>42667</v>
      </c>
    </row>
    <row r="408766" spans="1:1">
      <c r="A408766" s="16">
        <v>42668</v>
      </c>
    </row>
    <row r="408767" spans="1:1">
      <c r="A408767" s="16">
        <v>42669</v>
      </c>
    </row>
    <row r="408768" spans="1:1">
      <c r="A408768" s="16">
        <v>42670</v>
      </c>
    </row>
    <row r="408769" spans="1:1">
      <c r="A408769" s="16">
        <v>42671</v>
      </c>
    </row>
    <row r="408770" spans="1:1">
      <c r="A408770" s="16">
        <v>42674</v>
      </c>
    </row>
    <row r="408771" spans="1:1">
      <c r="A408771" s="16">
        <v>42675</v>
      </c>
    </row>
    <row r="408772" spans="1:1">
      <c r="A408772" s="16">
        <v>42676</v>
      </c>
    </row>
    <row r="408773" spans="1:1">
      <c r="A408773" s="16">
        <v>42677</v>
      </c>
    </row>
    <row r="408774" spans="1:1">
      <c r="A408774" s="16">
        <v>42678</v>
      </c>
    </row>
    <row r="425072" spans="1:1">
      <c r="A425072" s="16" t="s">
        <v>0</v>
      </c>
    </row>
    <row r="425073" spans="1:1">
      <c r="A425073" s="16" t="s">
        <v>1</v>
      </c>
    </row>
    <row r="425074" spans="1:1">
      <c r="A425074" s="16">
        <v>42551</v>
      </c>
    </row>
    <row r="425075" spans="1:1">
      <c r="A425075" s="16">
        <v>42552</v>
      </c>
    </row>
    <row r="425076" spans="1:1">
      <c r="A425076" s="16">
        <v>42555</v>
      </c>
    </row>
    <row r="425077" spans="1:1">
      <c r="A425077" s="16">
        <v>42556</v>
      </c>
    </row>
    <row r="425078" spans="1:1">
      <c r="A425078" s="16">
        <v>42557</v>
      </c>
    </row>
    <row r="425079" spans="1:1">
      <c r="A425079" s="16">
        <v>42558</v>
      </c>
    </row>
    <row r="425080" spans="1:1">
      <c r="A425080" s="16">
        <v>42559</v>
      </c>
    </row>
    <row r="425081" spans="1:1">
      <c r="A425081" s="16">
        <v>42562</v>
      </c>
    </row>
    <row r="425082" spans="1:1">
      <c r="A425082" s="16">
        <v>42563</v>
      </c>
    </row>
    <row r="425083" spans="1:1">
      <c r="A425083" s="16">
        <v>42564</v>
      </c>
    </row>
    <row r="425084" spans="1:1">
      <c r="A425084" s="16">
        <v>42565</v>
      </c>
    </row>
    <row r="425085" spans="1:1">
      <c r="A425085" s="16">
        <v>42566</v>
      </c>
    </row>
    <row r="425086" spans="1:1">
      <c r="A425086" s="16">
        <v>42569</v>
      </c>
    </row>
    <row r="425087" spans="1:1">
      <c r="A425087" s="16">
        <v>42570</v>
      </c>
    </row>
    <row r="425088" spans="1:1">
      <c r="A425088" s="16">
        <v>42571</v>
      </c>
    </row>
    <row r="425089" spans="1:1">
      <c r="A425089" s="16">
        <v>42572</v>
      </c>
    </row>
    <row r="425090" spans="1:1">
      <c r="A425090" s="16">
        <v>42573</v>
      </c>
    </row>
    <row r="425091" spans="1:1">
      <c r="A425091" s="16">
        <v>42576</v>
      </c>
    </row>
    <row r="425092" spans="1:1">
      <c r="A425092" s="16">
        <v>42577</v>
      </c>
    </row>
    <row r="425093" spans="1:1">
      <c r="A425093" s="16">
        <v>42578</v>
      </c>
    </row>
    <row r="425094" spans="1:1">
      <c r="A425094" s="16">
        <v>42579</v>
      </c>
    </row>
    <row r="425095" spans="1:1">
      <c r="A425095" s="16">
        <v>42580</v>
      </c>
    </row>
    <row r="425096" spans="1:1">
      <c r="A425096" s="16">
        <v>42583</v>
      </c>
    </row>
    <row r="425097" spans="1:1">
      <c r="A425097" s="16">
        <v>42584</v>
      </c>
    </row>
    <row r="425098" spans="1:1">
      <c r="A425098" s="16">
        <v>42585</v>
      </c>
    </row>
    <row r="425099" spans="1:1">
      <c r="A425099" s="16">
        <v>42586</v>
      </c>
    </row>
    <row r="425100" spans="1:1">
      <c r="A425100" s="16">
        <v>42587</v>
      </c>
    </row>
    <row r="425101" spans="1:1">
      <c r="A425101" s="16">
        <v>42590</v>
      </c>
    </row>
    <row r="425102" spans="1:1">
      <c r="A425102" s="16">
        <v>42591</v>
      </c>
    </row>
    <row r="425103" spans="1:1">
      <c r="A425103" s="16">
        <v>42592</v>
      </c>
    </row>
    <row r="425104" spans="1:1">
      <c r="A425104" s="16">
        <v>42593</v>
      </c>
    </row>
    <row r="425105" spans="1:1">
      <c r="A425105" s="16">
        <v>42594</v>
      </c>
    </row>
    <row r="425106" spans="1:1">
      <c r="A425106" s="16">
        <v>42597</v>
      </c>
    </row>
    <row r="425107" spans="1:1">
      <c r="A425107" s="16">
        <v>42598</v>
      </c>
    </row>
    <row r="425108" spans="1:1">
      <c r="A425108" s="16">
        <v>42599</v>
      </c>
    </row>
    <row r="425109" spans="1:1">
      <c r="A425109" s="16">
        <v>42600</v>
      </c>
    </row>
    <row r="425110" spans="1:1">
      <c r="A425110" s="16">
        <v>42601</v>
      </c>
    </row>
    <row r="425111" spans="1:1">
      <c r="A425111" s="16">
        <v>42604</v>
      </c>
    </row>
    <row r="425112" spans="1:1">
      <c r="A425112" s="16">
        <v>42605</v>
      </c>
    </row>
    <row r="425113" spans="1:1">
      <c r="A425113" s="16">
        <v>42606</v>
      </c>
    </row>
    <row r="425114" spans="1:1">
      <c r="A425114" s="16">
        <v>42607</v>
      </c>
    </row>
    <row r="425115" spans="1:1">
      <c r="A425115" s="16">
        <v>42608</v>
      </c>
    </row>
    <row r="425116" spans="1:1">
      <c r="A425116" s="16">
        <v>42611</v>
      </c>
    </row>
    <row r="425117" spans="1:1">
      <c r="A425117" s="16">
        <v>42612</v>
      </c>
    </row>
    <row r="425118" spans="1:1">
      <c r="A425118" s="16">
        <v>42613</v>
      </c>
    </row>
    <row r="425119" spans="1:1">
      <c r="A425119" s="16">
        <v>42614</v>
      </c>
    </row>
    <row r="425120" spans="1:1">
      <c r="A425120" s="16">
        <v>42615</v>
      </c>
    </row>
    <row r="425121" spans="1:1">
      <c r="A425121" s="16">
        <v>42618</v>
      </c>
    </row>
    <row r="425122" spans="1:1">
      <c r="A425122" s="16">
        <v>42619</v>
      </c>
    </row>
    <row r="425123" spans="1:1">
      <c r="A425123" s="16">
        <v>42620</v>
      </c>
    </row>
    <row r="425124" spans="1:1">
      <c r="A425124" s="16">
        <v>42621</v>
      </c>
    </row>
    <row r="425125" spans="1:1">
      <c r="A425125" s="16">
        <v>42622</v>
      </c>
    </row>
    <row r="425126" spans="1:1">
      <c r="A425126" s="16">
        <v>42625</v>
      </c>
    </row>
    <row r="425127" spans="1:1">
      <c r="A425127" s="16">
        <v>42626</v>
      </c>
    </row>
    <row r="425128" spans="1:1">
      <c r="A425128" s="16">
        <v>42627</v>
      </c>
    </row>
    <row r="425129" spans="1:1">
      <c r="A425129" s="16">
        <v>42632</v>
      </c>
    </row>
    <row r="425130" spans="1:1">
      <c r="A425130" s="16">
        <v>42633</v>
      </c>
    </row>
    <row r="425131" spans="1:1">
      <c r="A425131" s="16">
        <v>42634</v>
      </c>
    </row>
    <row r="425132" spans="1:1">
      <c r="A425132" s="16">
        <v>42635</v>
      </c>
    </row>
    <row r="425133" spans="1:1">
      <c r="A425133" s="16">
        <v>42636</v>
      </c>
    </row>
    <row r="425134" spans="1:1">
      <c r="A425134" s="16">
        <v>42639</v>
      </c>
    </row>
    <row r="425135" spans="1:1">
      <c r="A425135" s="16">
        <v>42640</v>
      </c>
    </row>
    <row r="425136" spans="1:1">
      <c r="A425136" s="16">
        <v>42641</v>
      </c>
    </row>
    <row r="425137" spans="1:1">
      <c r="A425137" s="16">
        <v>42642</v>
      </c>
    </row>
    <row r="425138" spans="1:1">
      <c r="A425138" s="16">
        <v>42643</v>
      </c>
    </row>
    <row r="425139" spans="1:1">
      <c r="A425139" s="16">
        <v>42653</v>
      </c>
    </row>
    <row r="425140" spans="1:1">
      <c r="A425140" s="16">
        <v>42654</v>
      </c>
    </row>
    <row r="425141" spans="1:1">
      <c r="A425141" s="16">
        <v>42655</v>
      </c>
    </row>
    <row r="425142" spans="1:1">
      <c r="A425142" s="16">
        <v>42656</v>
      </c>
    </row>
    <row r="425143" spans="1:1">
      <c r="A425143" s="16">
        <v>42657</v>
      </c>
    </row>
    <row r="425144" spans="1:1">
      <c r="A425144" s="16">
        <v>42660</v>
      </c>
    </row>
    <row r="425145" spans="1:1">
      <c r="A425145" s="16">
        <v>42661</v>
      </c>
    </row>
    <row r="425146" spans="1:1">
      <c r="A425146" s="16">
        <v>42662</v>
      </c>
    </row>
    <row r="425147" spans="1:1">
      <c r="A425147" s="16">
        <v>42663</v>
      </c>
    </row>
    <row r="425148" spans="1:1">
      <c r="A425148" s="16">
        <v>42664</v>
      </c>
    </row>
    <row r="425149" spans="1:1">
      <c r="A425149" s="16">
        <v>42667</v>
      </c>
    </row>
    <row r="425150" spans="1:1">
      <c r="A425150" s="16">
        <v>42668</v>
      </c>
    </row>
    <row r="425151" spans="1:1">
      <c r="A425151" s="16">
        <v>42669</v>
      </c>
    </row>
    <row r="425152" spans="1:1">
      <c r="A425152" s="16">
        <v>42670</v>
      </c>
    </row>
    <row r="425153" spans="1:1">
      <c r="A425153" s="16">
        <v>42671</v>
      </c>
    </row>
    <row r="425154" spans="1:1">
      <c r="A425154" s="16">
        <v>42674</v>
      </c>
    </row>
    <row r="425155" spans="1:1">
      <c r="A425155" s="16">
        <v>42675</v>
      </c>
    </row>
    <row r="425156" spans="1:1">
      <c r="A425156" s="16">
        <v>42676</v>
      </c>
    </row>
    <row r="425157" spans="1:1">
      <c r="A425157" s="16">
        <v>42677</v>
      </c>
    </row>
    <row r="425158" spans="1:1">
      <c r="A425158" s="16">
        <v>42678</v>
      </c>
    </row>
    <row r="441456" spans="1:1">
      <c r="A441456" s="16" t="s">
        <v>0</v>
      </c>
    </row>
    <row r="441457" spans="1:1">
      <c r="A441457" s="16" t="s">
        <v>1</v>
      </c>
    </row>
    <row r="441458" spans="1:1">
      <c r="A441458" s="16">
        <v>42551</v>
      </c>
    </row>
    <row r="441459" spans="1:1">
      <c r="A441459" s="16">
        <v>42552</v>
      </c>
    </row>
    <row r="441460" spans="1:1">
      <c r="A441460" s="16">
        <v>42555</v>
      </c>
    </row>
    <row r="441461" spans="1:1">
      <c r="A441461" s="16">
        <v>42556</v>
      </c>
    </row>
    <row r="441462" spans="1:1">
      <c r="A441462" s="16">
        <v>42557</v>
      </c>
    </row>
    <row r="441463" spans="1:1">
      <c r="A441463" s="16">
        <v>42558</v>
      </c>
    </row>
    <row r="441464" spans="1:1">
      <c r="A441464" s="16">
        <v>42559</v>
      </c>
    </row>
    <row r="441465" spans="1:1">
      <c r="A441465" s="16">
        <v>42562</v>
      </c>
    </row>
    <row r="441466" spans="1:1">
      <c r="A441466" s="16">
        <v>42563</v>
      </c>
    </row>
    <row r="441467" spans="1:1">
      <c r="A441467" s="16">
        <v>42564</v>
      </c>
    </row>
    <row r="441468" spans="1:1">
      <c r="A441468" s="16">
        <v>42565</v>
      </c>
    </row>
    <row r="441469" spans="1:1">
      <c r="A441469" s="16">
        <v>42566</v>
      </c>
    </row>
    <row r="441470" spans="1:1">
      <c r="A441470" s="16">
        <v>42569</v>
      </c>
    </row>
    <row r="441471" spans="1:1">
      <c r="A441471" s="16">
        <v>42570</v>
      </c>
    </row>
    <row r="441472" spans="1:1">
      <c r="A441472" s="16">
        <v>42571</v>
      </c>
    </row>
    <row r="441473" spans="1:1">
      <c r="A441473" s="16">
        <v>42572</v>
      </c>
    </row>
    <row r="441474" spans="1:1">
      <c r="A441474" s="16">
        <v>42573</v>
      </c>
    </row>
    <row r="441475" spans="1:1">
      <c r="A441475" s="16">
        <v>42576</v>
      </c>
    </row>
    <row r="441476" spans="1:1">
      <c r="A441476" s="16">
        <v>42577</v>
      </c>
    </row>
    <row r="441477" spans="1:1">
      <c r="A441477" s="16">
        <v>42578</v>
      </c>
    </row>
    <row r="441478" spans="1:1">
      <c r="A441478" s="16">
        <v>42579</v>
      </c>
    </row>
    <row r="441479" spans="1:1">
      <c r="A441479" s="16">
        <v>42580</v>
      </c>
    </row>
    <row r="441480" spans="1:1">
      <c r="A441480" s="16">
        <v>42583</v>
      </c>
    </row>
    <row r="441481" spans="1:1">
      <c r="A441481" s="16">
        <v>42584</v>
      </c>
    </row>
    <row r="441482" spans="1:1">
      <c r="A441482" s="16">
        <v>42585</v>
      </c>
    </row>
    <row r="441483" spans="1:1">
      <c r="A441483" s="16">
        <v>42586</v>
      </c>
    </row>
    <row r="441484" spans="1:1">
      <c r="A441484" s="16">
        <v>42587</v>
      </c>
    </row>
    <row r="441485" spans="1:1">
      <c r="A441485" s="16">
        <v>42590</v>
      </c>
    </row>
    <row r="441486" spans="1:1">
      <c r="A441486" s="16">
        <v>42591</v>
      </c>
    </row>
    <row r="441487" spans="1:1">
      <c r="A441487" s="16">
        <v>42592</v>
      </c>
    </row>
    <row r="441488" spans="1:1">
      <c r="A441488" s="16">
        <v>42593</v>
      </c>
    </row>
    <row r="441489" spans="1:1">
      <c r="A441489" s="16">
        <v>42594</v>
      </c>
    </row>
    <row r="441490" spans="1:1">
      <c r="A441490" s="16">
        <v>42597</v>
      </c>
    </row>
    <row r="441491" spans="1:1">
      <c r="A441491" s="16">
        <v>42598</v>
      </c>
    </row>
    <row r="441492" spans="1:1">
      <c r="A441492" s="16">
        <v>42599</v>
      </c>
    </row>
    <row r="441493" spans="1:1">
      <c r="A441493" s="16">
        <v>42600</v>
      </c>
    </row>
    <row r="441494" spans="1:1">
      <c r="A441494" s="16">
        <v>42601</v>
      </c>
    </row>
    <row r="441495" spans="1:1">
      <c r="A441495" s="16">
        <v>42604</v>
      </c>
    </row>
    <row r="441496" spans="1:1">
      <c r="A441496" s="16">
        <v>42605</v>
      </c>
    </row>
    <row r="441497" spans="1:1">
      <c r="A441497" s="16">
        <v>42606</v>
      </c>
    </row>
    <row r="441498" spans="1:1">
      <c r="A441498" s="16">
        <v>42607</v>
      </c>
    </row>
    <row r="441499" spans="1:1">
      <c r="A441499" s="16">
        <v>42608</v>
      </c>
    </row>
    <row r="441500" spans="1:1">
      <c r="A441500" s="16">
        <v>42611</v>
      </c>
    </row>
    <row r="441501" spans="1:1">
      <c r="A441501" s="16">
        <v>42612</v>
      </c>
    </row>
    <row r="441502" spans="1:1">
      <c r="A441502" s="16">
        <v>42613</v>
      </c>
    </row>
    <row r="441503" spans="1:1">
      <c r="A441503" s="16">
        <v>42614</v>
      </c>
    </row>
    <row r="441504" spans="1:1">
      <c r="A441504" s="16">
        <v>42615</v>
      </c>
    </row>
    <row r="441505" spans="1:1">
      <c r="A441505" s="16">
        <v>42618</v>
      </c>
    </row>
    <row r="441506" spans="1:1">
      <c r="A441506" s="16">
        <v>42619</v>
      </c>
    </row>
    <row r="441507" spans="1:1">
      <c r="A441507" s="16">
        <v>42620</v>
      </c>
    </row>
    <row r="441508" spans="1:1">
      <c r="A441508" s="16">
        <v>42621</v>
      </c>
    </row>
    <row r="441509" spans="1:1">
      <c r="A441509" s="16">
        <v>42622</v>
      </c>
    </row>
    <row r="441510" spans="1:1">
      <c r="A441510" s="16">
        <v>42625</v>
      </c>
    </row>
    <row r="441511" spans="1:1">
      <c r="A441511" s="16">
        <v>42626</v>
      </c>
    </row>
    <row r="441512" spans="1:1">
      <c r="A441512" s="16">
        <v>42627</v>
      </c>
    </row>
    <row r="441513" spans="1:1">
      <c r="A441513" s="16">
        <v>42632</v>
      </c>
    </row>
    <row r="441514" spans="1:1">
      <c r="A441514" s="16">
        <v>42633</v>
      </c>
    </row>
    <row r="441515" spans="1:1">
      <c r="A441515" s="16">
        <v>42634</v>
      </c>
    </row>
    <row r="441516" spans="1:1">
      <c r="A441516" s="16">
        <v>42635</v>
      </c>
    </row>
    <row r="441517" spans="1:1">
      <c r="A441517" s="16">
        <v>42636</v>
      </c>
    </row>
    <row r="441518" spans="1:1">
      <c r="A441518" s="16">
        <v>42639</v>
      </c>
    </row>
    <row r="441519" spans="1:1">
      <c r="A441519" s="16">
        <v>42640</v>
      </c>
    </row>
    <row r="441520" spans="1:1">
      <c r="A441520" s="16">
        <v>42641</v>
      </c>
    </row>
    <row r="441521" spans="1:1">
      <c r="A441521" s="16">
        <v>42642</v>
      </c>
    </row>
    <row r="441522" spans="1:1">
      <c r="A441522" s="16">
        <v>42643</v>
      </c>
    </row>
    <row r="441523" spans="1:1">
      <c r="A441523" s="16">
        <v>42653</v>
      </c>
    </row>
    <row r="441524" spans="1:1">
      <c r="A441524" s="16">
        <v>42654</v>
      </c>
    </row>
    <row r="441525" spans="1:1">
      <c r="A441525" s="16">
        <v>42655</v>
      </c>
    </row>
    <row r="441526" spans="1:1">
      <c r="A441526" s="16">
        <v>42656</v>
      </c>
    </row>
    <row r="441527" spans="1:1">
      <c r="A441527" s="16">
        <v>42657</v>
      </c>
    </row>
    <row r="441528" spans="1:1">
      <c r="A441528" s="16">
        <v>42660</v>
      </c>
    </row>
    <row r="441529" spans="1:1">
      <c r="A441529" s="16">
        <v>42661</v>
      </c>
    </row>
    <row r="441530" spans="1:1">
      <c r="A441530" s="16">
        <v>42662</v>
      </c>
    </row>
    <row r="441531" spans="1:1">
      <c r="A441531" s="16">
        <v>42663</v>
      </c>
    </row>
    <row r="441532" spans="1:1">
      <c r="A441532" s="16">
        <v>42664</v>
      </c>
    </row>
    <row r="441533" spans="1:1">
      <c r="A441533" s="16">
        <v>42667</v>
      </c>
    </row>
    <row r="441534" spans="1:1">
      <c r="A441534" s="16">
        <v>42668</v>
      </c>
    </row>
    <row r="441535" spans="1:1">
      <c r="A441535" s="16">
        <v>42669</v>
      </c>
    </row>
    <row r="441536" spans="1:1">
      <c r="A441536" s="16">
        <v>42670</v>
      </c>
    </row>
    <row r="441537" spans="1:1">
      <c r="A441537" s="16">
        <v>42671</v>
      </c>
    </row>
    <row r="441538" spans="1:1">
      <c r="A441538" s="16">
        <v>42674</v>
      </c>
    </row>
    <row r="441539" spans="1:1">
      <c r="A441539" s="16">
        <v>42675</v>
      </c>
    </row>
    <row r="441540" spans="1:1">
      <c r="A441540" s="16">
        <v>42676</v>
      </c>
    </row>
    <row r="441541" spans="1:1">
      <c r="A441541" s="16">
        <v>42677</v>
      </c>
    </row>
    <row r="441542" spans="1:1">
      <c r="A441542" s="16">
        <v>42678</v>
      </c>
    </row>
    <row r="457840" spans="1:1">
      <c r="A457840" s="16" t="s">
        <v>0</v>
      </c>
    </row>
    <row r="457841" spans="1:1">
      <c r="A457841" s="16" t="s">
        <v>1</v>
      </c>
    </row>
    <row r="457842" spans="1:1">
      <c r="A457842" s="16">
        <v>42551</v>
      </c>
    </row>
    <row r="457843" spans="1:1">
      <c r="A457843" s="16">
        <v>42552</v>
      </c>
    </row>
    <row r="457844" spans="1:1">
      <c r="A457844" s="16">
        <v>42555</v>
      </c>
    </row>
    <row r="457845" spans="1:1">
      <c r="A457845" s="16">
        <v>42556</v>
      </c>
    </row>
    <row r="457846" spans="1:1">
      <c r="A457846" s="16">
        <v>42557</v>
      </c>
    </row>
    <row r="457847" spans="1:1">
      <c r="A457847" s="16">
        <v>42558</v>
      </c>
    </row>
    <row r="457848" spans="1:1">
      <c r="A457848" s="16">
        <v>42559</v>
      </c>
    </row>
    <row r="457849" spans="1:1">
      <c r="A457849" s="16">
        <v>42562</v>
      </c>
    </row>
    <row r="457850" spans="1:1">
      <c r="A457850" s="16">
        <v>42563</v>
      </c>
    </row>
    <row r="457851" spans="1:1">
      <c r="A457851" s="16">
        <v>42564</v>
      </c>
    </row>
    <row r="457852" spans="1:1">
      <c r="A457852" s="16">
        <v>42565</v>
      </c>
    </row>
    <row r="457853" spans="1:1">
      <c r="A457853" s="16">
        <v>42566</v>
      </c>
    </row>
    <row r="457854" spans="1:1">
      <c r="A457854" s="16">
        <v>42569</v>
      </c>
    </row>
    <row r="457855" spans="1:1">
      <c r="A457855" s="16">
        <v>42570</v>
      </c>
    </row>
    <row r="457856" spans="1:1">
      <c r="A457856" s="16">
        <v>42571</v>
      </c>
    </row>
    <row r="457857" spans="1:1">
      <c r="A457857" s="16">
        <v>42572</v>
      </c>
    </row>
    <row r="457858" spans="1:1">
      <c r="A457858" s="16">
        <v>42573</v>
      </c>
    </row>
    <row r="457859" spans="1:1">
      <c r="A457859" s="16">
        <v>42576</v>
      </c>
    </row>
    <row r="457860" spans="1:1">
      <c r="A457860" s="16">
        <v>42577</v>
      </c>
    </row>
    <row r="457861" spans="1:1">
      <c r="A457861" s="16">
        <v>42578</v>
      </c>
    </row>
    <row r="457862" spans="1:1">
      <c r="A457862" s="16">
        <v>42579</v>
      </c>
    </row>
    <row r="457863" spans="1:1">
      <c r="A457863" s="16">
        <v>42580</v>
      </c>
    </row>
    <row r="457864" spans="1:1">
      <c r="A457864" s="16">
        <v>42583</v>
      </c>
    </row>
    <row r="457865" spans="1:1">
      <c r="A457865" s="16">
        <v>42584</v>
      </c>
    </row>
    <row r="457866" spans="1:1">
      <c r="A457866" s="16">
        <v>42585</v>
      </c>
    </row>
    <row r="457867" spans="1:1">
      <c r="A457867" s="16">
        <v>42586</v>
      </c>
    </row>
    <row r="457868" spans="1:1">
      <c r="A457868" s="16">
        <v>42587</v>
      </c>
    </row>
    <row r="457869" spans="1:1">
      <c r="A457869" s="16">
        <v>42590</v>
      </c>
    </row>
    <row r="457870" spans="1:1">
      <c r="A457870" s="16">
        <v>42591</v>
      </c>
    </row>
    <row r="457871" spans="1:1">
      <c r="A457871" s="16">
        <v>42592</v>
      </c>
    </row>
    <row r="457872" spans="1:1">
      <c r="A457872" s="16">
        <v>42593</v>
      </c>
    </row>
    <row r="457873" spans="1:1">
      <c r="A457873" s="16">
        <v>42594</v>
      </c>
    </row>
    <row r="457874" spans="1:1">
      <c r="A457874" s="16">
        <v>42597</v>
      </c>
    </row>
    <row r="457875" spans="1:1">
      <c r="A457875" s="16">
        <v>42598</v>
      </c>
    </row>
    <row r="457876" spans="1:1">
      <c r="A457876" s="16">
        <v>42599</v>
      </c>
    </row>
    <row r="457877" spans="1:1">
      <c r="A457877" s="16">
        <v>42600</v>
      </c>
    </row>
    <row r="457878" spans="1:1">
      <c r="A457878" s="16">
        <v>42601</v>
      </c>
    </row>
    <row r="457879" spans="1:1">
      <c r="A457879" s="16">
        <v>42604</v>
      </c>
    </row>
    <row r="457880" spans="1:1">
      <c r="A457880" s="16">
        <v>42605</v>
      </c>
    </row>
    <row r="457881" spans="1:1">
      <c r="A457881" s="16">
        <v>42606</v>
      </c>
    </row>
    <row r="457882" spans="1:1">
      <c r="A457882" s="16">
        <v>42607</v>
      </c>
    </row>
    <row r="457883" spans="1:1">
      <c r="A457883" s="16">
        <v>42608</v>
      </c>
    </row>
    <row r="457884" spans="1:1">
      <c r="A457884" s="16">
        <v>42611</v>
      </c>
    </row>
    <row r="457885" spans="1:1">
      <c r="A457885" s="16">
        <v>42612</v>
      </c>
    </row>
    <row r="457886" spans="1:1">
      <c r="A457886" s="16">
        <v>42613</v>
      </c>
    </row>
    <row r="457887" spans="1:1">
      <c r="A457887" s="16">
        <v>42614</v>
      </c>
    </row>
    <row r="457888" spans="1:1">
      <c r="A457888" s="16">
        <v>42615</v>
      </c>
    </row>
    <row r="457889" spans="1:1">
      <c r="A457889" s="16">
        <v>42618</v>
      </c>
    </row>
    <row r="457890" spans="1:1">
      <c r="A457890" s="16">
        <v>42619</v>
      </c>
    </row>
    <row r="457891" spans="1:1">
      <c r="A457891" s="16">
        <v>42620</v>
      </c>
    </row>
    <row r="457892" spans="1:1">
      <c r="A457892" s="16">
        <v>42621</v>
      </c>
    </row>
    <row r="457893" spans="1:1">
      <c r="A457893" s="16">
        <v>42622</v>
      </c>
    </row>
    <row r="457894" spans="1:1">
      <c r="A457894" s="16">
        <v>42625</v>
      </c>
    </row>
    <row r="457895" spans="1:1">
      <c r="A457895" s="16">
        <v>42626</v>
      </c>
    </row>
    <row r="457896" spans="1:1">
      <c r="A457896" s="16">
        <v>42627</v>
      </c>
    </row>
    <row r="457897" spans="1:1">
      <c r="A457897" s="16">
        <v>42632</v>
      </c>
    </row>
    <row r="457898" spans="1:1">
      <c r="A457898" s="16">
        <v>42633</v>
      </c>
    </row>
    <row r="457899" spans="1:1">
      <c r="A457899" s="16">
        <v>42634</v>
      </c>
    </row>
    <row r="457900" spans="1:1">
      <c r="A457900" s="16">
        <v>42635</v>
      </c>
    </row>
    <row r="457901" spans="1:1">
      <c r="A457901" s="16">
        <v>42636</v>
      </c>
    </row>
    <row r="457902" spans="1:1">
      <c r="A457902" s="16">
        <v>42639</v>
      </c>
    </row>
    <row r="457903" spans="1:1">
      <c r="A457903" s="16">
        <v>42640</v>
      </c>
    </row>
    <row r="457904" spans="1:1">
      <c r="A457904" s="16">
        <v>42641</v>
      </c>
    </row>
    <row r="457905" spans="1:1">
      <c r="A457905" s="16">
        <v>42642</v>
      </c>
    </row>
    <row r="457906" spans="1:1">
      <c r="A457906" s="16">
        <v>42643</v>
      </c>
    </row>
    <row r="457907" spans="1:1">
      <c r="A457907" s="16">
        <v>42653</v>
      </c>
    </row>
    <row r="457908" spans="1:1">
      <c r="A457908" s="16">
        <v>42654</v>
      </c>
    </row>
    <row r="457909" spans="1:1">
      <c r="A457909" s="16">
        <v>42655</v>
      </c>
    </row>
    <row r="457910" spans="1:1">
      <c r="A457910" s="16">
        <v>42656</v>
      </c>
    </row>
    <row r="457911" spans="1:1">
      <c r="A457911" s="16">
        <v>42657</v>
      </c>
    </row>
    <row r="457912" spans="1:1">
      <c r="A457912" s="16">
        <v>42660</v>
      </c>
    </row>
    <row r="457913" spans="1:1">
      <c r="A457913" s="16">
        <v>42661</v>
      </c>
    </row>
    <row r="457914" spans="1:1">
      <c r="A457914" s="16">
        <v>42662</v>
      </c>
    </row>
    <row r="457915" spans="1:1">
      <c r="A457915" s="16">
        <v>42663</v>
      </c>
    </row>
    <row r="457916" spans="1:1">
      <c r="A457916" s="16">
        <v>42664</v>
      </c>
    </row>
    <row r="457917" spans="1:1">
      <c r="A457917" s="16">
        <v>42667</v>
      </c>
    </row>
    <row r="457918" spans="1:1">
      <c r="A457918" s="16">
        <v>42668</v>
      </c>
    </row>
    <row r="457919" spans="1:1">
      <c r="A457919" s="16">
        <v>42669</v>
      </c>
    </row>
    <row r="457920" spans="1:1">
      <c r="A457920" s="16">
        <v>42670</v>
      </c>
    </row>
    <row r="457921" spans="1:1">
      <c r="A457921" s="16">
        <v>42671</v>
      </c>
    </row>
    <row r="457922" spans="1:1">
      <c r="A457922" s="16">
        <v>42674</v>
      </c>
    </row>
    <row r="457923" spans="1:1">
      <c r="A457923" s="16">
        <v>42675</v>
      </c>
    </row>
    <row r="457924" spans="1:1">
      <c r="A457924" s="16">
        <v>42676</v>
      </c>
    </row>
    <row r="457925" spans="1:1">
      <c r="A457925" s="16">
        <v>42677</v>
      </c>
    </row>
    <row r="457926" spans="1:1">
      <c r="A457926" s="16">
        <v>42678</v>
      </c>
    </row>
    <row r="474224" spans="1:1">
      <c r="A474224" s="16" t="s">
        <v>0</v>
      </c>
    </row>
    <row r="474225" spans="1:1">
      <c r="A474225" s="16" t="s">
        <v>1</v>
      </c>
    </row>
    <row r="474226" spans="1:1">
      <c r="A474226" s="16">
        <v>42551</v>
      </c>
    </row>
    <row r="474227" spans="1:1">
      <c r="A474227" s="16">
        <v>42552</v>
      </c>
    </row>
    <row r="474228" spans="1:1">
      <c r="A474228" s="16">
        <v>42555</v>
      </c>
    </row>
    <row r="474229" spans="1:1">
      <c r="A474229" s="16">
        <v>42556</v>
      </c>
    </row>
    <row r="474230" spans="1:1">
      <c r="A474230" s="16">
        <v>42557</v>
      </c>
    </row>
    <row r="474231" spans="1:1">
      <c r="A474231" s="16">
        <v>42558</v>
      </c>
    </row>
    <row r="474232" spans="1:1">
      <c r="A474232" s="16">
        <v>42559</v>
      </c>
    </row>
    <row r="474233" spans="1:1">
      <c r="A474233" s="16">
        <v>42562</v>
      </c>
    </row>
    <row r="474234" spans="1:1">
      <c r="A474234" s="16">
        <v>42563</v>
      </c>
    </row>
    <row r="474235" spans="1:1">
      <c r="A474235" s="16">
        <v>42564</v>
      </c>
    </row>
    <row r="474236" spans="1:1">
      <c r="A474236" s="16">
        <v>42565</v>
      </c>
    </row>
    <row r="474237" spans="1:1">
      <c r="A474237" s="16">
        <v>42566</v>
      </c>
    </row>
    <row r="474238" spans="1:1">
      <c r="A474238" s="16">
        <v>42569</v>
      </c>
    </row>
    <row r="474239" spans="1:1">
      <c r="A474239" s="16">
        <v>42570</v>
      </c>
    </row>
    <row r="474240" spans="1:1">
      <c r="A474240" s="16">
        <v>42571</v>
      </c>
    </row>
    <row r="474241" spans="1:1">
      <c r="A474241" s="16">
        <v>42572</v>
      </c>
    </row>
    <row r="474242" spans="1:1">
      <c r="A474242" s="16">
        <v>42573</v>
      </c>
    </row>
    <row r="474243" spans="1:1">
      <c r="A474243" s="16">
        <v>42576</v>
      </c>
    </row>
    <row r="474244" spans="1:1">
      <c r="A474244" s="16">
        <v>42577</v>
      </c>
    </row>
    <row r="474245" spans="1:1">
      <c r="A474245" s="16">
        <v>42578</v>
      </c>
    </row>
    <row r="474246" spans="1:1">
      <c r="A474246" s="16">
        <v>42579</v>
      </c>
    </row>
    <row r="474247" spans="1:1">
      <c r="A474247" s="16">
        <v>42580</v>
      </c>
    </row>
    <row r="474248" spans="1:1">
      <c r="A474248" s="16">
        <v>42583</v>
      </c>
    </row>
    <row r="474249" spans="1:1">
      <c r="A474249" s="16">
        <v>42584</v>
      </c>
    </row>
    <row r="474250" spans="1:1">
      <c r="A474250" s="16">
        <v>42585</v>
      </c>
    </row>
    <row r="474251" spans="1:1">
      <c r="A474251" s="16">
        <v>42586</v>
      </c>
    </row>
    <row r="474252" spans="1:1">
      <c r="A474252" s="16">
        <v>42587</v>
      </c>
    </row>
    <row r="474253" spans="1:1">
      <c r="A474253" s="16">
        <v>42590</v>
      </c>
    </row>
    <row r="474254" spans="1:1">
      <c r="A474254" s="16">
        <v>42591</v>
      </c>
    </row>
    <row r="474255" spans="1:1">
      <c r="A474255" s="16">
        <v>42592</v>
      </c>
    </row>
    <row r="474256" spans="1:1">
      <c r="A474256" s="16">
        <v>42593</v>
      </c>
    </row>
    <row r="474257" spans="1:1">
      <c r="A474257" s="16">
        <v>42594</v>
      </c>
    </row>
    <row r="474258" spans="1:1">
      <c r="A474258" s="16">
        <v>42597</v>
      </c>
    </row>
    <row r="474259" spans="1:1">
      <c r="A474259" s="16">
        <v>42598</v>
      </c>
    </row>
    <row r="474260" spans="1:1">
      <c r="A474260" s="16">
        <v>42599</v>
      </c>
    </row>
    <row r="474261" spans="1:1">
      <c r="A474261" s="16">
        <v>42600</v>
      </c>
    </row>
    <row r="474262" spans="1:1">
      <c r="A474262" s="16">
        <v>42601</v>
      </c>
    </row>
    <row r="474263" spans="1:1">
      <c r="A474263" s="16">
        <v>42604</v>
      </c>
    </row>
    <row r="474264" spans="1:1">
      <c r="A474264" s="16">
        <v>42605</v>
      </c>
    </row>
    <row r="474265" spans="1:1">
      <c r="A474265" s="16">
        <v>42606</v>
      </c>
    </row>
    <row r="474266" spans="1:1">
      <c r="A474266" s="16">
        <v>42607</v>
      </c>
    </row>
    <row r="474267" spans="1:1">
      <c r="A474267" s="16">
        <v>42608</v>
      </c>
    </row>
    <row r="474268" spans="1:1">
      <c r="A474268" s="16">
        <v>42611</v>
      </c>
    </row>
    <row r="474269" spans="1:1">
      <c r="A474269" s="16">
        <v>42612</v>
      </c>
    </row>
    <row r="474270" spans="1:1">
      <c r="A474270" s="16">
        <v>42613</v>
      </c>
    </row>
    <row r="474271" spans="1:1">
      <c r="A474271" s="16">
        <v>42614</v>
      </c>
    </row>
    <row r="474272" spans="1:1">
      <c r="A474272" s="16">
        <v>42615</v>
      </c>
    </row>
    <row r="474273" spans="1:1">
      <c r="A474273" s="16">
        <v>42618</v>
      </c>
    </row>
    <row r="474274" spans="1:1">
      <c r="A474274" s="16">
        <v>42619</v>
      </c>
    </row>
    <row r="474275" spans="1:1">
      <c r="A474275" s="16">
        <v>42620</v>
      </c>
    </row>
    <row r="474276" spans="1:1">
      <c r="A474276" s="16">
        <v>42621</v>
      </c>
    </row>
    <row r="474277" spans="1:1">
      <c r="A474277" s="16">
        <v>42622</v>
      </c>
    </row>
    <row r="474278" spans="1:1">
      <c r="A474278" s="16">
        <v>42625</v>
      </c>
    </row>
    <row r="474279" spans="1:1">
      <c r="A474279" s="16">
        <v>42626</v>
      </c>
    </row>
    <row r="474280" spans="1:1">
      <c r="A474280" s="16">
        <v>42627</v>
      </c>
    </row>
    <row r="474281" spans="1:1">
      <c r="A474281" s="16">
        <v>42632</v>
      </c>
    </row>
    <row r="474282" spans="1:1">
      <c r="A474282" s="16">
        <v>42633</v>
      </c>
    </row>
    <row r="474283" spans="1:1">
      <c r="A474283" s="16">
        <v>42634</v>
      </c>
    </row>
    <row r="474284" spans="1:1">
      <c r="A474284" s="16">
        <v>42635</v>
      </c>
    </row>
    <row r="474285" spans="1:1">
      <c r="A474285" s="16">
        <v>42636</v>
      </c>
    </row>
    <row r="474286" spans="1:1">
      <c r="A474286" s="16">
        <v>42639</v>
      </c>
    </row>
    <row r="474287" spans="1:1">
      <c r="A474287" s="16">
        <v>42640</v>
      </c>
    </row>
    <row r="474288" spans="1:1">
      <c r="A474288" s="16">
        <v>42641</v>
      </c>
    </row>
    <row r="474289" spans="1:1">
      <c r="A474289" s="16">
        <v>42642</v>
      </c>
    </row>
    <row r="474290" spans="1:1">
      <c r="A474290" s="16">
        <v>42643</v>
      </c>
    </row>
    <row r="474291" spans="1:1">
      <c r="A474291" s="16">
        <v>42653</v>
      </c>
    </row>
    <row r="474292" spans="1:1">
      <c r="A474292" s="16">
        <v>42654</v>
      </c>
    </row>
    <row r="474293" spans="1:1">
      <c r="A474293" s="16">
        <v>42655</v>
      </c>
    </row>
    <row r="474294" spans="1:1">
      <c r="A474294" s="16">
        <v>42656</v>
      </c>
    </row>
    <row r="474295" spans="1:1">
      <c r="A474295" s="16">
        <v>42657</v>
      </c>
    </row>
    <row r="474296" spans="1:1">
      <c r="A474296" s="16">
        <v>42660</v>
      </c>
    </row>
    <row r="474297" spans="1:1">
      <c r="A474297" s="16">
        <v>42661</v>
      </c>
    </row>
    <row r="474298" spans="1:1">
      <c r="A474298" s="16">
        <v>42662</v>
      </c>
    </row>
    <row r="474299" spans="1:1">
      <c r="A474299" s="16">
        <v>42663</v>
      </c>
    </row>
    <row r="474300" spans="1:1">
      <c r="A474300" s="16">
        <v>42664</v>
      </c>
    </row>
    <row r="474301" spans="1:1">
      <c r="A474301" s="16">
        <v>42667</v>
      </c>
    </row>
    <row r="474302" spans="1:1">
      <c r="A474302" s="16">
        <v>42668</v>
      </c>
    </row>
    <row r="474303" spans="1:1">
      <c r="A474303" s="16">
        <v>42669</v>
      </c>
    </row>
    <row r="474304" spans="1:1">
      <c r="A474304" s="16">
        <v>42670</v>
      </c>
    </row>
    <row r="474305" spans="1:1">
      <c r="A474305" s="16">
        <v>42671</v>
      </c>
    </row>
    <row r="474306" spans="1:1">
      <c r="A474306" s="16">
        <v>42674</v>
      </c>
    </row>
    <row r="474307" spans="1:1">
      <c r="A474307" s="16">
        <v>42675</v>
      </c>
    </row>
    <row r="474308" spans="1:1">
      <c r="A474308" s="16">
        <v>42676</v>
      </c>
    </row>
    <row r="474309" spans="1:1">
      <c r="A474309" s="16">
        <v>42677</v>
      </c>
    </row>
    <row r="474310" spans="1:1">
      <c r="A474310" s="16">
        <v>42678</v>
      </c>
    </row>
    <row r="490608" spans="1:1">
      <c r="A490608" s="16" t="s">
        <v>0</v>
      </c>
    </row>
    <row r="490609" spans="1:1">
      <c r="A490609" s="16" t="s">
        <v>1</v>
      </c>
    </row>
    <row r="490610" spans="1:1">
      <c r="A490610" s="16">
        <v>42551</v>
      </c>
    </row>
    <row r="490611" spans="1:1">
      <c r="A490611" s="16">
        <v>42552</v>
      </c>
    </row>
    <row r="490612" spans="1:1">
      <c r="A490612" s="16">
        <v>42555</v>
      </c>
    </row>
    <row r="490613" spans="1:1">
      <c r="A490613" s="16">
        <v>42556</v>
      </c>
    </row>
    <row r="490614" spans="1:1">
      <c r="A490614" s="16">
        <v>42557</v>
      </c>
    </row>
    <row r="490615" spans="1:1">
      <c r="A490615" s="16">
        <v>42558</v>
      </c>
    </row>
    <row r="490616" spans="1:1">
      <c r="A490616" s="16">
        <v>42559</v>
      </c>
    </row>
    <row r="490617" spans="1:1">
      <c r="A490617" s="16">
        <v>42562</v>
      </c>
    </row>
    <row r="490618" spans="1:1">
      <c r="A490618" s="16">
        <v>42563</v>
      </c>
    </row>
    <row r="490619" spans="1:1">
      <c r="A490619" s="16">
        <v>42564</v>
      </c>
    </row>
    <row r="490620" spans="1:1">
      <c r="A490620" s="16">
        <v>42565</v>
      </c>
    </row>
    <row r="490621" spans="1:1">
      <c r="A490621" s="16">
        <v>42566</v>
      </c>
    </row>
    <row r="490622" spans="1:1">
      <c r="A490622" s="16">
        <v>42569</v>
      </c>
    </row>
    <row r="490623" spans="1:1">
      <c r="A490623" s="16">
        <v>42570</v>
      </c>
    </row>
    <row r="490624" spans="1:1">
      <c r="A490624" s="16">
        <v>42571</v>
      </c>
    </row>
    <row r="490625" spans="1:1">
      <c r="A490625" s="16">
        <v>42572</v>
      </c>
    </row>
    <row r="490626" spans="1:1">
      <c r="A490626" s="16">
        <v>42573</v>
      </c>
    </row>
    <row r="490627" spans="1:1">
      <c r="A490627" s="16">
        <v>42576</v>
      </c>
    </row>
    <row r="490628" spans="1:1">
      <c r="A490628" s="16">
        <v>42577</v>
      </c>
    </row>
    <row r="490629" spans="1:1">
      <c r="A490629" s="16">
        <v>42578</v>
      </c>
    </row>
    <row r="490630" spans="1:1">
      <c r="A490630" s="16">
        <v>42579</v>
      </c>
    </row>
    <row r="490631" spans="1:1">
      <c r="A490631" s="16">
        <v>42580</v>
      </c>
    </row>
    <row r="490632" spans="1:1">
      <c r="A490632" s="16">
        <v>42583</v>
      </c>
    </row>
    <row r="490633" spans="1:1">
      <c r="A490633" s="16">
        <v>42584</v>
      </c>
    </row>
    <row r="490634" spans="1:1">
      <c r="A490634" s="16">
        <v>42585</v>
      </c>
    </row>
    <row r="490635" spans="1:1">
      <c r="A490635" s="16">
        <v>42586</v>
      </c>
    </row>
    <row r="490636" spans="1:1">
      <c r="A490636" s="16">
        <v>42587</v>
      </c>
    </row>
    <row r="490637" spans="1:1">
      <c r="A490637" s="16">
        <v>42590</v>
      </c>
    </row>
    <row r="490638" spans="1:1">
      <c r="A490638" s="16">
        <v>42591</v>
      </c>
    </row>
    <row r="490639" spans="1:1">
      <c r="A490639" s="16">
        <v>42592</v>
      </c>
    </row>
    <row r="490640" spans="1:1">
      <c r="A490640" s="16">
        <v>42593</v>
      </c>
    </row>
    <row r="490641" spans="1:1">
      <c r="A490641" s="16">
        <v>42594</v>
      </c>
    </row>
    <row r="490642" spans="1:1">
      <c r="A490642" s="16">
        <v>42597</v>
      </c>
    </row>
    <row r="490643" spans="1:1">
      <c r="A490643" s="16">
        <v>42598</v>
      </c>
    </row>
    <row r="490644" spans="1:1">
      <c r="A490644" s="16">
        <v>42599</v>
      </c>
    </row>
    <row r="490645" spans="1:1">
      <c r="A490645" s="16">
        <v>42600</v>
      </c>
    </row>
    <row r="490646" spans="1:1">
      <c r="A490646" s="16">
        <v>42601</v>
      </c>
    </row>
    <row r="490647" spans="1:1">
      <c r="A490647" s="16">
        <v>42604</v>
      </c>
    </row>
    <row r="490648" spans="1:1">
      <c r="A490648" s="16">
        <v>42605</v>
      </c>
    </row>
    <row r="490649" spans="1:1">
      <c r="A490649" s="16">
        <v>42606</v>
      </c>
    </row>
    <row r="490650" spans="1:1">
      <c r="A490650" s="16">
        <v>42607</v>
      </c>
    </row>
    <row r="490651" spans="1:1">
      <c r="A490651" s="16">
        <v>42608</v>
      </c>
    </row>
    <row r="490652" spans="1:1">
      <c r="A490652" s="16">
        <v>42611</v>
      </c>
    </row>
    <row r="490653" spans="1:1">
      <c r="A490653" s="16">
        <v>42612</v>
      </c>
    </row>
    <row r="490654" spans="1:1">
      <c r="A490654" s="16">
        <v>42613</v>
      </c>
    </row>
    <row r="490655" spans="1:1">
      <c r="A490655" s="16">
        <v>42614</v>
      </c>
    </row>
    <row r="490656" spans="1:1">
      <c r="A490656" s="16">
        <v>42615</v>
      </c>
    </row>
    <row r="490657" spans="1:1">
      <c r="A490657" s="16">
        <v>42618</v>
      </c>
    </row>
    <row r="490658" spans="1:1">
      <c r="A490658" s="16">
        <v>42619</v>
      </c>
    </row>
    <row r="490659" spans="1:1">
      <c r="A490659" s="16">
        <v>42620</v>
      </c>
    </row>
    <row r="490660" spans="1:1">
      <c r="A490660" s="16">
        <v>42621</v>
      </c>
    </row>
    <row r="490661" spans="1:1">
      <c r="A490661" s="16">
        <v>42622</v>
      </c>
    </row>
    <row r="490662" spans="1:1">
      <c r="A490662" s="16">
        <v>42625</v>
      </c>
    </row>
    <row r="490663" spans="1:1">
      <c r="A490663" s="16">
        <v>42626</v>
      </c>
    </row>
    <row r="490664" spans="1:1">
      <c r="A490664" s="16">
        <v>42627</v>
      </c>
    </row>
    <row r="490665" spans="1:1">
      <c r="A490665" s="16">
        <v>42632</v>
      </c>
    </row>
    <row r="490666" spans="1:1">
      <c r="A490666" s="16">
        <v>42633</v>
      </c>
    </row>
    <row r="490667" spans="1:1">
      <c r="A490667" s="16">
        <v>42634</v>
      </c>
    </row>
    <row r="490668" spans="1:1">
      <c r="A490668" s="16">
        <v>42635</v>
      </c>
    </row>
    <row r="490669" spans="1:1">
      <c r="A490669" s="16">
        <v>42636</v>
      </c>
    </row>
    <row r="490670" spans="1:1">
      <c r="A490670" s="16">
        <v>42639</v>
      </c>
    </row>
    <row r="490671" spans="1:1">
      <c r="A490671" s="16">
        <v>42640</v>
      </c>
    </row>
    <row r="490672" spans="1:1">
      <c r="A490672" s="16">
        <v>42641</v>
      </c>
    </row>
    <row r="490673" spans="1:1">
      <c r="A490673" s="16">
        <v>42642</v>
      </c>
    </row>
    <row r="490674" spans="1:1">
      <c r="A490674" s="16">
        <v>42643</v>
      </c>
    </row>
    <row r="490675" spans="1:1">
      <c r="A490675" s="16">
        <v>42653</v>
      </c>
    </row>
    <row r="490676" spans="1:1">
      <c r="A490676" s="16">
        <v>42654</v>
      </c>
    </row>
    <row r="490677" spans="1:1">
      <c r="A490677" s="16">
        <v>42655</v>
      </c>
    </row>
    <row r="490678" spans="1:1">
      <c r="A490678" s="16">
        <v>42656</v>
      </c>
    </row>
    <row r="490679" spans="1:1">
      <c r="A490679" s="16">
        <v>42657</v>
      </c>
    </row>
    <row r="490680" spans="1:1">
      <c r="A490680" s="16">
        <v>42660</v>
      </c>
    </row>
    <row r="490681" spans="1:1">
      <c r="A490681" s="16">
        <v>42661</v>
      </c>
    </row>
    <row r="490682" spans="1:1">
      <c r="A490682" s="16">
        <v>42662</v>
      </c>
    </row>
    <row r="490683" spans="1:1">
      <c r="A490683" s="16">
        <v>42663</v>
      </c>
    </row>
    <row r="490684" spans="1:1">
      <c r="A490684" s="16">
        <v>42664</v>
      </c>
    </row>
    <row r="490685" spans="1:1">
      <c r="A490685" s="16">
        <v>42667</v>
      </c>
    </row>
    <row r="490686" spans="1:1">
      <c r="A490686" s="16">
        <v>42668</v>
      </c>
    </row>
    <row r="490687" spans="1:1">
      <c r="A490687" s="16">
        <v>42669</v>
      </c>
    </row>
    <row r="490688" spans="1:1">
      <c r="A490688" s="16">
        <v>42670</v>
      </c>
    </row>
    <row r="490689" spans="1:1">
      <c r="A490689" s="16">
        <v>42671</v>
      </c>
    </row>
    <row r="490690" spans="1:1">
      <c r="A490690" s="16">
        <v>42674</v>
      </c>
    </row>
    <row r="490691" spans="1:1">
      <c r="A490691" s="16">
        <v>42675</v>
      </c>
    </row>
    <row r="490692" spans="1:1">
      <c r="A490692" s="16">
        <v>42676</v>
      </c>
    </row>
    <row r="490693" spans="1:1">
      <c r="A490693" s="16">
        <v>42677</v>
      </c>
    </row>
    <row r="490694" spans="1:1">
      <c r="A490694" s="16">
        <v>42678</v>
      </c>
    </row>
    <row r="506992" spans="1:1">
      <c r="A506992" s="16" t="s">
        <v>0</v>
      </c>
    </row>
    <row r="506993" spans="1:1">
      <c r="A506993" s="16" t="s">
        <v>1</v>
      </c>
    </row>
    <row r="506994" spans="1:1">
      <c r="A506994" s="16">
        <v>42551</v>
      </c>
    </row>
    <row r="506995" spans="1:1">
      <c r="A506995" s="16">
        <v>42552</v>
      </c>
    </row>
    <row r="506996" spans="1:1">
      <c r="A506996" s="16">
        <v>42555</v>
      </c>
    </row>
    <row r="506997" spans="1:1">
      <c r="A506997" s="16">
        <v>42556</v>
      </c>
    </row>
    <row r="506998" spans="1:1">
      <c r="A506998" s="16">
        <v>42557</v>
      </c>
    </row>
    <row r="506999" spans="1:1">
      <c r="A506999" s="16">
        <v>42558</v>
      </c>
    </row>
    <row r="507000" spans="1:1">
      <c r="A507000" s="16">
        <v>42559</v>
      </c>
    </row>
    <row r="507001" spans="1:1">
      <c r="A507001" s="16">
        <v>42562</v>
      </c>
    </row>
    <row r="507002" spans="1:1">
      <c r="A507002" s="16">
        <v>42563</v>
      </c>
    </row>
    <row r="507003" spans="1:1">
      <c r="A507003" s="16">
        <v>42564</v>
      </c>
    </row>
    <row r="507004" spans="1:1">
      <c r="A507004" s="16">
        <v>42565</v>
      </c>
    </row>
    <row r="507005" spans="1:1">
      <c r="A507005" s="16">
        <v>42566</v>
      </c>
    </row>
    <row r="507006" spans="1:1">
      <c r="A507006" s="16">
        <v>42569</v>
      </c>
    </row>
    <row r="507007" spans="1:1">
      <c r="A507007" s="16">
        <v>42570</v>
      </c>
    </row>
    <row r="507008" spans="1:1">
      <c r="A507008" s="16">
        <v>42571</v>
      </c>
    </row>
    <row r="507009" spans="1:1">
      <c r="A507009" s="16">
        <v>42572</v>
      </c>
    </row>
    <row r="507010" spans="1:1">
      <c r="A507010" s="16">
        <v>42573</v>
      </c>
    </row>
    <row r="507011" spans="1:1">
      <c r="A507011" s="16">
        <v>42576</v>
      </c>
    </row>
    <row r="507012" spans="1:1">
      <c r="A507012" s="16">
        <v>42577</v>
      </c>
    </row>
    <row r="507013" spans="1:1">
      <c r="A507013" s="16">
        <v>42578</v>
      </c>
    </row>
    <row r="507014" spans="1:1">
      <c r="A507014" s="16">
        <v>42579</v>
      </c>
    </row>
    <row r="507015" spans="1:1">
      <c r="A507015" s="16">
        <v>42580</v>
      </c>
    </row>
    <row r="507016" spans="1:1">
      <c r="A507016" s="16">
        <v>42583</v>
      </c>
    </row>
    <row r="507017" spans="1:1">
      <c r="A507017" s="16">
        <v>42584</v>
      </c>
    </row>
    <row r="507018" spans="1:1">
      <c r="A507018" s="16">
        <v>42585</v>
      </c>
    </row>
    <row r="507019" spans="1:1">
      <c r="A507019" s="16">
        <v>42586</v>
      </c>
    </row>
    <row r="507020" spans="1:1">
      <c r="A507020" s="16">
        <v>42587</v>
      </c>
    </row>
    <row r="507021" spans="1:1">
      <c r="A507021" s="16">
        <v>42590</v>
      </c>
    </row>
    <row r="507022" spans="1:1">
      <c r="A507022" s="16">
        <v>42591</v>
      </c>
    </row>
    <row r="507023" spans="1:1">
      <c r="A507023" s="16">
        <v>42592</v>
      </c>
    </row>
    <row r="507024" spans="1:1">
      <c r="A507024" s="16">
        <v>42593</v>
      </c>
    </row>
    <row r="507025" spans="1:1">
      <c r="A507025" s="16">
        <v>42594</v>
      </c>
    </row>
    <row r="507026" spans="1:1">
      <c r="A507026" s="16">
        <v>42597</v>
      </c>
    </row>
    <row r="507027" spans="1:1">
      <c r="A507027" s="16">
        <v>42598</v>
      </c>
    </row>
    <row r="507028" spans="1:1">
      <c r="A507028" s="16">
        <v>42599</v>
      </c>
    </row>
    <row r="507029" spans="1:1">
      <c r="A507029" s="16">
        <v>42600</v>
      </c>
    </row>
    <row r="507030" spans="1:1">
      <c r="A507030" s="16">
        <v>42601</v>
      </c>
    </row>
    <row r="507031" spans="1:1">
      <c r="A507031" s="16">
        <v>42604</v>
      </c>
    </row>
    <row r="507032" spans="1:1">
      <c r="A507032" s="16">
        <v>42605</v>
      </c>
    </row>
    <row r="507033" spans="1:1">
      <c r="A507033" s="16">
        <v>42606</v>
      </c>
    </row>
    <row r="507034" spans="1:1">
      <c r="A507034" s="16">
        <v>42607</v>
      </c>
    </row>
    <row r="507035" spans="1:1">
      <c r="A507035" s="16">
        <v>42608</v>
      </c>
    </row>
    <row r="507036" spans="1:1">
      <c r="A507036" s="16">
        <v>42611</v>
      </c>
    </row>
    <row r="507037" spans="1:1">
      <c r="A507037" s="16">
        <v>42612</v>
      </c>
    </row>
    <row r="507038" spans="1:1">
      <c r="A507038" s="16">
        <v>42613</v>
      </c>
    </row>
    <row r="507039" spans="1:1">
      <c r="A507039" s="16">
        <v>42614</v>
      </c>
    </row>
    <row r="507040" spans="1:1">
      <c r="A507040" s="16">
        <v>42615</v>
      </c>
    </row>
    <row r="507041" spans="1:1">
      <c r="A507041" s="16">
        <v>42618</v>
      </c>
    </row>
    <row r="507042" spans="1:1">
      <c r="A507042" s="16">
        <v>42619</v>
      </c>
    </row>
    <row r="507043" spans="1:1">
      <c r="A507043" s="16">
        <v>42620</v>
      </c>
    </row>
    <row r="507044" spans="1:1">
      <c r="A507044" s="16">
        <v>42621</v>
      </c>
    </row>
    <row r="507045" spans="1:1">
      <c r="A507045" s="16">
        <v>42622</v>
      </c>
    </row>
    <row r="507046" spans="1:1">
      <c r="A507046" s="16">
        <v>42625</v>
      </c>
    </row>
    <row r="507047" spans="1:1">
      <c r="A507047" s="16">
        <v>42626</v>
      </c>
    </row>
    <row r="507048" spans="1:1">
      <c r="A507048" s="16">
        <v>42627</v>
      </c>
    </row>
    <row r="507049" spans="1:1">
      <c r="A507049" s="16">
        <v>42632</v>
      </c>
    </row>
    <row r="507050" spans="1:1">
      <c r="A507050" s="16">
        <v>42633</v>
      </c>
    </row>
    <row r="507051" spans="1:1">
      <c r="A507051" s="16">
        <v>42634</v>
      </c>
    </row>
    <row r="507052" spans="1:1">
      <c r="A507052" s="16">
        <v>42635</v>
      </c>
    </row>
    <row r="507053" spans="1:1">
      <c r="A507053" s="16">
        <v>42636</v>
      </c>
    </row>
    <row r="507054" spans="1:1">
      <c r="A507054" s="16">
        <v>42639</v>
      </c>
    </row>
    <row r="507055" spans="1:1">
      <c r="A507055" s="16">
        <v>42640</v>
      </c>
    </row>
    <row r="507056" spans="1:1">
      <c r="A507056" s="16">
        <v>42641</v>
      </c>
    </row>
    <row r="507057" spans="1:1">
      <c r="A507057" s="16">
        <v>42642</v>
      </c>
    </row>
    <row r="507058" spans="1:1">
      <c r="A507058" s="16">
        <v>42643</v>
      </c>
    </row>
    <row r="507059" spans="1:1">
      <c r="A507059" s="16">
        <v>42653</v>
      </c>
    </row>
    <row r="507060" spans="1:1">
      <c r="A507060" s="16">
        <v>42654</v>
      </c>
    </row>
    <row r="507061" spans="1:1">
      <c r="A507061" s="16">
        <v>42655</v>
      </c>
    </row>
    <row r="507062" spans="1:1">
      <c r="A507062" s="16">
        <v>42656</v>
      </c>
    </row>
    <row r="507063" spans="1:1">
      <c r="A507063" s="16">
        <v>42657</v>
      </c>
    </row>
    <row r="507064" spans="1:1">
      <c r="A507064" s="16">
        <v>42660</v>
      </c>
    </row>
    <row r="507065" spans="1:1">
      <c r="A507065" s="16">
        <v>42661</v>
      </c>
    </row>
    <row r="507066" spans="1:1">
      <c r="A507066" s="16">
        <v>42662</v>
      </c>
    </row>
    <row r="507067" spans="1:1">
      <c r="A507067" s="16">
        <v>42663</v>
      </c>
    </row>
    <row r="507068" spans="1:1">
      <c r="A507068" s="16">
        <v>42664</v>
      </c>
    </row>
    <row r="507069" spans="1:1">
      <c r="A507069" s="16">
        <v>42667</v>
      </c>
    </row>
    <row r="507070" spans="1:1">
      <c r="A507070" s="16">
        <v>42668</v>
      </c>
    </row>
    <row r="507071" spans="1:1">
      <c r="A507071" s="16">
        <v>42669</v>
      </c>
    </row>
    <row r="507072" spans="1:1">
      <c r="A507072" s="16">
        <v>42670</v>
      </c>
    </row>
    <row r="507073" spans="1:1">
      <c r="A507073" s="16">
        <v>42671</v>
      </c>
    </row>
    <row r="507074" spans="1:1">
      <c r="A507074" s="16">
        <v>42674</v>
      </c>
    </row>
    <row r="507075" spans="1:1">
      <c r="A507075" s="16">
        <v>42675</v>
      </c>
    </row>
    <row r="507076" spans="1:1">
      <c r="A507076" s="16">
        <v>42676</v>
      </c>
    </row>
    <row r="507077" spans="1:1">
      <c r="A507077" s="16">
        <v>42677</v>
      </c>
    </row>
    <row r="507078" spans="1:1">
      <c r="A507078" s="16">
        <v>42678</v>
      </c>
    </row>
    <row r="523376" spans="1:1">
      <c r="A523376" s="16" t="s">
        <v>0</v>
      </c>
    </row>
    <row r="523377" spans="1:1">
      <c r="A523377" s="16" t="s">
        <v>1</v>
      </c>
    </row>
    <row r="523378" spans="1:1">
      <c r="A523378" s="16">
        <v>42551</v>
      </c>
    </row>
    <row r="523379" spans="1:1">
      <c r="A523379" s="16">
        <v>42552</v>
      </c>
    </row>
    <row r="523380" spans="1:1">
      <c r="A523380" s="16">
        <v>42555</v>
      </c>
    </row>
    <row r="523381" spans="1:1">
      <c r="A523381" s="16">
        <v>42556</v>
      </c>
    </row>
    <row r="523382" spans="1:1">
      <c r="A523382" s="16">
        <v>42557</v>
      </c>
    </row>
    <row r="523383" spans="1:1">
      <c r="A523383" s="16">
        <v>42558</v>
      </c>
    </row>
    <row r="523384" spans="1:1">
      <c r="A523384" s="16">
        <v>42559</v>
      </c>
    </row>
    <row r="523385" spans="1:1">
      <c r="A523385" s="16">
        <v>42562</v>
      </c>
    </row>
    <row r="523386" spans="1:1">
      <c r="A523386" s="16">
        <v>42563</v>
      </c>
    </row>
    <row r="523387" spans="1:1">
      <c r="A523387" s="16">
        <v>42564</v>
      </c>
    </row>
    <row r="523388" spans="1:1">
      <c r="A523388" s="16">
        <v>42565</v>
      </c>
    </row>
    <row r="523389" spans="1:1">
      <c r="A523389" s="16">
        <v>42566</v>
      </c>
    </row>
    <row r="523390" spans="1:1">
      <c r="A523390" s="16">
        <v>42569</v>
      </c>
    </row>
    <row r="523391" spans="1:1">
      <c r="A523391" s="16">
        <v>42570</v>
      </c>
    </row>
    <row r="523392" spans="1:1">
      <c r="A523392" s="16">
        <v>42571</v>
      </c>
    </row>
    <row r="523393" spans="1:1">
      <c r="A523393" s="16">
        <v>42572</v>
      </c>
    </row>
    <row r="523394" spans="1:1">
      <c r="A523394" s="16">
        <v>42573</v>
      </c>
    </row>
    <row r="523395" spans="1:1">
      <c r="A523395" s="16">
        <v>42576</v>
      </c>
    </row>
    <row r="523396" spans="1:1">
      <c r="A523396" s="16">
        <v>42577</v>
      </c>
    </row>
    <row r="523397" spans="1:1">
      <c r="A523397" s="16">
        <v>42578</v>
      </c>
    </row>
    <row r="523398" spans="1:1">
      <c r="A523398" s="16">
        <v>42579</v>
      </c>
    </row>
    <row r="523399" spans="1:1">
      <c r="A523399" s="16">
        <v>42580</v>
      </c>
    </row>
    <row r="523400" spans="1:1">
      <c r="A523400" s="16">
        <v>42583</v>
      </c>
    </row>
    <row r="523401" spans="1:1">
      <c r="A523401" s="16">
        <v>42584</v>
      </c>
    </row>
    <row r="523402" spans="1:1">
      <c r="A523402" s="16">
        <v>42585</v>
      </c>
    </row>
    <row r="523403" spans="1:1">
      <c r="A523403" s="16">
        <v>42586</v>
      </c>
    </row>
    <row r="523404" spans="1:1">
      <c r="A523404" s="16">
        <v>42587</v>
      </c>
    </row>
    <row r="523405" spans="1:1">
      <c r="A523405" s="16">
        <v>42590</v>
      </c>
    </row>
    <row r="523406" spans="1:1">
      <c r="A523406" s="16">
        <v>42591</v>
      </c>
    </row>
    <row r="523407" spans="1:1">
      <c r="A523407" s="16">
        <v>42592</v>
      </c>
    </row>
    <row r="523408" spans="1:1">
      <c r="A523408" s="16">
        <v>42593</v>
      </c>
    </row>
    <row r="523409" spans="1:1">
      <c r="A523409" s="16">
        <v>42594</v>
      </c>
    </row>
    <row r="523410" spans="1:1">
      <c r="A523410" s="16">
        <v>42597</v>
      </c>
    </row>
    <row r="523411" spans="1:1">
      <c r="A523411" s="16">
        <v>42598</v>
      </c>
    </row>
    <row r="523412" spans="1:1">
      <c r="A523412" s="16">
        <v>42599</v>
      </c>
    </row>
    <row r="523413" spans="1:1">
      <c r="A523413" s="16">
        <v>42600</v>
      </c>
    </row>
    <row r="523414" spans="1:1">
      <c r="A523414" s="16">
        <v>42601</v>
      </c>
    </row>
    <row r="523415" spans="1:1">
      <c r="A523415" s="16">
        <v>42604</v>
      </c>
    </row>
    <row r="523416" spans="1:1">
      <c r="A523416" s="16">
        <v>42605</v>
      </c>
    </row>
    <row r="523417" spans="1:1">
      <c r="A523417" s="16">
        <v>42606</v>
      </c>
    </row>
    <row r="523418" spans="1:1">
      <c r="A523418" s="16">
        <v>42607</v>
      </c>
    </row>
    <row r="523419" spans="1:1">
      <c r="A523419" s="16">
        <v>42608</v>
      </c>
    </row>
    <row r="523420" spans="1:1">
      <c r="A523420" s="16">
        <v>42611</v>
      </c>
    </row>
    <row r="523421" spans="1:1">
      <c r="A523421" s="16">
        <v>42612</v>
      </c>
    </row>
    <row r="523422" spans="1:1">
      <c r="A523422" s="16">
        <v>42613</v>
      </c>
    </row>
    <row r="523423" spans="1:1">
      <c r="A523423" s="16">
        <v>42614</v>
      </c>
    </row>
    <row r="523424" spans="1:1">
      <c r="A523424" s="16">
        <v>42615</v>
      </c>
    </row>
    <row r="523425" spans="1:1">
      <c r="A523425" s="16">
        <v>42618</v>
      </c>
    </row>
    <row r="523426" spans="1:1">
      <c r="A523426" s="16">
        <v>42619</v>
      </c>
    </row>
    <row r="523427" spans="1:1">
      <c r="A523427" s="16">
        <v>42620</v>
      </c>
    </row>
    <row r="523428" spans="1:1">
      <c r="A523428" s="16">
        <v>42621</v>
      </c>
    </row>
    <row r="523429" spans="1:1">
      <c r="A523429" s="16">
        <v>42622</v>
      </c>
    </row>
    <row r="523430" spans="1:1">
      <c r="A523430" s="16">
        <v>42625</v>
      </c>
    </row>
    <row r="523431" spans="1:1">
      <c r="A523431" s="16">
        <v>42626</v>
      </c>
    </row>
    <row r="523432" spans="1:1">
      <c r="A523432" s="16">
        <v>42627</v>
      </c>
    </row>
    <row r="523433" spans="1:1">
      <c r="A523433" s="16">
        <v>42632</v>
      </c>
    </row>
    <row r="523434" spans="1:1">
      <c r="A523434" s="16">
        <v>42633</v>
      </c>
    </row>
    <row r="523435" spans="1:1">
      <c r="A523435" s="16">
        <v>42634</v>
      </c>
    </row>
    <row r="523436" spans="1:1">
      <c r="A523436" s="16">
        <v>42635</v>
      </c>
    </row>
    <row r="523437" spans="1:1">
      <c r="A523437" s="16">
        <v>42636</v>
      </c>
    </row>
    <row r="523438" spans="1:1">
      <c r="A523438" s="16">
        <v>42639</v>
      </c>
    </row>
    <row r="523439" spans="1:1">
      <c r="A523439" s="16">
        <v>42640</v>
      </c>
    </row>
    <row r="523440" spans="1:1">
      <c r="A523440" s="16">
        <v>42641</v>
      </c>
    </row>
    <row r="523441" spans="1:1">
      <c r="A523441" s="16">
        <v>42642</v>
      </c>
    </row>
    <row r="523442" spans="1:1">
      <c r="A523442" s="16">
        <v>42643</v>
      </c>
    </row>
    <row r="523443" spans="1:1">
      <c r="A523443" s="16">
        <v>42653</v>
      </c>
    </row>
    <row r="523444" spans="1:1">
      <c r="A523444" s="16">
        <v>42654</v>
      </c>
    </row>
    <row r="523445" spans="1:1">
      <c r="A523445" s="16">
        <v>42655</v>
      </c>
    </row>
    <row r="523446" spans="1:1">
      <c r="A523446" s="16">
        <v>42656</v>
      </c>
    </row>
    <row r="523447" spans="1:1">
      <c r="A523447" s="16">
        <v>42657</v>
      </c>
    </row>
    <row r="523448" spans="1:1">
      <c r="A523448" s="16">
        <v>42660</v>
      </c>
    </row>
    <row r="523449" spans="1:1">
      <c r="A523449" s="16">
        <v>42661</v>
      </c>
    </row>
    <row r="523450" spans="1:1">
      <c r="A523450" s="16">
        <v>42662</v>
      </c>
    </row>
    <row r="523451" spans="1:1">
      <c r="A523451" s="16">
        <v>42663</v>
      </c>
    </row>
    <row r="523452" spans="1:1">
      <c r="A523452" s="16">
        <v>42664</v>
      </c>
    </row>
    <row r="523453" spans="1:1">
      <c r="A523453" s="16">
        <v>42667</v>
      </c>
    </row>
    <row r="523454" spans="1:1">
      <c r="A523454" s="16">
        <v>42668</v>
      </c>
    </row>
    <row r="523455" spans="1:1">
      <c r="A523455" s="16">
        <v>42669</v>
      </c>
    </row>
    <row r="523456" spans="1:1">
      <c r="A523456" s="16">
        <v>42670</v>
      </c>
    </row>
    <row r="523457" spans="1:1">
      <c r="A523457" s="16">
        <v>42671</v>
      </c>
    </row>
    <row r="523458" spans="1:1">
      <c r="A523458" s="16">
        <v>42674</v>
      </c>
    </row>
    <row r="523459" spans="1:1">
      <c r="A523459" s="16">
        <v>42675</v>
      </c>
    </row>
    <row r="523460" spans="1:1">
      <c r="A523460" s="16">
        <v>42676</v>
      </c>
    </row>
    <row r="523461" spans="1:1">
      <c r="A523461" s="16">
        <v>42677</v>
      </c>
    </row>
    <row r="523462" spans="1:1">
      <c r="A523462" s="16">
        <v>42678</v>
      </c>
    </row>
    <row r="539760" spans="1:1">
      <c r="A539760" s="16" t="s">
        <v>0</v>
      </c>
    </row>
    <row r="539761" spans="1:1">
      <c r="A539761" s="16" t="s">
        <v>1</v>
      </c>
    </row>
    <row r="539762" spans="1:1">
      <c r="A539762" s="16">
        <v>42551</v>
      </c>
    </row>
    <row r="539763" spans="1:1">
      <c r="A539763" s="16">
        <v>42552</v>
      </c>
    </row>
    <row r="539764" spans="1:1">
      <c r="A539764" s="16">
        <v>42555</v>
      </c>
    </row>
    <row r="539765" spans="1:1">
      <c r="A539765" s="16">
        <v>42556</v>
      </c>
    </row>
    <row r="539766" spans="1:1">
      <c r="A539766" s="16">
        <v>42557</v>
      </c>
    </row>
    <row r="539767" spans="1:1">
      <c r="A539767" s="16">
        <v>42558</v>
      </c>
    </row>
    <row r="539768" spans="1:1">
      <c r="A539768" s="16">
        <v>42559</v>
      </c>
    </row>
    <row r="539769" spans="1:1">
      <c r="A539769" s="16">
        <v>42562</v>
      </c>
    </row>
    <row r="539770" spans="1:1">
      <c r="A539770" s="16">
        <v>42563</v>
      </c>
    </row>
    <row r="539771" spans="1:1">
      <c r="A539771" s="16">
        <v>42564</v>
      </c>
    </row>
    <row r="539772" spans="1:1">
      <c r="A539772" s="16">
        <v>42565</v>
      </c>
    </row>
    <row r="539773" spans="1:1">
      <c r="A539773" s="16">
        <v>42566</v>
      </c>
    </row>
    <row r="539774" spans="1:1">
      <c r="A539774" s="16">
        <v>42569</v>
      </c>
    </row>
    <row r="539775" spans="1:1">
      <c r="A539775" s="16">
        <v>42570</v>
      </c>
    </row>
    <row r="539776" spans="1:1">
      <c r="A539776" s="16">
        <v>42571</v>
      </c>
    </row>
    <row r="539777" spans="1:1">
      <c r="A539777" s="16">
        <v>42572</v>
      </c>
    </row>
    <row r="539778" spans="1:1">
      <c r="A539778" s="16">
        <v>42573</v>
      </c>
    </row>
    <row r="539779" spans="1:1">
      <c r="A539779" s="16">
        <v>42576</v>
      </c>
    </row>
    <row r="539780" spans="1:1">
      <c r="A539780" s="16">
        <v>42577</v>
      </c>
    </row>
    <row r="539781" spans="1:1">
      <c r="A539781" s="16">
        <v>42578</v>
      </c>
    </row>
    <row r="539782" spans="1:1">
      <c r="A539782" s="16">
        <v>42579</v>
      </c>
    </row>
    <row r="539783" spans="1:1">
      <c r="A539783" s="16">
        <v>42580</v>
      </c>
    </row>
    <row r="539784" spans="1:1">
      <c r="A539784" s="16">
        <v>42583</v>
      </c>
    </row>
    <row r="539785" spans="1:1">
      <c r="A539785" s="16">
        <v>42584</v>
      </c>
    </row>
    <row r="539786" spans="1:1">
      <c r="A539786" s="16">
        <v>42585</v>
      </c>
    </row>
    <row r="539787" spans="1:1">
      <c r="A539787" s="16">
        <v>42586</v>
      </c>
    </row>
    <row r="539788" spans="1:1">
      <c r="A539788" s="16">
        <v>42587</v>
      </c>
    </row>
    <row r="539789" spans="1:1">
      <c r="A539789" s="16">
        <v>42590</v>
      </c>
    </row>
    <row r="539790" spans="1:1">
      <c r="A539790" s="16">
        <v>42591</v>
      </c>
    </row>
    <row r="539791" spans="1:1">
      <c r="A539791" s="16">
        <v>42592</v>
      </c>
    </row>
    <row r="539792" spans="1:1">
      <c r="A539792" s="16">
        <v>42593</v>
      </c>
    </row>
    <row r="539793" spans="1:1">
      <c r="A539793" s="16">
        <v>42594</v>
      </c>
    </row>
    <row r="539794" spans="1:1">
      <c r="A539794" s="16">
        <v>42597</v>
      </c>
    </row>
    <row r="539795" spans="1:1">
      <c r="A539795" s="16">
        <v>42598</v>
      </c>
    </row>
    <row r="539796" spans="1:1">
      <c r="A539796" s="16">
        <v>42599</v>
      </c>
    </row>
    <row r="539797" spans="1:1">
      <c r="A539797" s="16">
        <v>42600</v>
      </c>
    </row>
    <row r="539798" spans="1:1">
      <c r="A539798" s="16">
        <v>42601</v>
      </c>
    </row>
    <row r="539799" spans="1:1">
      <c r="A539799" s="16">
        <v>42604</v>
      </c>
    </row>
    <row r="539800" spans="1:1">
      <c r="A539800" s="16">
        <v>42605</v>
      </c>
    </row>
    <row r="539801" spans="1:1">
      <c r="A539801" s="16">
        <v>42606</v>
      </c>
    </row>
    <row r="539802" spans="1:1">
      <c r="A539802" s="16">
        <v>42607</v>
      </c>
    </row>
    <row r="539803" spans="1:1">
      <c r="A539803" s="16">
        <v>42608</v>
      </c>
    </row>
    <row r="539804" spans="1:1">
      <c r="A539804" s="16">
        <v>42611</v>
      </c>
    </row>
    <row r="539805" spans="1:1">
      <c r="A539805" s="16">
        <v>42612</v>
      </c>
    </row>
    <row r="539806" spans="1:1">
      <c r="A539806" s="16">
        <v>42613</v>
      </c>
    </row>
    <row r="539807" spans="1:1">
      <c r="A539807" s="16">
        <v>42614</v>
      </c>
    </row>
    <row r="539808" spans="1:1">
      <c r="A539808" s="16">
        <v>42615</v>
      </c>
    </row>
    <row r="539809" spans="1:1">
      <c r="A539809" s="16">
        <v>42618</v>
      </c>
    </row>
    <row r="539810" spans="1:1">
      <c r="A539810" s="16">
        <v>42619</v>
      </c>
    </row>
    <row r="539811" spans="1:1">
      <c r="A539811" s="16">
        <v>42620</v>
      </c>
    </row>
    <row r="539812" spans="1:1">
      <c r="A539812" s="16">
        <v>42621</v>
      </c>
    </row>
    <row r="539813" spans="1:1">
      <c r="A539813" s="16">
        <v>42622</v>
      </c>
    </row>
    <row r="539814" spans="1:1">
      <c r="A539814" s="16">
        <v>42625</v>
      </c>
    </row>
    <row r="539815" spans="1:1">
      <c r="A539815" s="16">
        <v>42626</v>
      </c>
    </row>
    <row r="539816" spans="1:1">
      <c r="A539816" s="16">
        <v>42627</v>
      </c>
    </row>
    <row r="539817" spans="1:1">
      <c r="A539817" s="16">
        <v>42632</v>
      </c>
    </row>
    <row r="539818" spans="1:1">
      <c r="A539818" s="16">
        <v>42633</v>
      </c>
    </row>
    <row r="539819" spans="1:1">
      <c r="A539819" s="16">
        <v>42634</v>
      </c>
    </row>
    <row r="539820" spans="1:1">
      <c r="A539820" s="16">
        <v>42635</v>
      </c>
    </row>
    <row r="539821" spans="1:1">
      <c r="A539821" s="16">
        <v>42636</v>
      </c>
    </row>
    <row r="539822" spans="1:1">
      <c r="A539822" s="16">
        <v>42639</v>
      </c>
    </row>
    <row r="539823" spans="1:1">
      <c r="A539823" s="16">
        <v>42640</v>
      </c>
    </row>
    <row r="539824" spans="1:1">
      <c r="A539824" s="16">
        <v>42641</v>
      </c>
    </row>
    <row r="539825" spans="1:1">
      <c r="A539825" s="16">
        <v>42642</v>
      </c>
    </row>
    <row r="539826" spans="1:1">
      <c r="A539826" s="16">
        <v>42643</v>
      </c>
    </row>
    <row r="539827" spans="1:1">
      <c r="A539827" s="16">
        <v>42653</v>
      </c>
    </row>
    <row r="539828" spans="1:1">
      <c r="A539828" s="16">
        <v>42654</v>
      </c>
    </row>
    <row r="539829" spans="1:1">
      <c r="A539829" s="16">
        <v>42655</v>
      </c>
    </row>
    <row r="539830" spans="1:1">
      <c r="A539830" s="16">
        <v>42656</v>
      </c>
    </row>
    <row r="539831" spans="1:1">
      <c r="A539831" s="16">
        <v>42657</v>
      </c>
    </row>
    <row r="539832" spans="1:1">
      <c r="A539832" s="16">
        <v>42660</v>
      </c>
    </row>
    <row r="539833" spans="1:1">
      <c r="A539833" s="16">
        <v>42661</v>
      </c>
    </row>
    <row r="539834" spans="1:1">
      <c r="A539834" s="16">
        <v>42662</v>
      </c>
    </row>
    <row r="539835" spans="1:1">
      <c r="A539835" s="16">
        <v>42663</v>
      </c>
    </row>
    <row r="539836" spans="1:1">
      <c r="A539836" s="16">
        <v>42664</v>
      </c>
    </row>
    <row r="539837" spans="1:1">
      <c r="A539837" s="16">
        <v>42667</v>
      </c>
    </row>
    <row r="539838" spans="1:1">
      <c r="A539838" s="16">
        <v>42668</v>
      </c>
    </row>
    <row r="539839" spans="1:1">
      <c r="A539839" s="16">
        <v>42669</v>
      </c>
    </row>
    <row r="539840" spans="1:1">
      <c r="A539840" s="16">
        <v>42670</v>
      </c>
    </row>
    <row r="539841" spans="1:1">
      <c r="A539841" s="16">
        <v>42671</v>
      </c>
    </row>
    <row r="539842" spans="1:1">
      <c r="A539842" s="16">
        <v>42674</v>
      </c>
    </row>
    <row r="539843" spans="1:1">
      <c r="A539843" s="16">
        <v>42675</v>
      </c>
    </row>
    <row r="539844" spans="1:1">
      <c r="A539844" s="16">
        <v>42676</v>
      </c>
    </row>
    <row r="539845" spans="1:1">
      <c r="A539845" s="16">
        <v>42677</v>
      </c>
    </row>
    <row r="539846" spans="1:1">
      <c r="A539846" s="16">
        <v>42678</v>
      </c>
    </row>
    <row r="556144" spans="1:1">
      <c r="A556144" s="16" t="s">
        <v>0</v>
      </c>
    </row>
    <row r="556145" spans="1:1">
      <c r="A556145" s="16" t="s">
        <v>1</v>
      </c>
    </row>
    <row r="556146" spans="1:1">
      <c r="A556146" s="16">
        <v>42551</v>
      </c>
    </row>
    <row r="556147" spans="1:1">
      <c r="A556147" s="16">
        <v>42552</v>
      </c>
    </row>
    <row r="556148" spans="1:1">
      <c r="A556148" s="16">
        <v>42555</v>
      </c>
    </row>
    <row r="556149" spans="1:1">
      <c r="A556149" s="16">
        <v>42556</v>
      </c>
    </row>
    <row r="556150" spans="1:1">
      <c r="A556150" s="16">
        <v>42557</v>
      </c>
    </row>
    <row r="556151" spans="1:1">
      <c r="A556151" s="16">
        <v>42558</v>
      </c>
    </row>
    <row r="556152" spans="1:1">
      <c r="A556152" s="16">
        <v>42559</v>
      </c>
    </row>
    <row r="556153" spans="1:1">
      <c r="A556153" s="16">
        <v>42562</v>
      </c>
    </row>
    <row r="556154" spans="1:1">
      <c r="A556154" s="16">
        <v>42563</v>
      </c>
    </row>
    <row r="556155" spans="1:1">
      <c r="A556155" s="16">
        <v>42564</v>
      </c>
    </row>
    <row r="556156" spans="1:1">
      <c r="A556156" s="16">
        <v>42565</v>
      </c>
    </row>
    <row r="556157" spans="1:1">
      <c r="A556157" s="16">
        <v>42566</v>
      </c>
    </row>
    <row r="556158" spans="1:1">
      <c r="A556158" s="16">
        <v>42569</v>
      </c>
    </row>
    <row r="556159" spans="1:1">
      <c r="A556159" s="16">
        <v>42570</v>
      </c>
    </row>
    <row r="556160" spans="1:1">
      <c r="A556160" s="16">
        <v>42571</v>
      </c>
    </row>
    <row r="556161" spans="1:1">
      <c r="A556161" s="16">
        <v>42572</v>
      </c>
    </row>
    <row r="556162" spans="1:1">
      <c r="A556162" s="16">
        <v>42573</v>
      </c>
    </row>
    <row r="556163" spans="1:1">
      <c r="A556163" s="16">
        <v>42576</v>
      </c>
    </row>
    <row r="556164" spans="1:1">
      <c r="A556164" s="16">
        <v>42577</v>
      </c>
    </row>
    <row r="556165" spans="1:1">
      <c r="A556165" s="16">
        <v>42578</v>
      </c>
    </row>
    <row r="556166" spans="1:1">
      <c r="A556166" s="16">
        <v>42579</v>
      </c>
    </row>
    <row r="556167" spans="1:1">
      <c r="A556167" s="16">
        <v>42580</v>
      </c>
    </row>
    <row r="556168" spans="1:1">
      <c r="A556168" s="16">
        <v>42583</v>
      </c>
    </row>
    <row r="556169" spans="1:1">
      <c r="A556169" s="16">
        <v>42584</v>
      </c>
    </row>
    <row r="556170" spans="1:1">
      <c r="A556170" s="16">
        <v>42585</v>
      </c>
    </row>
    <row r="556171" spans="1:1">
      <c r="A556171" s="16">
        <v>42586</v>
      </c>
    </row>
    <row r="556172" spans="1:1">
      <c r="A556172" s="16">
        <v>42587</v>
      </c>
    </row>
    <row r="556173" spans="1:1">
      <c r="A556173" s="16">
        <v>42590</v>
      </c>
    </row>
    <row r="556174" spans="1:1">
      <c r="A556174" s="16">
        <v>42591</v>
      </c>
    </row>
    <row r="556175" spans="1:1">
      <c r="A556175" s="16">
        <v>42592</v>
      </c>
    </row>
    <row r="556176" spans="1:1">
      <c r="A556176" s="16">
        <v>42593</v>
      </c>
    </row>
    <row r="556177" spans="1:1">
      <c r="A556177" s="16">
        <v>42594</v>
      </c>
    </row>
    <row r="556178" spans="1:1">
      <c r="A556178" s="16">
        <v>42597</v>
      </c>
    </row>
    <row r="556179" spans="1:1">
      <c r="A556179" s="16">
        <v>42598</v>
      </c>
    </row>
    <row r="556180" spans="1:1">
      <c r="A556180" s="16">
        <v>42599</v>
      </c>
    </row>
    <row r="556181" spans="1:1">
      <c r="A556181" s="16">
        <v>42600</v>
      </c>
    </row>
    <row r="556182" spans="1:1">
      <c r="A556182" s="16">
        <v>42601</v>
      </c>
    </row>
    <row r="556183" spans="1:1">
      <c r="A556183" s="16">
        <v>42604</v>
      </c>
    </row>
    <row r="556184" spans="1:1">
      <c r="A556184" s="16">
        <v>42605</v>
      </c>
    </row>
    <row r="556185" spans="1:1">
      <c r="A556185" s="16">
        <v>42606</v>
      </c>
    </row>
    <row r="556186" spans="1:1">
      <c r="A556186" s="16">
        <v>42607</v>
      </c>
    </row>
    <row r="556187" spans="1:1">
      <c r="A556187" s="16">
        <v>42608</v>
      </c>
    </row>
    <row r="556188" spans="1:1">
      <c r="A556188" s="16">
        <v>42611</v>
      </c>
    </row>
    <row r="556189" spans="1:1">
      <c r="A556189" s="16">
        <v>42612</v>
      </c>
    </row>
    <row r="556190" spans="1:1">
      <c r="A556190" s="16">
        <v>42613</v>
      </c>
    </row>
    <row r="556191" spans="1:1">
      <c r="A556191" s="16">
        <v>42614</v>
      </c>
    </row>
    <row r="556192" spans="1:1">
      <c r="A556192" s="16">
        <v>42615</v>
      </c>
    </row>
    <row r="556193" spans="1:1">
      <c r="A556193" s="16">
        <v>42618</v>
      </c>
    </row>
    <row r="556194" spans="1:1">
      <c r="A556194" s="16">
        <v>42619</v>
      </c>
    </row>
    <row r="556195" spans="1:1">
      <c r="A556195" s="16">
        <v>42620</v>
      </c>
    </row>
    <row r="556196" spans="1:1">
      <c r="A556196" s="16">
        <v>42621</v>
      </c>
    </row>
    <row r="556197" spans="1:1">
      <c r="A556197" s="16">
        <v>42622</v>
      </c>
    </row>
    <row r="556198" spans="1:1">
      <c r="A556198" s="16">
        <v>42625</v>
      </c>
    </row>
    <row r="556199" spans="1:1">
      <c r="A556199" s="16">
        <v>42626</v>
      </c>
    </row>
    <row r="556200" spans="1:1">
      <c r="A556200" s="16">
        <v>42627</v>
      </c>
    </row>
    <row r="556201" spans="1:1">
      <c r="A556201" s="16">
        <v>42632</v>
      </c>
    </row>
    <row r="556202" spans="1:1">
      <c r="A556202" s="16">
        <v>42633</v>
      </c>
    </row>
    <row r="556203" spans="1:1">
      <c r="A556203" s="16">
        <v>42634</v>
      </c>
    </row>
    <row r="556204" spans="1:1">
      <c r="A556204" s="16">
        <v>42635</v>
      </c>
    </row>
    <row r="556205" spans="1:1">
      <c r="A556205" s="16">
        <v>42636</v>
      </c>
    </row>
    <row r="556206" spans="1:1">
      <c r="A556206" s="16">
        <v>42639</v>
      </c>
    </row>
    <row r="556207" spans="1:1">
      <c r="A556207" s="16">
        <v>42640</v>
      </c>
    </row>
    <row r="556208" spans="1:1">
      <c r="A556208" s="16">
        <v>42641</v>
      </c>
    </row>
    <row r="556209" spans="1:1">
      <c r="A556209" s="16">
        <v>42642</v>
      </c>
    </row>
    <row r="556210" spans="1:1">
      <c r="A556210" s="16">
        <v>42643</v>
      </c>
    </row>
    <row r="556211" spans="1:1">
      <c r="A556211" s="16">
        <v>42653</v>
      </c>
    </row>
    <row r="556212" spans="1:1">
      <c r="A556212" s="16">
        <v>42654</v>
      </c>
    </row>
    <row r="556213" spans="1:1">
      <c r="A556213" s="16">
        <v>42655</v>
      </c>
    </row>
    <row r="556214" spans="1:1">
      <c r="A556214" s="16">
        <v>42656</v>
      </c>
    </row>
    <row r="556215" spans="1:1">
      <c r="A556215" s="16">
        <v>42657</v>
      </c>
    </row>
    <row r="556216" spans="1:1">
      <c r="A556216" s="16">
        <v>42660</v>
      </c>
    </row>
    <row r="556217" spans="1:1">
      <c r="A556217" s="16">
        <v>42661</v>
      </c>
    </row>
    <row r="556218" spans="1:1">
      <c r="A556218" s="16">
        <v>42662</v>
      </c>
    </row>
    <row r="556219" spans="1:1">
      <c r="A556219" s="16">
        <v>42663</v>
      </c>
    </row>
    <row r="556220" spans="1:1">
      <c r="A556220" s="16">
        <v>42664</v>
      </c>
    </row>
    <row r="556221" spans="1:1">
      <c r="A556221" s="16">
        <v>42667</v>
      </c>
    </row>
    <row r="556222" spans="1:1">
      <c r="A556222" s="16">
        <v>42668</v>
      </c>
    </row>
    <row r="556223" spans="1:1">
      <c r="A556223" s="16">
        <v>42669</v>
      </c>
    </row>
    <row r="556224" spans="1:1">
      <c r="A556224" s="16">
        <v>42670</v>
      </c>
    </row>
    <row r="556225" spans="1:1">
      <c r="A556225" s="16">
        <v>42671</v>
      </c>
    </row>
    <row r="556226" spans="1:1">
      <c r="A556226" s="16">
        <v>42674</v>
      </c>
    </row>
    <row r="556227" spans="1:1">
      <c r="A556227" s="16">
        <v>42675</v>
      </c>
    </row>
    <row r="556228" spans="1:1">
      <c r="A556228" s="16">
        <v>42676</v>
      </c>
    </row>
    <row r="556229" spans="1:1">
      <c r="A556229" s="16">
        <v>42677</v>
      </c>
    </row>
    <row r="556230" spans="1:1">
      <c r="A556230" s="16">
        <v>42678</v>
      </c>
    </row>
    <row r="572528" spans="1:1">
      <c r="A572528" s="16" t="s">
        <v>0</v>
      </c>
    </row>
    <row r="572529" spans="1:1">
      <c r="A572529" s="16" t="s">
        <v>1</v>
      </c>
    </row>
    <row r="572530" spans="1:1">
      <c r="A572530" s="16">
        <v>42551</v>
      </c>
    </row>
    <row r="572531" spans="1:1">
      <c r="A572531" s="16">
        <v>42552</v>
      </c>
    </row>
    <row r="572532" spans="1:1">
      <c r="A572532" s="16">
        <v>42555</v>
      </c>
    </row>
    <row r="572533" spans="1:1">
      <c r="A572533" s="16">
        <v>42556</v>
      </c>
    </row>
    <row r="572534" spans="1:1">
      <c r="A572534" s="16">
        <v>42557</v>
      </c>
    </row>
    <row r="572535" spans="1:1">
      <c r="A572535" s="16">
        <v>42558</v>
      </c>
    </row>
    <row r="572536" spans="1:1">
      <c r="A572536" s="16">
        <v>42559</v>
      </c>
    </row>
    <row r="572537" spans="1:1">
      <c r="A572537" s="16">
        <v>42562</v>
      </c>
    </row>
    <row r="572538" spans="1:1">
      <c r="A572538" s="16">
        <v>42563</v>
      </c>
    </row>
    <row r="572539" spans="1:1">
      <c r="A572539" s="16">
        <v>42564</v>
      </c>
    </row>
    <row r="572540" spans="1:1">
      <c r="A572540" s="16">
        <v>42565</v>
      </c>
    </row>
    <row r="572541" spans="1:1">
      <c r="A572541" s="16">
        <v>42566</v>
      </c>
    </row>
    <row r="572542" spans="1:1">
      <c r="A572542" s="16">
        <v>42569</v>
      </c>
    </row>
    <row r="572543" spans="1:1">
      <c r="A572543" s="16">
        <v>42570</v>
      </c>
    </row>
    <row r="572544" spans="1:1">
      <c r="A572544" s="16">
        <v>42571</v>
      </c>
    </row>
    <row r="572545" spans="1:1">
      <c r="A572545" s="16">
        <v>42572</v>
      </c>
    </row>
    <row r="572546" spans="1:1">
      <c r="A572546" s="16">
        <v>42573</v>
      </c>
    </row>
    <row r="572547" spans="1:1">
      <c r="A572547" s="16">
        <v>42576</v>
      </c>
    </row>
    <row r="572548" spans="1:1">
      <c r="A572548" s="16">
        <v>42577</v>
      </c>
    </row>
    <row r="572549" spans="1:1">
      <c r="A572549" s="16">
        <v>42578</v>
      </c>
    </row>
    <row r="572550" spans="1:1">
      <c r="A572550" s="16">
        <v>42579</v>
      </c>
    </row>
    <row r="572551" spans="1:1">
      <c r="A572551" s="16">
        <v>42580</v>
      </c>
    </row>
    <row r="572552" spans="1:1">
      <c r="A572552" s="16">
        <v>42583</v>
      </c>
    </row>
    <row r="572553" spans="1:1">
      <c r="A572553" s="16">
        <v>42584</v>
      </c>
    </row>
    <row r="572554" spans="1:1">
      <c r="A572554" s="16">
        <v>42585</v>
      </c>
    </row>
    <row r="572555" spans="1:1">
      <c r="A572555" s="16">
        <v>42586</v>
      </c>
    </row>
    <row r="572556" spans="1:1">
      <c r="A572556" s="16">
        <v>42587</v>
      </c>
    </row>
    <row r="572557" spans="1:1">
      <c r="A572557" s="16">
        <v>42590</v>
      </c>
    </row>
    <row r="572558" spans="1:1">
      <c r="A572558" s="16">
        <v>42591</v>
      </c>
    </row>
    <row r="572559" spans="1:1">
      <c r="A572559" s="16">
        <v>42592</v>
      </c>
    </row>
    <row r="572560" spans="1:1">
      <c r="A572560" s="16">
        <v>42593</v>
      </c>
    </row>
    <row r="572561" spans="1:1">
      <c r="A572561" s="16">
        <v>42594</v>
      </c>
    </row>
    <row r="572562" spans="1:1">
      <c r="A572562" s="16">
        <v>42597</v>
      </c>
    </row>
    <row r="572563" spans="1:1">
      <c r="A572563" s="16">
        <v>42598</v>
      </c>
    </row>
    <row r="572564" spans="1:1">
      <c r="A572564" s="16">
        <v>42599</v>
      </c>
    </row>
    <row r="572565" spans="1:1">
      <c r="A572565" s="16">
        <v>42600</v>
      </c>
    </row>
    <row r="572566" spans="1:1">
      <c r="A572566" s="16">
        <v>42601</v>
      </c>
    </row>
    <row r="572567" spans="1:1">
      <c r="A572567" s="16">
        <v>42604</v>
      </c>
    </row>
    <row r="572568" spans="1:1">
      <c r="A572568" s="16">
        <v>42605</v>
      </c>
    </row>
    <row r="572569" spans="1:1">
      <c r="A572569" s="16">
        <v>42606</v>
      </c>
    </row>
    <row r="572570" spans="1:1">
      <c r="A572570" s="16">
        <v>42607</v>
      </c>
    </row>
    <row r="572571" spans="1:1">
      <c r="A572571" s="16">
        <v>42608</v>
      </c>
    </row>
    <row r="572572" spans="1:1">
      <c r="A572572" s="16">
        <v>42611</v>
      </c>
    </row>
    <row r="572573" spans="1:1">
      <c r="A572573" s="16">
        <v>42612</v>
      </c>
    </row>
    <row r="572574" spans="1:1">
      <c r="A572574" s="16">
        <v>42613</v>
      </c>
    </row>
    <row r="572575" spans="1:1">
      <c r="A572575" s="16">
        <v>42614</v>
      </c>
    </row>
    <row r="572576" spans="1:1">
      <c r="A572576" s="16">
        <v>42615</v>
      </c>
    </row>
    <row r="572577" spans="1:1">
      <c r="A572577" s="16">
        <v>42618</v>
      </c>
    </row>
    <row r="572578" spans="1:1">
      <c r="A572578" s="16">
        <v>42619</v>
      </c>
    </row>
    <row r="572579" spans="1:1">
      <c r="A572579" s="16">
        <v>42620</v>
      </c>
    </row>
    <row r="572580" spans="1:1">
      <c r="A572580" s="16">
        <v>42621</v>
      </c>
    </row>
    <row r="572581" spans="1:1">
      <c r="A572581" s="16">
        <v>42622</v>
      </c>
    </row>
    <row r="572582" spans="1:1">
      <c r="A572582" s="16">
        <v>42625</v>
      </c>
    </row>
    <row r="572583" spans="1:1">
      <c r="A572583" s="16">
        <v>42626</v>
      </c>
    </row>
    <row r="572584" spans="1:1">
      <c r="A572584" s="16">
        <v>42627</v>
      </c>
    </row>
    <row r="572585" spans="1:1">
      <c r="A572585" s="16">
        <v>42632</v>
      </c>
    </row>
    <row r="572586" spans="1:1">
      <c r="A572586" s="16">
        <v>42633</v>
      </c>
    </row>
    <row r="572587" spans="1:1">
      <c r="A572587" s="16">
        <v>42634</v>
      </c>
    </row>
    <row r="572588" spans="1:1">
      <c r="A572588" s="16">
        <v>42635</v>
      </c>
    </row>
    <row r="572589" spans="1:1">
      <c r="A572589" s="16">
        <v>42636</v>
      </c>
    </row>
    <row r="572590" spans="1:1">
      <c r="A572590" s="16">
        <v>42639</v>
      </c>
    </row>
    <row r="572591" spans="1:1">
      <c r="A572591" s="16">
        <v>42640</v>
      </c>
    </row>
    <row r="572592" spans="1:1">
      <c r="A572592" s="16">
        <v>42641</v>
      </c>
    </row>
    <row r="572593" spans="1:1">
      <c r="A572593" s="16">
        <v>42642</v>
      </c>
    </row>
    <row r="572594" spans="1:1">
      <c r="A572594" s="16">
        <v>42643</v>
      </c>
    </row>
    <row r="572595" spans="1:1">
      <c r="A572595" s="16">
        <v>42653</v>
      </c>
    </row>
    <row r="572596" spans="1:1">
      <c r="A572596" s="16">
        <v>42654</v>
      </c>
    </row>
    <row r="572597" spans="1:1">
      <c r="A572597" s="16">
        <v>42655</v>
      </c>
    </row>
    <row r="572598" spans="1:1">
      <c r="A572598" s="16">
        <v>42656</v>
      </c>
    </row>
    <row r="572599" spans="1:1">
      <c r="A572599" s="16">
        <v>42657</v>
      </c>
    </row>
    <row r="572600" spans="1:1">
      <c r="A572600" s="16">
        <v>42660</v>
      </c>
    </row>
    <row r="572601" spans="1:1">
      <c r="A572601" s="16">
        <v>42661</v>
      </c>
    </row>
    <row r="572602" spans="1:1">
      <c r="A572602" s="16">
        <v>42662</v>
      </c>
    </row>
    <row r="572603" spans="1:1">
      <c r="A572603" s="16">
        <v>42663</v>
      </c>
    </row>
    <row r="572604" spans="1:1">
      <c r="A572604" s="16">
        <v>42664</v>
      </c>
    </row>
    <row r="572605" spans="1:1">
      <c r="A572605" s="16">
        <v>42667</v>
      </c>
    </row>
    <row r="572606" spans="1:1">
      <c r="A572606" s="16">
        <v>42668</v>
      </c>
    </row>
    <row r="572607" spans="1:1">
      <c r="A572607" s="16">
        <v>42669</v>
      </c>
    </row>
    <row r="572608" spans="1:1">
      <c r="A572608" s="16">
        <v>42670</v>
      </c>
    </row>
    <row r="572609" spans="1:1">
      <c r="A572609" s="16">
        <v>42671</v>
      </c>
    </row>
    <row r="572610" spans="1:1">
      <c r="A572610" s="16">
        <v>42674</v>
      </c>
    </row>
    <row r="572611" spans="1:1">
      <c r="A572611" s="16">
        <v>42675</v>
      </c>
    </row>
    <row r="572612" spans="1:1">
      <c r="A572612" s="16">
        <v>42676</v>
      </c>
    </row>
    <row r="572613" spans="1:1">
      <c r="A572613" s="16">
        <v>42677</v>
      </c>
    </row>
    <row r="572614" spans="1:1">
      <c r="A572614" s="16">
        <v>42678</v>
      </c>
    </row>
    <row r="588912" spans="1:1">
      <c r="A588912" s="16" t="s">
        <v>0</v>
      </c>
    </row>
    <row r="588913" spans="1:1">
      <c r="A588913" s="16" t="s">
        <v>1</v>
      </c>
    </row>
    <row r="588914" spans="1:1">
      <c r="A588914" s="16">
        <v>42551</v>
      </c>
    </row>
    <row r="588915" spans="1:1">
      <c r="A588915" s="16">
        <v>42552</v>
      </c>
    </row>
    <row r="588916" spans="1:1">
      <c r="A588916" s="16">
        <v>42555</v>
      </c>
    </row>
    <row r="588917" spans="1:1">
      <c r="A588917" s="16">
        <v>42556</v>
      </c>
    </row>
    <row r="588918" spans="1:1">
      <c r="A588918" s="16">
        <v>42557</v>
      </c>
    </row>
    <row r="588919" spans="1:1">
      <c r="A588919" s="16">
        <v>42558</v>
      </c>
    </row>
    <row r="588920" spans="1:1">
      <c r="A588920" s="16">
        <v>42559</v>
      </c>
    </row>
    <row r="588921" spans="1:1">
      <c r="A588921" s="16">
        <v>42562</v>
      </c>
    </row>
    <row r="588922" spans="1:1">
      <c r="A588922" s="16">
        <v>42563</v>
      </c>
    </row>
    <row r="588923" spans="1:1">
      <c r="A588923" s="16">
        <v>42564</v>
      </c>
    </row>
    <row r="588924" spans="1:1">
      <c r="A588924" s="16">
        <v>42565</v>
      </c>
    </row>
    <row r="588925" spans="1:1">
      <c r="A588925" s="16">
        <v>42566</v>
      </c>
    </row>
    <row r="588926" spans="1:1">
      <c r="A588926" s="16">
        <v>42569</v>
      </c>
    </row>
    <row r="588927" spans="1:1">
      <c r="A588927" s="16">
        <v>42570</v>
      </c>
    </row>
    <row r="588928" spans="1:1">
      <c r="A588928" s="16">
        <v>42571</v>
      </c>
    </row>
    <row r="588929" spans="1:1">
      <c r="A588929" s="16">
        <v>42572</v>
      </c>
    </row>
    <row r="588930" spans="1:1">
      <c r="A588930" s="16">
        <v>42573</v>
      </c>
    </row>
    <row r="588931" spans="1:1">
      <c r="A588931" s="16">
        <v>42576</v>
      </c>
    </row>
    <row r="588932" spans="1:1">
      <c r="A588932" s="16">
        <v>42577</v>
      </c>
    </row>
    <row r="588933" spans="1:1">
      <c r="A588933" s="16">
        <v>42578</v>
      </c>
    </row>
    <row r="588934" spans="1:1">
      <c r="A588934" s="16">
        <v>42579</v>
      </c>
    </row>
    <row r="588935" spans="1:1">
      <c r="A588935" s="16">
        <v>42580</v>
      </c>
    </row>
    <row r="588936" spans="1:1">
      <c r="A588936" s="16">
        <v>42583</v>
      </c>
    </row>
    <row r="588937" spans="1:1">
      <c r="A588937" s="16">
        <v>42584</v>
      </c>
    </row>
    <row r="588938" spans="1:1">
      <c r="A588938" s="16">
        <v>42585</v>
      </c>
    </row>
    <row r="588939" spans="1:1">
      <c r="A588939" s="16">
        <v>42586</v>
      </c>
    </row>
    <row r="588940" spans="1:1">
      <c r="A588940" s="16">
        <v>42587</v>
      </c>
    </row>
    <row r="588941" spans="1:1">
      <c r="A588941" s="16">
        <v>42590</v>
      </c>
    </row>
    <row r="588942" spans="1:1">
      <c r="A588942" s="16">
        <v>42591</v>
      </c>
    </row>
    <row r="588943" spans="1:1">
      <c r="A588943" s="16">
        <v>42592</v>
      </c>
    </row>
    <row r="588944" spans="1:1">
      <c r="A588944" s="16">
        <v>42593</v>
      </c>
    </row>
    <row r="588945" spans="1:1">
      <c r="A588945" s="16">
        <v>42594</v>
      </c>
    </row>
    <row r="588946" spans="1:1">
      <c r="A588946" s="16">
        <v>42597</v>
      </c>
    </row>
    <row r="588947" spans="1:1">
      <c r="A588947" s="16">
        <v>42598</v>
      </c>
    </row>
    <row r="588948" spans="1:1">
      <c r="A588948" s="16">
        <v>42599</v>
      </c>
    </row>
    <row r="588949" spans="1:1">
      <c r="A588949" s="16">
        <v>42600</v>
      </c>
    </row>
    <row r="588950" spans="1:1">
      <c r="A588950" s="16">
        <v>42601</v>
      </c>
    </row>
    <row r="588951" spans="1:1">
      <c r="A588951" s="16">
        <v>42604</v>
      </c>
    </row>
    <row r="588952" spans="1:1">
      <c r="A588952" s="16">
        <v>42605</v>
      </c>
    </row>
    <row r="588953" spans="1:1">
      <c r="A588953" s="16">
        <v>42606</v>
      </c>
    </row>
    <row r="588954" spans="1:1">
      <c r="A588954" s="16">
        <v>42607</v>
      </c>
    </row>
    <row r="588955" spans="1:1">
      <c r="A588955" s="16">
        <v>42608</v>
      </c>
    </row>
    <row r="588956" spans="1:1">
      <c r="A588956" s="16">
        <v>42611</v>
      </c>
    </row>
    <row r="588957" spans="1:1">
      <c r="A588957" s="16">
        <v>42612</v>
      </c>
    </row>
    <row r="588958" spans="1:1">
      <c r="A588958" s="16">
        <v>42613</v>
      </c>
    </row>
    <row r="588959" spans="1:1">
      <c r="A588959" s="16">
        <v>42614</v>
      </c>
    </row>
    <row r="588960" spans="1:1">
      <c r="A588960" s="16">
        <v>42615</v>
      </c>
    </row>
    <row r="588961" spans="1:1">
      <c r="A588961" s="16">
        <v>42618</v>
      </c>
    </row>
    <row r="588962" spans="1:1">
      <c r="A588962" s="16">
        <v>42619</v>
      </c>
    </row>
    <row r="588963" spans="1:1">
      <c r="A588963" s="16">
        <v>42620</v>
      </c>
    </row>
    <row r="588964" spans="1:1">
      <c r="A588964" s="16">
        <v>42621</v>
      </c>
    </row>
    <row r="588965" spans="1:1">
      <c r="A588965" s="16">
        <v>42622</v>
      </c>
    </row>
    <row r="588966" spans="1:1">
      <c r="A588966" s="16">
        <v>42625</v>
      </c>
    </row>
    <row r="588967" spans="1:1">
      <c r="A588967" s="16">
        <v>42626</v>
      </c>
    </row>
    <row r="588968" spans="1:1">
      <c r="A588968" s="16">
        <v>42627</v>
      </c>
    </row>
    <row r="588969" spans="1:1">
      <c r="A588969" s="16">
        <v>42632</v>
      </c>
    </row>
    <row r="588970" spans="1:1">
      <c r="A588970" s="16">
        <v>42633</v>
      </c>
    </row>
    <row r="588971" spans="1:1">
      <c r="A588971" s="16">
        <v>42634</v>
      </c>
    </row>
    <row r="588972" spans="1:1">
      <c r="A588972" s="16">
        <v>42635</v>
      </c>
    </row>
    <row r="588973" spans="1:1">
      <c r="A588973" s="16">
        <v>42636</v>
      </c>
    </row>
    <row r="588974" spans="1:1">
      <c r="A588974" s="16">
        <v>42639</v>
      </c>
    </row>
    <row r="588975" spans="1:1">
      <c r="A588975" s="16">
        <v>42640</v>
      </c>
    </row>
    <row r="588976" spans="1:1">
      <c r="A588976" s="16">
        <v>42641</v>
      </c>
    </row>
    <row r="588977" spans="1:1">
      <c r="A588977" s="16">
        <v>42642</v>
      </c>
    </row>
    <row r="588978" spans="1:1">
      <c r="A588978" s="16">
        <v>42643</v>
      </c>
    </row>
    <row r="588979" spans="1:1">
      <c r="A588979" s="16">
        <v>42653</v>
      </c>
    </row>
    <row r="588980" spans="1:1">
      <c r="A588980" s="16">
        <v>42654</v>
      </c>
    </row>
    <row r="588981" spans="1:1">
      <c r="A588981" s="16">
        <v>42655</v>
      </c>
    </row>
    <row r="588982" spans="1:1">
      <c r="A588982" s="16">
        <v>42656</v>
      </c>
    </row>
    <row r="588983" spans="1:1">
      <c r="A588983" s="16">
        <v>42657</v>
      </c>
    </row>
    <row r="588984" spans="1:1">
      <c r="A588984" s="16">
        <v>42660</v>
      </c>
    </row>
    <row r="588985" spans="1:1">
      <c r="A588985" s="16">
        <v>42661</v>
      </c>
    </row>
    <row r="588986" spans="1:1">
      <c r="A588986" s="16">
        <v>42662</v>
      </c>
    </row>
    <row r="588987" spans="1:1">
      <c r="A588987" s="16">
        <v>42663</v>
      </c>
    </row>
    <row r="588988" spans="1:1">
      <c r="A588988" s="16">
        <v>42664</v>
      </c>
    </row>
    <row r="588989" spans="1:1">
      <c r="A588989" s="16">
        <v>42667</v>
      </c>
    </row>
    <row r="588990" spans="1:1">
      <c r="A588990" s="16">
        <v>42668</v>
      </c>
    </row>
    <row r="588991" spans="1:1">
      <c r="A588991" s="16">
        <v>42669</v>
      </c>
    </row>
    <row r="588992" spans="1:1">
      <c r="A588992" s="16">
        <v>42670</v>
      </c>
    </row>
    <row r="588993" spans="1:1">
      <c r="A588993" s="16">
        <v>42671</v>
      </c>
    </row>
    <row r="588994" spans="1:1">
      <c r="A588994" s="16">
        <v>42674</v>
      </c>
    </row>
    <row r="588995" spans="1:1">
      <c r="A588995" s="16">
        <v>42675</v>
      </c>
    </row>
    <row r="588996" spans="1:1">
      <c r="A588996" s="16">
        <v>42676</v>
      </c>
    </row>
    <row r="588997" spans="1:1">
      <c r="A588997" s="16">
        <v>42677</v>
      </c>
    </row>
    <row r="588998" spans="1:1">
      <c r="A588998" s="16">
        <v>42678</v>
      </c>
    </row>
    <row r="605296" spans="1:1">
      <c r="A605296" s="16" t="s">
        <v>0</v>
      </c>
    </row>
    <row r="605297" spans="1:1">
      <c r="A605297" s="16" t="s">
        <v>1</v>
      </c>
    </row>
    <row r="605298" spans="1:1">
      <c r="A605298" s="16">
        <v>42551</v>
      </c>
    </row>
    <row r="605299" spans="1:1">
      <c r="A605299" s="16">
        <v>42552</v>
      </c>
    </row>
    <row r="605300" spans="1:1">
      <c r="A605300" s="16">
        <v>42555</v>
      </c>
    </row>
    <row r="605301" spans="1:1">
      <c r="A605301" s="16">
        <v>42556</v>
      </c>
    </row>
    <row r="605302" spans="1:1">
      <c r="A605302" s="16">
        <v>42557</v>
      </c>
    </row>
    <row r="605303" spans="1:1">
      <c r="A605303" s="16">
        <v>42558</v>
      </c>
    </row>
    <row r="605304" spans="1:1">
      <c r="A605304" s="16">
        <v>42559</v>
      </c>
    </row>
    <row r="605305" spans="1:1">
      <c r="A605305" s="16">
        <v>42562</v>
      </c>
    </row>
    <row r="605306" spans="1:1">
      <c r="A605306" s="16">
        <v>42563</v>
      </c>
    </row>
    <row r="605307" spans="1:1">
      <c r="A605307" s="16">
        <v>42564</v>
      </c>
    </row>
    <row r="605308" spans="1:1">
      <c r="A605308" s="16">
        <v>42565</v>
      </c>
    </row>
    <row r="605309" spans="1:1">
      <c r="A605309" s="16">
        <v>42566</v>
      </c>
    </row>
    <row r="605310" spans="1:1">
      <c r="A605310" s="16">
        <v>42569</v>
      </c>
    </row>
    <row r="605311" spans="1:1">
      <c r="A605311" s="16">
        <v>42570</v>
      </c>
    </row>
    <row r="605312" spans="1:1">
      <c r="A605312" s="16">
        <v>42571</v>
      </c>
    </row>
    <row r="605313" spans="1:1">
      <c r="A605313" s="16">
        <v>42572</v>
      </c>
    </row>
    <row r="605314" spans="1:1">
      <c r="A605314" s="16">
        <v>42573</v>
      </c>
    </row>
    <row r="605315" spans="1:1">
      <c r="A605315" s="16">
        <v>42576</v>
      </c>
    </row>
    <row r="605316" spans="1:1">
      <c r="A605316" s="16">
        <v>42577</v>
      </c>
    </row>
    <row r="605317" spans="1:1">
      <c r="A605317" s="16">
        <v>42578</v>
      </c>
    </row>
    <row r="605318" spans="1:1">
      <c r="A605318" s="16">
        <v>42579</v>
      </c>
    </row>
    <row r="605319" spans="1:1">
      <c r="A605319" s="16">
        <v>42580</v>
      </c>
    </row>
    <row r="605320" spans="1:1">
      <c r="A605320" s="16">
        <v>42583</v>
      </c>
    </row>
    <row r="605321" spans="1:1">
      <c r="A605321" s="16">
        <v>42584</v>
      </c>
    </row>
    <row r="605322" spans="1:1">
      <c r="A605322" s="16">
        <v>42585</v>
      </c>
    </row>
    <row r="605323" spans="1:1">
      <c r="A605323" s="16">
        <v>42586</v>
      </c>
    </row>
    <row r="605324" spans="1:1">
      <c r="A605324" s="16">
        <v>42587</v>
      </c>
    </row>
    <row r="605325" spans="1:1">
      <c r="A605325" s="16">
        <v>42590</v>
      </c>
    </row>
    <row r="605326" spans="1:1">
      <c r="A605326" s="16">
        <v>42591</v>
      </c>
    </row>
    <row r="605327" spans="1:1">
      <c r="A605327" s="16">
        <v>42592</v>
      </c>
    </row>
    <row r="605328" spans="1:1">
      <c r="A605328" s="16">
        <v>42593</v>
      </c>
    </row>
    <row r="605329" spans="1:1">
      <c r="A605329" s="16">
        <v>42594</v>
      </c>
    </row>
    <row r="605330" spans="1:1">
      <c r="A605330" s="16">
        <v>42597</v>
      </c>
    </row>
    <row r="605331" spans="1:1">
      <c r="A605331" s="16">
        <v>42598</v>
      </c>
    </row>
    <row r="605332" spans="1:1">
      <c r="A605332" s="16">
        <v>42599</v>
      </c>
    </row>
    <row r="605333" spans="1:1">
      <c r="A605333" s="16">
        <v>42600</v>
      </c>
    </row>
    <row r="605334" spans="1:1">
      <c r="A605334" s="16">
        <v>42601</v>
      </c>
    </row>
    <row r="605335" spans="1:1">
      <c r="A605335" s="16">
        <v>42604</v>
      </c>
    </row>
    <row r="605336" spans="1:1">
      <c r="A605336" s="16">
        <v>42605</v>
      </c>
    </row>
    <row r="605337" spans="1:1">
      <c r="A605337" s="16">
        <v>42606</v>
      </c>
    </row>
    <row r="605338" spans="1:1">
      <c r="A605338" s="16">
        <v>42607</v>
      </c>
    </row>
    <row r="605339" spans="1:1">
      <c r="A605339" s="16">
        <v>42608</v>
      </c>
    </row>
    <row r="605340" spans="1:1">
      <c r="A605340" s="16">
        <v>42611</v>
      </c>
    </row>
    <row r="605341" spans="1:1">
      <c r="A605341" s="16">
        <v>42612</v>
      </c>
    </row>
    <row r="605342" spans="1:1">
      <c r="A605342" s="16">
        <v>42613</v>
      </c>
    </row>
    <row r="605343" spans="1:1">
      <c r="A605343" s="16">
        <v>42614</v>
      </c>
    </row>
    <row r="605344" spans="1:1">
      <c r="A605344" s="16">
        <v>42615</v>
      </c>
    </row>
    <row r="605345" spans="1:1">
      <c r="A605345" s="16">
        <v>42618</v>
      </c>
    </row>
    <row r="605346" spans="1:1">
      <c r="A605346" s="16">
        <v>42619</v>
      </c>
    </row>
    <row r="605347" spans="1:1">
      <c r="A605347" s="16">
        <v>42620</v>
      </c>
    </row>
    <row r="605348" spans="1:1">
      <c r="A605348" s="16">
        <v>42621</v>
      </c>
    </row>
    <row r="605349" spans="1:1">
      <c r="A605349" s="16">
        <v>42622</v>
      </c>
    </row>
    <row r="605350" spans="1:1">
      <c r="A605350" s="16">
        <v>42625</v>
      </c>
    </row>
    <row r="605351" spans="1:1">
      <c r="A605351" s="16">
        <v>42626</v>
      </c>
    </row>
    <row r="605352" spans="1:1">
      <c r="A605352" s="16">
        <v>42627</v>
      </c>
    </row>
    <row r="605353" spans="1:1">
      <c r="A605353" s="16">
        <v>42632</v>
      </c>
    </row>
    <row r="605354" spans="1:1">
      <c r="A605354" s="16">
        <v>42633</v>
      </c>
    </row>
    <row r="605355" spans="1:1">
      <c r="A605355" s="16">
        <v>42634</v>
      </c>
    </row>
    <row r="605356" spans="1:1">
      <c r="A605356" s="16">
        <v>42635</v>
      </c>
    </row>
    <row r="605357" spans="1:1">
      <c r="A605357" s="16">
        <v>42636</v>
      </c>
    </row>
    <row r="605358" spans="1:1">
      <c r="A605358" s="16">
        <v>42639</v>
      </c>
    </row>
    <row r="605359" spans="1:1">
      <c r="A605359" s="16">
        <v>42640</v>
      </c>
    </row>
    <row r="605360" spans="1:1">
      <c r="A605360" s="16">
        <v>42641</v>
      </c>
    </row>
    <row r="605361" spans="1:1">
      <c r="A605361" s="16">
        <v>42642</v>
      </c>
    </row>
    <row r="605362" spans="1:1">
      <c r="A605362" s="16">
        <v>42643</v>
      </c>
    </row>
    <row r="605363" spans="1:1">
      <c r="A605363" s="16">
        <v>42653</v>
      </c>
    </row>
    <row r="605364" spans="1:1">
      <c r="A605364" s="16">
        <v>42654</v>
      </c>
    </row>
    <row r="605365" spans="1:1">
      <c r="A605365" s="16">
        <v>42655</v>
      </c>
    </row>
    <row r="605366" spans="1:1">
      <c r="A605366" s="16">
        <v>42656</v>
      </c>
    </row>
    <row r="605367" spans="1:1">
      <c r="A605367" s="16">
        <v>42657</v>
      </c>
    </row>
    <row r="605368" spans="1:1">
      <c r="A605368" s="16">
        <v>42660</v>
      </c>
    </row>
    <row r="605369" spans="1:1">
      <c r="A605369" s="16">
        <v>42661</v>
      </c>
    </row>
    <row r="605370" spans="1:1">
      <c r="A605370" s="16">
        <v>42662</v>
      </c>
    </row>
    <row r="605371" spans="1:1">
      <c r="A605371" s="16">
        <v>42663</v>
      </c>
    </row>
    <row r="605372" spans="1:1">
      <c r="A605372" s="16">
        <v>42664</v>
      </c>
    </row>
    <row r="605373" spans="1:1">
      <c r="A605373" s="16">
        <v>42667</v>
      </c>
    </row>
    <row r="605374" spans="1:1">
      <c r="A605374" s="16">
        <v>42668</v>
      </c>
    </row>
    <row r="605375" spans="1:1">
      <c r="A605375" s="16">
        <v>42669</v>
      </c>
    </row>
    <row r="605376" spans="1:1">
      <c r="A605376" s="16">
        <v>42670</v>
      </c>
    </row>
    <row r="605377" spans="1:1">
      <c r="A605377" s="16">
        <v>42671</v>
      </c>
    </row>
    <row r="605378" spans="1:1">
      <c r="A605378" s="16">
        <v>42674</v>
      </c>
    </row>
    <row r="605379" spans="1:1">
      <c r="A605379" s="16">
        <v>42675</v>
      </c>
    </row>
    <row r="605380" spans="1:1">
      <c r="A605380" s="16">
        <v>42676</v>
      </c>
    </row>
    <row r="605381" spans="1:1">
      <c r="A605381" s="16">
        <v>42677</v>
      </c>
    </row>
    <row r="605382" spans="1:1">
      <c r="A605382" s="16">
        <v>42678</v>
      </c>
    </row>
    <row r="621680" spans="1:1">
      <c r="A621680" s="16" t="s">
        <v>0</v>
      </c>
    </row>
    <row r="621681" spans="1:1">
      <c r="A621681" s="16" t="s">
        <v>1</v>
      </c>
    </row>
    <row r="621682" spans="1:1">
      <c r="A621682" s="16">
        <v>42551</v>
      </c>
    </row>
    <row r="621683" spans="1:1">
      <c r="A621683" s="16">
        <v>42552</v>
      </c>
    </row>
    <row r="621684" spans="1:1">
      <c r="A621684" s="16">
        <v>42555</v>
      </c>
    </row>
    <row r="621685" spans="1:1">
      <c r="A621685" s="16">
        <v>42556</v>
      </c>
    </row>
    <row r="621686" spans="1:1">
      <c r="A621686" s="16">
        <v>42557</v>
      </c>
    </row>
    <row r="621687" spans="1:1">
      <c r="A621687" s="16">
        <v>42558</v>
      </c>
    </row>
    <row r="621688" spans="1:1">
      <c r="A621688" s="16">
        <v>42559</v>
      </c>
    </row>
    <row r="621689" spans="1:1">
      <c r="A621689" s="16">
        <v>42562</v>
      </c>
    </row>
    <row r="621690" spans="1:1">
      <c r="A621690" s="16">
        <v>42563</v>
      </c>
    </row>
    <row r="621691" spans="1:1">
      <c r="A621691" s="16">
        <v>42564</v>
      </c>
    </row>
    <row r="621692" spans="1:1">
      <c r="A621692" s="16">
        <v>42565</v>
      </c>
    </row>
    <row r="621693" spans="1:1">
      <c r="A621693" s="16">
        <v>42566</v>
      </c>
    </row>
    <row r="621694" spans="1:1">
      <c r="A621694" s="16">
        <v>42569</v>
      </c>
    </row>
    <row r="621695" spans="1:1">
      <c r="A621695" s="16">
        <v>42570</v>
      </c>
    </row>
    <row r="621696" spans="1:1">
      <c r="A621696" s="16">
        <v>42571</v>
      </c>
    </row>
    <row r="621697" spans="1:1">
      <c r="A621697" s="16">
        <v>42572</v>
      </c>
    </row>
    <row r="621698" spans="1:1">
      <c r="A621698" s="16">
        <v>42573</v>
      </c>
    </row>
    <row r="621699" spans="1:1">
      <c r="A621699" s="16">
        <v>42576</v>
      </c>
    </row>
    <row r="621700" spans="1:1">
      <c r="A621700" s="16">
        <v>42577</v>
      </c>
    </row>
    <row r="621701" spans="1:1">
      <c r="A621701" s="16">
        <v>42578</v>
      </c>
    </row>
    <row r="621702" spans="1:1">
      <c r="A621702" s="16">
        <v>42579</v>
      </c>
    </row>
    <row r="621703" spans="1:1">
      <c r="A621703" s="16">
        <v>42580</v>
      </c>
    </row>
    <row r="621704" spans="1:1">
      <c r="A621704" s="16">
        <v>42583</v>
      </c>
    </row>
    <row r="621705" spans="1:1">
      <c r="A621705" s="16">
        <v>42584</v>
      </c>
    </row>
    <row r="621706" spans="1:1">
      <c r="A621706" s="16">
        <v>42585</v>
      </c>
    </row>
    <row r="621707" spans="1:1">
      <c r="A621707" s="16">
        <v>42586</v>
      </c>
    </row>
    <row r="621708" spans="1:1">
      <c r="A621708" s="16">
        <v>42587</v>
      </c>
    </row>
    <row r="621709" spans="1:1">
      <c r="A621709" s="16">
        <v>42590</v>
      </c>
    </row>
    <row r="621710" spans="1:1">
      <c r="A621710" s="16">
        <v>42591</v>
      </c>
    </row>
    <row r="621711" spans="1:1">
      <c r="A621711" s="16">
        <v>42592</v>
      </c>
    </row>
    <row r="621712" spans="1:1">
      <c r="A621712" s="16">
        <v>42593</v>
      </c>
    </row>
    <row r="621713" spans="1:1">
      <c r="A621713" s="16">
        <v>42594</v>
      </c>
    </row>
    <row r="621714" spans="1:1">
      <c r="A621714" s="16">
        <v>42597</v>
      </c>
    </row>
    <row r="621715" spans="1:1">
      <c r="A621715" s="16">
        <v>42598</v>
      </c>
    </row>
    <row r="621716" spans="1:1">
      <c r="A621716" s="16">
        <v>42599</v>
      </c>
    </row>
    <row r="621717" spans="1:1">
      <c r="A621717" s="16">
        <v>42600</v>
      </c>
    </row>
    <row r="621718" spans="1:1">
      <c r="A621718" s="16">
        <v>42601</v>
      </c>
    </row>
    <row r="621719" spans="1:1">
      <c r="A621719" s="16">
        <v>42604</v>
      </c>
    </row>
    <row r="621720" spans="1:1">
      <c r="A621720" s="16">
        <v>42605</v>
      </c>
    </row>
    <row r="621721" spans="1:1">
      <c r="A621721" s="16">
        <v>42606</v>
      </c>
    </row>
    <row r="621722" spans="1:1">
      <c r="A621722" s="16">
        <v>42607</v>
      </c>
    </row>
    <row r="621723" spans="1:1">
      <c r="A621723" s="16">
        <v>42608</v>
      </c>
    </row>
    <row r="621724" spans="1:1">
      <c r="A621724" s="16">
        <v>42611</v>
      </c>
    </row>
    <row r="621725" spans="1:1">
      <c r="A621725" s="16">
        <v>42612</v>
      </c>
    </row>
    <row r="621726" spans="1:1">
      <c r="A621726" s="16">
        <v>42613</v>
      </c>
    </row>
    <row r="621727" spans="1:1">
      <c r="A621727" s="16">
        <v>42614</v>
      </c>
    </row>
    <row r="621728" spans="1:1">
      <c r="A621728" s="16">
        <v>42615</v>
      </c>
    </row>
    <row r="621729" spans="1:1">
      <c r="A621729" s="16">
        <v>42618</v>
      </c>
    </row>
    <row r="621730" spans="1:1">
      <c r="A621730" s="16">
        <v>42619</v>
      </c>
    </row>
    <row r="621731" spans="1:1">
      <c r="A621731" s="16">
        <v>42620</v>
      </c>
    </row>
    <row r="621732" spans="1:1">
      <c r="A621732" s="16">
        <v>42621</v>
      </c>
    </row>
    <row r="621733" spans="1:1">
      <c r="A621733" s="16">
        <v>42622</v>
      </c>
    </row>
    <row r="621734" spans="1:1">
      <c r="A621734" s="16">
        <v>42625</v>
      </c>
    </row>
    <row r="621735" spans="1:1">
      <c r="A621735" s="16">
        <v>42626</v>
      </c>
    </row>
    <row r="621736" spans="1:1">
      <c r="A621736" s="16">
        <v>42627</v>
      </c>
    </row>
    <row r="621737" spans="1:1">
      <c r="A621737" s="16">
        <v>42632</v>
      </c>
    </row>
    <row r="621738" spans="1:1">
      <c r="A621738" s="16">
        <v>42633</v>
      </c>
    </row>
    <row r="621739" spans="1:1">
      <c r="A621739" s="16">
        <v>42634</v>
      </c>
    </row>
    <row r="621740" spans="1:1">
      <c r="A621740" s="16">
        <v>42635</v>
      </c>
    </row>
    <row r="621741" spans="1:1">
      <c r="A621741" s="16">
        <v>42636</v>
      </c>
    </row>
    <row r="621742" spans="1:1">
      <c r="A621742" s="16">
        <v>42639</v>
      </c>
    </row>
    <row r="621743" spans="1:1">
      <c r="A621743" s="16">
        <v>42640</v>
      </c>
    </row>
    <row r="621744" spans="1:1">
      <c r="A621744" s="16">
        <v>42641</v>
      </c>
    </row>
    <row r="621745" spans="1:1">
      <c r="A621745" s="16">
        <v>42642</v>
      </c>
    </row>
    <row r="621746" spans="1:1">
      <c r="A621746" s="16">
        <v>42643</v>
      </c>
    </row>
    <row r="621747" spans="1:1">
      <c r="A621747" s="16">
        <v>42653</v>
      </c>
    </row>
    <row r="621748" spans="1:1">
      <c r="A621748" s="16">
        <v>42654</v>
      </c>
    </row>
    <row r="621749" spans="1:1">
      <c r="A621749" s="16">
        <v>42655</v>
      </c>
    </row>
    <row r="621750" spans="1:1">
      <c r="A621750" s="16">
        <v>42656</v>
      </c>
    </row>
    <row r="621751" spans="1:1">
      <c r="A621751" s="16">
        <v>42657</v>
      </c>
    </row>
    <row r="621752" spans="1:1">
      <c r="A621752" s="16">
        <v>42660</v>
      </c>
    </row>
    <row r="621753" spans="1:1">
      <c r="A621753" s="16">
        <v>42661</v>
      </c>
    </row>
    <row r="621754" spans="1:1">
      <c r="A621754" s="16">
        <v>42662</v>
      </c>
    </row>
    <row r="621755" spans="1:1">
      <c r="A621755" s="16">
        <v>42663</v>
      </c>
    </row>
    <row r="621756" spans="1:1">
      <c r="A621756" s="16">
        <v>42664</v>
      </c>
    </row>
    <row r="621757" spans="1:1">
      <c r="A621757" s="16">
        <v>42667</v>
      </c>
    </row>
    <row r="621758" spans="1:1">
      <c r="A621758" s="16">
        <v>42668</v>
      </c>
    </row>
    <row r="621759" spans="1:1">
      <c r="A621759" s="16">
        <v>42669</v>
      </c>
    </row>
    <row r="621760" spans="1:1">
      <c r="A621760" s="16">
        <v>42670</v>
      </c>
    </row>
    <row r="621761" spans="1:1">
      <c r="A621761" s="16">
        <v>42671</v>
      </c>
    </row>
    <row r="621762" spans="1:1">
      <c r="A621762" s="16">
        <v>42674</v>
      </c>
    </row>
    <row r="621763" spans="1:1">
      <c r="A621763" s="16">
        <v>42675</v>
      </c>
    </row>
    <row r="621764" spans="1:1">
      <c r="A621764" s="16">
        <v>42676</v>
      </c>
    </row>
    <row r="621765" spans="1:1">
      <c r="A621765" s="16">
        <v>42677</v>
      </c>
    </row>
    <row r="621766" spans="1:1">
      <c r="A621766" s="16">
        <v>42678</v>
      </c>
    </row>
    <row r="638064" spans="1:1">
      <c r="A638064" s="16" t="s">
        <v>0</v>
      </c>
    </row>
    <row r="638065" spans="1:1">
      <c r="A638065" s="16" t="s">
        <v>1</v>
      </c>
    </row>
    <row r="638066" spans="1:1">
      <c r="A638066" s="16">
        <v>42551</v>
      </c>
    </row>
    <row r="638067" spans="1:1">
      <c r="A638067" s="16">
        <v>42552</v>
      </c>
    </row>
    <row r="638068" spans="1:1">
      <c r="A638068" s="16">
        <v>42555</v>
      </c>
    </row>
    <row r="638069" spans="1:1">
      <c r="A638069" s="16">
        <v>42556</v>
      </c>
    </row>
    <row r="638070" spans="1:1">
      <c r="A638070" s="16">
        <v>42557</v>
      </c>
    </row>
    <row r="638071" spans="1:1">
      <c r="A638071" s="16">
        <v>42558</v>
      </c>
    </row>
    <row r="638072" spans="1:1">
      <c r="A638072" s="16">
        <v>42559</v>
      </c>
    </row>
    <row r="638073" spans="1:1">
      <c r="A638073" s="16">
        <v>42562</v>
      </c>
    </row>
    <row r="638074" spans="1:1">
      <c r="A638074" s="16">
        <v>42563</v>
      </c>
    </row>
    <row r="638075" spans="1:1">
      <c r="A638075" s="16">
        <v>42564</v>
      </c>
    </row>
    <row r="638076" spans="1:1">
      <c r="A638076" s="16">
        <v>42565</v>
      </c>
    </row>
    <row r="638077" spans="1:1">
      <c r="A638077" s="16">
        <v>42566</v>
      </c>
    </row>
    <row r="638078" spans="1:1">
      <c r="A638078" s="16">
        <v>42569</v>
      </c>
    </row>
    <row r="638079" spans="1:1">
      <c r="A638079" s="16">
        <v>42570</v>
      </c>
    </row>
    <row r="638080" spans="1:1">
      <c r="A638080" s="16">
        <v>42571</v>
      </c>
    </row>
    <row r="638081" spans="1:1">
      <c r="A638081" s="16">
        <v>42572</v>
      </c>
    </row>
    <row r="638082" spans="1:1">
      <c r="A638082" s="16">
        <v>42573</v>
      </c>
    </row>
    <row r="638083" spans="1:1">
      <c r="A638083" s="16">
        <v>42576</v>
      </c>
    </row>
    <row r="638084" spans="1:1">
      <c r="A638084" s="16">
        <v>42577</v>
      </c>
    </row>
    <row r="638085" spans="1:1">
      <c r="A638085" s="16">
        <v>42578</v>
      </c>
    </row>
    <row r="638086" spans="1:1">
      <c r="A638086" s="16">
        <v>42579</v>
      </c>
    </row>
    <row r="638087" spans="1:1">
      <c r="A638087" s="16">
        <v>42580</v>
      </c>
    </row>
    <row r="638088" spans="1:1">
      <c r="A638088" s="16">
        <v>42583</v>
      </c>
    </row>
    <row r="638089" spans="1:1">
      <c r="A638089" s="16">
        <v>42584</v>
      </c>
    </row>
    <row r="638090" spans="1:1">
      <c r="A638090" s="16">
        <v>42585</v>
      </c>
    </row>
    <row r="638091" spans="1:1">
      <c r="A638091" s="16">
        <v>42586</v>
      </c>
    </row>
    <row r="638092" spans="1:1">
      <c r="A638092" s="16">
        <v>42587</v>
      </c>
    </row>
    <row r="638093" spans="1:1">
      <c r="A638093" s="16">
        <v>42590</v>
      </c>
    </row>
    <row r="638094" spans="1:1">
      <c r="A638094" s="16">
        <v>42591</v>
      </c>
    </row>
    <row r="638095" spans="1:1">
      <c r="A638095" s="16">
        <v>42592</v>
      </c>
    </row>
    <row r="638096" spans="1:1">
      <c r="A638096" s="16">
        <v>42593</v>
      </c>
    </row>
    <row r="638097" spans="1:1">
      <c r="A638097" s="16">
        <v>42594</v>
      </c>
    </row>
    <row r="638098" spans="1:1">
      <c r="A638098" s="16">
        <v>42597</v>
      </c>
    </row>
    <row r="638099" spans="1:1">
      <c r="A638099" s="16">
        <v>42598</v>
      </c>
    </row>
    <row r="638100" spans="1:1">
      <c r="A638100" s="16">
        <v>42599</v>
      </c>
    </row>
    <row r="638101" spans="1:1">
      <c r="A638101" s="16">
        <v>42600</v>
      </c>
    </row>
    <row r="638102" spans="1:1">
      <c r="A638102" s="16">
        <v>42601</v>
      </c>
    </row>
    <row r="638103" spans="1:1">
      <c r="A638103" s="16">
        <v>42604</v>
      </c>
    </row>
    <row r="638104" spans="1:1">
      <c r="A638104" s="16">
        <v>42605</v>
      </c>
    </row>
    <row r="638105" spans="1:1">
      <c r="A638105" s="16">
        <v>42606</v>
      </c>
    </row>
    <row r="638106" spans="1:1">
      <c r="A638106" s="16">
        <v>42607</v>
      </c>
    </row>
    <row r="638107" spans="1:1">
      <c r="A638107" s="16">
        <v>42608</v>
      </c>
    </row>
    <row r="638108" spans="1:1">
      <c r="A638108" s="16">
        <v>42611</v>
      </c>
    </row>
    <row r="638109" spans="1:1">
      <c r="A638109" s="16">
        <v>42612</v>
      </c>
    </row>
    <row r="638110" spans="1:1">
      <c r="A638110" s="16">
        <v>42613</v>
      </c>
    </row>
    <row r="638111" spans="1:1">
      <c r="A638111" s="16">
        <v>42614</v>
      </c>
    </row>
    <row r="638112" spans="1:1">
      <c r="A638112" s="16">
        <v>42615</v>
      </c>
    </row>
    <row r="638113" spans="1:1">
      <c r="A638113" s="16">
        <v>42618</v>
      </c>
    </row>
    <row r="638114" spans="1:1">
      <c r="A638114" s="16">
        <v>42619</v>
      </c>
    </row>
    <row r="638115" spans="1:1">
      <c r="A638115" s="16">
        <v>42620</v>
      </c>
    </row>
    <row r="638116" spans="1:1">
      <c r="A638116" s="16">
        <v>42621</v>
      </c>
    </row>
    <row r="638117" spans="1:1">
      <c r="A638117" s="16">
        <v>42622</v>
      </c>
    </row>
    <row r="638118" spans="1:1">
      <c r="A638118" s="16">
        <v>42625</v>
      </c>
    </row>
    <row r="638119" spans="1:1">
      <c r="A638119" s="16">
        <v>42626</v>
      </c>
    </row>
    <row r="638120" spans="1:1">
      <c r="A638120" s="16">
        <v>42627</v>
      </c>
    </row>
    <row r="638121" spans="1:1">
      <c r="A638121" s="16">
        <v>42632</v>
      </c>
    </row>
    <row r="638122" spans="1:1">
      <c r="A638122" s="16">
        <v>42633</v>
      </c>
    </row>
    <row r="638123" spans="1:1">
      <c r="A638123" s="16">
        <v>42634</v>
      </c>
    </row>
    <row r="638124" spans="1:1">
      <c r="A638124" s="16">
        <v>42635</v>
      </c>
    </row>
    <row r="638125" spans="1:1">
      <c r="A638125" s="16">
        <v>42636</v>
      </c>
    </row>
    <row r="638126" spans="1:1">
      <c r="A638126" s="16">
        <v>42639</v>
      </c>
    </row>
    <row r="638127" spans="1:1">
      <c r="A638127" s="16">
        <v>42640</v>
      </c>
    </row>
    <row r="638128" spans="1:1">
      <c r="A638128" s="16">
        <v>42641</v>
      </c>
    </row>
    <row r="638129" spans="1:1">
      <c r="A638129" s="16">
        <v>42642</v>
      </c>
    </row>
    <row r="638130" spans="1:1">
      <c r="A638130" s="16">
        <v>42643</v>
      </c>
    </row>
    <row r="638131" spans="1:1">
      <c r="A638131" s="16">
        <v>42653</v>
      </c>
    </row>
    <row r="638132" spans="1:1">
      <c r="A638132" s="16">
        <v>42654</v>
      </c>
    </row>
    <row r="638133" spans="1:1">
      <c r="A638133" s="16">
        <v>42655</v>
      </c>
    </row>
    <row r="638134" spans="1:1">
      <c r="A638134" s="16">
        <v>42656</v>
      </c>
    </row>
    <row r="638135" spans="1:1">
      <c r="A638135" s="16">
        <v>42657</v>
      </c>
    </row>
    <row r="638136" spans="1:1">
      <c r="A638136" s="16">
        <v>42660</v>
      </c>
    </row>
    <row r="638137" spans="1:1">
      <c r="A638137" s="16">
        <v>42661</v>
      </c>
    </row>
    <row r="638138" spans="1:1">
      <c r="A638138" s="16">
        <v>42662</v>
      </c>
    </row>
    <row r="638139" spans="1:1">
      <c r="A638139" s="16">
        <v>42663</v>
      </c>
    </row>
    <row r="638140" spans="1:1">
      <c r="A638140" s="16">
        <v>42664</v>
      </c>
    </row>
    <row r="638141" spans="1:1">
      <c r="A638141" s="16">
        <v>42667</v>
      </c>
    </row>
    <row r="638142" spans="1:1">
      <c r="A638142" s="16">
        <v>42668</v>
      </c>
    </row>
    <row r="638143" spans="1:1">
      <c r="A638143" s="16">
        <v>42669</v>
      </c>
    </row>
    <row r="638144" spans="1:1">
      <c r="A638144" s="16">
        <v>42670</v>
      </c>
    </row>
    <row r="638145" spans="1:1">
      <c r="A638145" s="16">
        <v>42671</v>
      </c>
    </row>
    <row r="638146" spans="1:1">
      <c r="A638146" s="16">
        <v>42674</v>
      </c>
    </row>
    <row r="638147" spans="1:1">
      <c r="A638147" s="16">
        <v>42675</v>
      </c>
    </row>
    <row r="638148" spans="1:1">
      <c r="A638148" s="16">
        <v>42676</v>
      </c>
    </row>
    <row r="638149" spans="1:1">
      <c r="A638149" s="16">
        <v>42677</v>
      </c>
    </row>
    <row r="638150" spans="1:1">
      <c r="A638150" s="16">
        <v>42678</v>
      </c>
    </row>
    <row r="654448" spans="1:1">
      <c r="A654448" s="16" t="s">
        <v>0</v>
      </c>
    </row>
    <row r="654449" spans="1:1">
      <c r="A654449" s="16" t="s">
        <v>1</v>
      </c>
    </row>
    <row r="654450" spans="1:1">
      <c r="A654450" s="16">
        <v>42551</v>
      </c>
    </row>
    <row r="654451" spans="1:1">
      <c r="A654451" s="16">
        <v>42552</v>
      </c>
    </row>
    <row r="654452" spans="1:1">
      <c r="A654452" s="16">
        <v>42555</v>
      </c>
    </row>
    <row r="654453" spans="1:1">
      <c r="A654453" s="16">
        <v>42556</v>
      </c>
    </row>
    <row r="654454" spans="1:1">
      <c r="A654454" s="16">
        <v>42557</v>
      </c>
    </row>
    <row r="654455" spans="1:1">
      <c r="A654455" s="16">
        <v>42558</v>
      </c>
    </row>
    <row r="654456" spans="1:1">
      <c r="A654456" s="16">
        <v>42559</v>
      </c>
    </row>
    <row r="654457" spans="1:1">
      <c r="A654457" s="16">
        <v>42562</v>
      </c>
    </row>
    <row r="654458" spans="1:1">
      <c r="A654458" s="16">
        <v>42563</v>
      </c>
    </row>
    <row r="654459" spans="1:1">
      <c r="A654459" s="16">
        <v>42564</v>
      </c>
    </row>
    <row r="654460" spans="1:1">
      <c r="A654460" s="16">
        <v>42565</v>
      </c>
    </row>
    <row r="654461" spans="1:1">
      <c r="A654461" s="16">
        <v>42566</v>
      </c>
    </row>
    <row r="654462" spans="1:1">
      <c r="A654462" s="16">
        <v>42569</v>
      </c>
    </row>
    <row r="654463" spans="1:1">
      <c r="A654463" s="16">
        <v>42570</v>
      </c>
    </row>
    <row r="654464" spans="1:1">
      <c r="A654464" s="16">
        <v>42571</v>
      </c>
    </row>
    <row r="654465" spans="1:1">
      <c r="A654465" s="16">
        <v>42572</v>
      </c>
    </row>
    <row r="654466" spans="1:1">
      <c r="A654466" s="16">
        <v>42573</v>
      </c>
    </row>
    <row r="654467" spans="1:1">
      <c r="A654467" s="16">
        <v>42576</v>
      </c>
    </row>
    <row r="654468" spans="1:1">
      <c r="A654468" s="16">
        <v>42577</v>
      </c>
    </row>
    <row r="654469" spans="1:1">
      <c r="A654469" s="16">
        <v>42578</v>
      </c>
    </row>
    <row r="654470" spans="1:1">
      <c r="A654470" s="16">
        <v>42579</v>
      </c>
    </row>
    <row r="654471" spans="1:1">
      <c r="A654471" s="16">
        <v>42580</v>
      </c>
    </row>
    <row r="654472" spans="1:1">
      <c r="A654472" s="16">
        <v>42583</v>
      </c>
    </row>
    <row r="654473" spans="1:1">
      <c r="A654473" s="16">
        <v>42584</v>
      </c>
    </row>
    <row r="654474" spans="1:1">
      <c r="A654474" s="16">
        <v>42585</v>
      </c>
    </row>
    <row r="654475" spans="1:1">
      <c r="A654475" s="16">
        <v>42586</v>
      </c>
    </row>
    <row r="654476" spans="1:1">
      <c r="A654476" s="16">
        <v>42587</v>
      </c>
    </row>
    <row r="654477" spans="1:1">
      <c r="A654477" s="16">
        <v>42590</v>
      </c>
    </row>
    <row r="654478" spans="1:1">
      <c r="A654478" s="16">
        <v>42591</v>
      </c>
    </row>
    <row r="654479" spans="1:1">
      <c r="A654479" s="16">
        <v>42592</v>
      </c>
    </row>
    <row r="654480" spans="1:1">
      <c r="A654480" s="16">
        <v>42593</v>
      </c>
    </row>
    <row r="654481" spans="1:1">
      <c r="A654481" s="16">
        <v>42594</v>
      </c>
    </row>
    <row r="654482" spans="1:1">
      <c r="A654482" s="16">
        <v>42597</v>
      </c>
    </row>
    <row r="654483" spans="1:1">
      <c r="A654483" s="16">
        <v>42598</v>
      </c>
    </row>
    <row r="654484" spans="1:1">
      <c r="A654484" s="16">
        <v>42599</v>
      </c>
    </row>
    <row r="654485" spans="1:1">
      <c r="A654485" s="16">
        <v>42600</v>
      </c>
    </row>
    <row r="654486" spans="1:1">
      <c r="A654486" s="16">
        <v>42601</v>
      </c>
    </row>
    <row r="654487" spans="1:1">
      <c r="A654487" s="16">
        <v>42604</v>
      </c>
    </row>
    <row r="654488" spans="1:1">
      <c r="A654488" s="16">
        <v>42605</v>
      </c>
    </row>
    <row r="654489" spans="1:1">
      <c r="A654489" s="16">
        <v>42606</v>
      </c>
    </row>
    <row r="654490" spans="1:1">
      <c r="A654490" s="16">
        <v>42607</v>
      </c>
    </row>
    <row r="654491" spans="1:1">
      <c r="A654491" s="16">
        <v>42608</v>
      </c>
    </row>
    <row r="654492" spans="1:1">
      <c r="A654492" s="16">
        <v>42611</v>
      </c>
    </row>
    <row r="654493" spans="1:1">
      <c r="A654493" s="16">
        <v>42612</v>
      </c>
    </row>
    <row r="654494" spans="1:1">
      <c r="A654494" s="16">
        <v>42613</v>
      </c>
    </row>
    <row r="654495" spans="1:1">
      <c r="A654495" s="16">
        <v>42614</v>
      </c>
    </row>
    <row r="654496" spans="1:1">
      <c r="A654496" s="16">
        <v>42615</v>
      </c>
    </row>
    <row r="654497" spans="1:1">
      <c r="A654497" s="16">
        <v>42618</v>
      </c>
    </row>
    <row r="654498" spans="1:1">
      <c r="A654498" s="16">
        <v>42619</v>
      </c>
    </row>
    <row r="654499" spans="1:1">
      <c r="A654499" s="16">
        <v>42620</v>
      </c>
    </row>
    <row r="654500" spans="1:1">
      <c r="A654500" s="16">
        <v>42621</v>
      </c>
    </row>
    <row r="654501" spans="1:1">
      <c r="A654501" s="16">
        <v>42622</v>
      </c>
    </row>
    <row r="654502" spans="1:1">
      <c r="A654502" s="16">
        <v>42625</v>
      </c>
    </row>
    <row r="654503" spans="1:1">
      <c r="A654503" s="16">
        <v>42626</v>
      </c>
    </row>
    <row r="654504" spans="1:1">
      <c r="A654504" s="16">
        <v>42627</v>
      </c>
    </row>
    <row r="654505" spans="1:1">
      <c r="A654505" s="16">
        <v>42632</v>
      </c>
    </row>
    <row r="654506" spans="1:1">
      <c r="A654506" s="16">
        <v>42633</v>
      </c>
    </row>
    <row r="654507" spans="1:1">
      <c r="A654507" s="16">
        <v>42634</v>
      </c>
    </row>
    <row r="654508" spans="1:1">
      <c r="A654508" s="16">
        <v>42635</v>
      </c>
    </row>
    <row r="654509" spans="1:1">
      <c r="A654509" s="16">
        <v>42636</v>
      </c>
    </row>
    <row r="654510" spans="1:1">
      <c r="A654510" s="16">
        <v>42639</v>
      </c>
    </row>
    <row r="654511" spans="1:1">
      <c r="A654511" s="16">
        <v>42640</v>
      </c>
    </row>
    <row r="654512" spans="1:1">
      <c r="A654512" s="16">
        <v>42641</v>
      </c>
    </row>
    <row r="654513" spans="1:1">
      <c r="A654513" s="16">
        <v>42642</v>
      </c>
    </row>
    <row r="654514" spans="1:1">
      <c r="A654514" s="16">
        <v>42643</v>
      </c>
    </row>
    <row r="654515" spans="1:1">
      <c r="A654515" s="16">
        <v>42653</v>
      </c>
    </row>
    <row r="654516" spans="1:1">
      <c r="A654516" s="16">
        <v>42654</v>
      </c>
    </row>
    <row r="654517" spans="1:1">
      <c r="A654517" s="16">
        <v>42655</v>
      </c>
    </row>
    <row r="654518" spans="1:1">
      <c r="A654518" s="16">
        <v>42656</v>
      </c>
    </row>
    <row r="654519" spans="1:1">
      <c r="A654519" s="16">
        <v>42657</v>
      </c>
    </row>
    <row r="654520" spans="1:1">
      <c r="A654520" s="16">
        <v>42660</v>
      </c>
    </row>
    <row r="654521" spans="1:1">
      <c r="A654521" s="16">
        <v>42661</v>
      </c>
    </row>
    <row r="654522" spans="1:1">
      <c r="A654522" s="16">
        <v>42662</v>
      </c>
    </row>
    <row r="654523" spans="1:1">
      <c r="A654523" s="16">
        <v>42663</v>
      </c>
    </row>
    <row r="654524" spans="1:1">
      <c r="A654524" s="16">
        <v>42664</v>
      </c>
    </row>
    <row r="654525" spans="1:1">
      <c r="A654525" s="16">
        <v>42667</v>
      </c>
    </row>
    <row r="654526" spans="1:1">
      <c r="A654526" s="16">
        <v>42668</v>
      </c>
    </row>
    <row r="654527" spans="1:1">
      <c r="A654527" s="16">
        <v>42669</v>
      </c>
    </row>
    <row r="654528" spans="1:1">
      <c r="A654528" s="16">
        <v>42670</v>
      </c>
    </row>
    <row r="654529" spans="1:1">
      <c r="A654529" s="16">
        <v>42671</v>
      </c>
    </row>
    <row r="654530" spans="1:1">
      <c r="A654530" s="16">
        <v>42674</v>
      </c>
    </row>
    <row r="654531" spans="1:1">
      <c r="A654531" s="16">
        <v>42675</v>
      </c>
    </row>
    <row r="654532" spans="1:1">
      <c r="A654532" s="16">
        <v>42676</v>
      </c>
    </row>
    <row r="654533" spans="1:1">
      <c r="A654533" s="16">
        <v>42677</v>
      </c>
    </row>
    <row r="654534" spans="1:1">
      <c r="A654534" s="16">
        <v>42678</v>
      </c>
    </row>
    <row r="670832" spans="1:1">
      <c r="A670832" s="16" t="s">
        <v>0</v>
      </c>
    </row>
    <row r="670833" spans="1:1">
      <c r="A670833" s="16" t="s">
        <v>1</v>
      </c>
    </row>
    <row r="670834" spans="1:1">
      <c r="A670834" s="16">
        <v>42551</v>
      </c>
    </row>
    <row r="670835" spans="1:1">
      <c r="A670835" s="16">
        <v>42552</v>
      </c>
    </row>
    <row r="670836" spans="1:1">
      <c r="A670836" s="16">
        <v>42555</v>
      </c>
    </row>
    <row r="670837" spans="1:1">
      <c r="A670837" s="16">
        <v>42556</v>
      </c>
    </row>
    <row r="670838" spans="1:1">
      <c r="A670838" s="16">
        <v>42557</v>
      </c>
    </row>
    <row r="670839" spans="1:1">
      <c r="A670839" s="16">
        <v>42558</v>
      </c>
    </row>
    <row r="670840" spans="1:1">
      <c r="A670840" s="16">
        <v>42559</v>
      </c>
    </row>
    <row r="670841" spans="1:1">
      <c r="A670841" s="16">
        <v>42562</v>
      </c>
    </row>
    <row r="670842" spans="1:1">
      <c r="A670842" s="16">
        <v>42563</v>
      </c>
    </row>
    <row r="670843" spans="1:1">
      <c r="A670843" s="16">
        <v>42564</v>
      </c>
    </row>
    <row r="670844" spans="1:1">
      <c r="A670844" s="16">
        <v>42565</v>
      </c>
    </row>
    <row r="670845" spans="1:1">
      <c r="A670845" s="16">
        <v>42566</v>
      </c>
    </row>
    <row r="670846" spans="1:1">
      <c r="A670846" s="16">
        <v>42569</v>
      </c>
    </row>
    <row r="670847" spans="1:1">
      <c r="A670847" s="16">
        <v>42570</v>
      </c>
    </row>
    <row r="670848" spans="1:1">
      <c r="A670848" s="16">
        <v>42571</v>
      </c>
    </row>
    <row r="670849" spans="1:1">
      <c r="A670849" s="16">
        <v>42572</v>
      </c>
    </row>
    <row r="670850" spans="1:1">
      <c r="A670850" s="16">
        <v>42573</v>
      </c>
    </row>
    <row r="670851" spans="1:1">
      <c r="A670851" s="16">
        <v>42576</v>
      </c>
    </row>
    <row r="670852" spans="1:1">
      <c r="A670852" s="16">
        <v>42577</v>
      </c>
    </row>
    <row r="670853" spans="1:1">
      <c r="A670853" s="16">
        <v>42578</v>
      </c>
    </row>
    <row r="670854" spans="1:1">
      <c r="A670854" s="16">
        <v>42579</v>
      </c>
    </row>
    <row r="670855" spans="1:1">
      <c r="A670855" s="16">
        <v>42580</v>
      </c>
    </row>
    <row r="670856" spans="1:1">
      <c r="A670856" s="16">
        <v>42583</v>
      </c>
    </row>
    <row r="670857" spans="1:1">
      <c r="A670857" s="16">
        <v>42584</v>
      </c>
    </row>
    <row r="670858" spans="1:1">
      <c r="A670858" s="16">
        <v>42585</v>
      </c>
    </row>
    <row r="670859" spans="1:1">
      <c r="A670859" s="16">
        <v>42586</v>
      </c>
    </row>
    <row r="670860" spans="1:1">
      <c r="A670860" s="16">
        <v>42587</v>
      </c>
    </row>
    <row r="670861" spans="1:1">
      <c r="A670861" s="16">
        <v>42590</v>
      </c>
    </row>
    <row r="670862" spans="1:1">
      <c r="A670862" s="16">
        <v>42591</v>
      </c>
    </row>
    <row r="670863" spans="1:1">
      <c r="A670863" s="16">
        <v>42592</v>
      </c>
    </row>
    <row r="670864" spans="1:1">
      <c r="A670864" s="16">
        <v>42593</v>
      </c>
    </row>
    <row r="670865" spans="1:1">
      <c r="A670865" s="16">
        <v>42594</v>
      </c>
    </row>
    <row r="670866" spans="1:1">
      <c r="A670866" s="16">
        <v>42597</v>
      </c>
    </row>
    <row r="670867" spans="1:1">
      <c r="A670867" s="16">
        <v>42598</v>
      </c>
    </row>
    <row r="670868" spans="1:1">
      <c r="A670868" s="16">
        <v>42599</v>
      </c>
    </row>
    <row r="670869" spans="1:1">
      <c r="A670869" s="16">
        <v>42600</v>
      </c>
    </row>
    <row r="670870" spans="1:1">
      <c r="A670870" s="16">
        <v>42601</v>
      </c>
    </row>
    <row r="670871" spans="1:1">
      <c r="A670871" s="16">
        <v>42604</v>
      </c>
    </row>
    <row r="670872" spans="1:1">
      <c r="A670872" s="16">
        <v>42605</v>
      </c>
    </row>
    <row r="670873" spans="1:1">
      <c r="A670873" s="16">
        <v>42606</v>
      </c>
    </row>
    <row r="670874" spans="1:1">
      <c r="A670874" s="16">
        <v>42607</v>
      </c>
    </row>
    <row r="670875" spans="1:1">
      <c r="A670875" s="16">
        <v>42608</v>
      </c>
    </row>
    <row r="670876" spans="1:1">
      <c r="A670876" s="16">
        <v>42611</v>
      </c>
    </row>
    <row r="670877" spans="1:1">
      <c r="A670877" s="16">
        <v>42612</v>
      </c>
    </row>
    <row r="670878" spans="1:1">
      <c r="A670878" s="16">
        <v>42613</v>
      </c>
    </row>
    <row r="670879" spans="1:1">
      <c r="A670879" s="16">
        <v>42614</v>
      </c>
    </row>
    <row r="670880" spans="1:1">
      <c r="A670880" s="16">
        <v>42615</v>
      </c>
    </row>
    <row r="670881" spans="1:1">
      <c r="A670881" s="16">
        <v>42618</v>
      </c>
    </row>
    <row r="670882" spans="1:1">
      <c r="A670882" s="16">
        <v>42619</v>
      </c>
    </row>
    <row r="670883" spans="1:1">
      <c r="A670883" s="16">
        <v>42620</v>
      </c>
    </row>
    <row r="670884" spans="1:1">
      <c r="A670884" s="16">
        <v>42621</v>
      </c>
    </row>
    <row r="670885" spans="1:1">
      <c r="A670885" s="16">
        <v>42622</v>
      </c>
    </row>
    <row r="670886" spans="1:1">
      <c r="A670886" s="16">
        <v>42625</v>
      </c>
    </row>
    <row r="670887" spans="1:1">
      <c r="A670887" s="16">
        <v>42626</v>
      </c>
    </row>
    <row r="670888" spans="1:1">
      <c r="A670888" s="16">
        <v>42627</v>
      </c>
    </row>
    <row r="670889" spans="1:1">
      <c r="A670889" s="16">
        <v>42632</v>
      </c>
    </row>
    <row r="670890" spans="1:1">
      <c r="A670890" s="16">
        <v>42633</v>
      </c>
    </row>
    <row r="670891" spans="1:1">
      <c r="A670891" s="16">
        <v>42634</v>
      </c>
    </row>
    <row r="670892" spans="1:1">
      <c r="A670892" s="16">
        <v>42635</v>
      </c>
    </row>
    <row r="670893" spans="1:1">
      <c r="A670893" s="16">
        <v>42636</v>
      </c>
    </row>
    <row r="670894" spans="1:1">
      <c r="A670894" s="16">
        <v>42639</v>
      </c>
    </row>
    <row r="670895" spans="1:1">
      <c r="A670895" s="16">
        <v>42640</v>
      </c>
    </row>
    <row r="670896" spans="1:1">
      <c r="A670896" s="16">
        <v>42641</v>
      </c>
    </row>
    <row r="670897" spans="1:1">
      <c r="A670897" s="16">
        <v>42642</v>
      </c>
    </row>
    <row r="670898" spans="1:1">
      <c r="A670898" s="16">
        <v>42643</v>
      </c>
    </row>
    <row r="670899" spans="1:1">
      <c r="A670899" s="16">
        <v>42653</v>
      </c>
    </row>
    <row r="670900" spans="1:1">
      <c r="A670900" s="16">
        <v>42654</v>
      </c>
    </row>
    <row r="670901" spans="1:1">
      <c r="A670901" s="16">
        <v>42655</v>
      </c>
    </row>
    <row r="670902" spans="1:1">
      <c r="A670902" s="16">
        <v>42656</v>
      </c>
    </row>
    <row r="670903" spans="1:1">
      <c r="A670903" s="16">
        <v>42657</v>
      </c>
    </row>
    <row r="670904" spans="1:1">
      <c r="A670904" s="16">
        <v>42660</v>
      </c>
    </row>
    <row r="670905" spans="1:1">
      <c r="A670905" s="16">
        <v>42661</v>
      </c>
    </row>
    <row r="670906" spans="1:1">
      <c r="A670906" s="16">
        <v>42662</v>
      </c>
    </row>
    <row r="670907" spans="1:1">
      <c r="A670907" s="16">
        <v>42663</v>
      </c>
    </row>
    <row r="670908" spans="1:1">
      <c r="A670908" s="16">
        <v>42664</v>
      </c>
    </row>
    <row r="670909" spans="1:1">
      <c r="A670909" s="16">
        <v>42667</v>
      </c>
    </row>
    <row r="670910" spans="1:1">
      <c r="A670910" s="16">
        <v>42668</v>
      </c>
    </row>
    <row r="670911" spans="1:1">
      <c r="A670911" s="16">
        <v>42669</v>
      </c>
    </row>
    <row r="670912" spans="1:1">
      <c r="A670912" s="16">
        <v>42670</v>
      </c>
    </row>
    <row r="670913" spans="1:1">
      <c r="A670913" s="16">
        <v>42671</v>
      </c>
    </row>
    <row r="670914" spans="1:1">
      <c r="A670914" s="16">
        <v>42674</v>
      </c>
    </row>
    <row r="670915" spans="1:1">
      <c r="A670915" s="16">
        <v>42675</v>
      </c>
    </row>
    <row r="670916" spans="1:1">
      <c r="A670916" s="16">
        <v>42676</v>
      </c>
    </row>
    <row r="670917" spans="1:1">
      <c r="A670917" s="16">
        <v>42677</v>
      </c>
    </row>
    <row r="670918" spans="1:1">
      <c r="A670918" s="16">
        <v>42678</v>
      </c>
    </row>
    <row r="687216" spans="1:1">
      <c r="A687216" s="16" t="s">
        <v>0</v>
      </c>
    </row>
    <row r="687217" spans="1:1">
      <c r="A687217" s="16" t="s">
        <v>1</v>
      </c>
    </row>
    <row r="687218" spans="1:1">
      <c r="A687218" s="16">
        <v>42551</v>
      </c>
    </row>
    <row r="687219" spans="1:1">
      <c r="A687219" s="16">
        <v>42552</v>
      </c>
    </row>
    <row r="687220" spans="1:1">
      <c r="A687220" s="16">
        <v>42555</v>
      </c>
    </row>
    <row r="687221" spans="1:1">
      <c r="A687221" s="16">
        <v>42556</v>
      </c>
    </row>
    <row r="687222" spans="1:1">
      <c r="A687222" s="16">
        <v>42557</v>
      </c>
    </row>
    <row r="687223" spans="1:1">
      <c r="A687223" s="16">
        <v>42558</v>
      </c>
    </row>
    <row r="687224" spans="1:1">
      <c r="A687224" s="16">
        <v>42559</v>
      </c>
    </row>
    <row r="687225" spans="1:1">
      <c r="A687225" s="16">
        <v>42562</v>
      </c>
    </row>
    <row r="687226" spans="1:1">
      <c r="A687226" s="16">
        <v>42563</v>
      </c>
    </row>
    <row r="687227" spans="1:1">
      <c r="A687227" s="16">
        <v>42564</v>
      </c>
    </row>
    <row r="687228" spans="1:1">
      <c r="A687228" s="16">
        <v>42565</v>
      </c>
    </row>
    <row r="687229" spans="1:1">
      <c r="A687229" s="16">
        <v>42566</v>
      </c>
    </row>
    <row r="687230" spans="1:1">
      <c r="A687230" s="16">
        <v>42569</v>
      </c>
    </row>
    <row r="687231" spans="1:1">
      <c r="A687231" s="16">
        <v>42570</v>
      </c>
    </row>
    <row r="687232" spans="1:1">
      <c r="A687232" s="16">
        <v>42571</v>
      </c>
    </row>
    <row r="687233" spans="1:1">
      <c r="A687233" s="16">
        <v>42572</v>
      </c>
    </row>
    <row r="687234" spans="1:1">
      <c r="A687234" s="16">
        <v>42573</v>
      </c>
    </row>
    <row r="687235" spans="1:1">
      <c r="A687235" s="16">
        <v>42576</v>
      </c>
    </row>
    <row r="687236" spans="1:1">
      <c r="A687236" s="16">
        <v>42577</v>
      </c>
    </row>
    <row r="687237" spans="1:1">
      <c r="A687237" s="16">
        <v>42578</v>
      </c>
    </row>
    <row r="687238" spans="1:1">
      <c r="A687238" s="16">
        <v>42579</v>
      </c>
    </row>
    <row r="687239" spans="1:1">
      <c r="A687239" s="16">
        <v>42580</v>
      </c>
    </row>
    <row r="687240" spans="1:1">
      <c r="A687240" s="16">
        <v>42583</v>
      </c>
    </row>
    <row r="687241" spans="1:1">
      <c r="A687241" s="16">
        <v>42584</v>
      </c>
    </row>
    <row r="687242" spans="1:1">
      <c r="A687242" s="16">
        <v>42585</v>
      </c>
    </row>
    <row r="687243" spans="1:1">
      <c r="A687243" s="16">
        <v>42586</v>
      </c>
    </row>
    <row r="687244" spans="1:1">
      <c r="A687244" s="16">
        <v>42587</v>
      </c>
    </row>
    <row r="687245" spans="1:1">
      <c r="A687245" s="16">
        <v>42590</v>
      </c>
    </row>
    <row r="687246" spans="1:1">
      <c r="A687246" s="16">
        <v>42591</v>
      </c>
    </row>
    <row r="687247" spans="1:1">
      <c r="A687247" s="16">
        <v>42592</v>
      </c>
    </row>
    <row r="687248" spans="1:1">
      <c r="A687248" s="16">
        <v>42593</v>
      </c>
    </row>
    <row r="687249" spans="1:1">
      <c r="A687249" s="16">
        <v>42594</v>
      </c>
    </row>
    <row r="687250" spans="1:1">
      <c r="A687250" s="16">
        <v>42597</v>
      </c>
    </row>
    <row r="687251" spans="1:1">
      <c r="A687251" s="16">
        <v>42598</v>
      </c>
    </row>
    <row r="687252" spans="1:1">
      <c r="A687252" s="16">
        <v>42599</v>
      </c>
    </row>
    <row r="687253" spans="1:1">
      <c r="A687253" s="16">
        <v>42600</v>
      </c>
    </row>
    <row r="687254" spans="1:1">
      <c r="A687254" s="16">
        <v>42601</v>
      </c>
    </row>
    <row r="687255" spans="1:1">
      <c r="A687255" s="16">
        <v>42604</v>
      </c>
    </row>
    <row r="687256" spans="1:1">
      <c r="A687256" s="16">
        <v>42605</v>
      </c>
    </row>
    <row r="687257" spans="1:1">
      <c r="A687257" s="16">
        <v>42606</v>
      </c>
    </row>
    <row r="687258" spans="1:1">
      <c r="A687258" s="16">
        <v>42607</v>
      </c>
    </row>
    <row r="687259" spans="1:1">
      <c r="A687259" s="16">
        <v>42608</v>
      </c>
    </row>
    <row r="687260" spans="1:1">
      <c r="A687260" s="16">
        <v>42611</v>
      </c>
    </row>
    <row r="687261" spans="1:1">
      <c r="A687261" s="16">
        <v>42612</v>
      </c>
    </row>
    <row r="687262" spans="1:1">
      <c r="A687262" s="16">
        <v>42613</v>
      </c>
    </row>
    <row r="687263" spans="1:1">
      <c r="A687263" s="16">
        <v>42614</v>
      </c>
    </row>
    <row r="687264" spans="1:1">
      <c r="A687264" s="16">
        <v>42615</v>
      </c>
    </row>
    <row r="687265" spans="1:1">
      <c r="A687265" s="16">
        <v>42618</v>
      </c>
    </row>
    <row r="687266" spans="1:1">
      <c r="A687266" s="16">
        <v>42619</v>
      </c>
    </row>
    <row r="687267" spans="1:1">
      <c r="A687267" s="16">
        <v>42620</v>
      </c>
    </row>
    <row r="687268" spans="1:1">
      <c r="A687268" s="16">
        <v>42621</v>
      </c>
    </row>
    <row r="687269" spans="1:1">
      <c r="A687269" s="16">
        <v>42622</v>
      </c>
    </row>
    <row r="687270" spans="1:1">
      <c r="A687270" s="16">
        <v>42625</v>
      </c>
    </row>
    <row r="687271" spans="1:1">
      <c r="A687271" s="16">
        <v>42626</v>
      </c>
    </row>
    <row r="687272" spans="1:1">
      <c r="A687272" s="16">
        <v>42627</v>
      </c>
    </row>
    <row r="687273" spans="1:1">
      <c r="A687273" s="16">
        <v>42632</v>
      </c>
    </row>
    <row r="687274" spans="1:1">
      <c r="A687274" s="16">
        <v>42633</v>
      </c>
    </row>
    <row r="687275" spans="1:1">
      <c r="A687275" s="16">
        <v>42634</v>
      </c>
    </row>
    <row r="687276" spans="1:1">
      <c r="A687276" s="16">
        <v>42635</v>
      </c>
    </row>
    <row r="687277" spans="1:1">
      <c r="A687277" s="16">
        <v>42636</v>
      </c>
    </row>
    <row r="687278" spans="1:1">
      <c r="A687278" s="16">
        <v>42639</v>
      </c>
    </row>
    <row r="687279" spans="1:1">
      <c r="A687279" s="16">
        <v>42640</v>
      </c>
    </row>
    <row r="687280" spans="1:1">
      <c r="A687280" s="16">
        <v>42641</v>
      </c>
    </row>
    <row r="687281" spans="1:1">
      <c r="A687281" s="16">
        <v>42642</v>
      </c>
    </row>
    <row r="687282" spans="1:1">
      <c r="A687282" s="16">
        <v>42643</v>
      </c>
    </row>
    <row r="687283" spans="1:1">
      <c r="A687283" s="16">
        <v>42653</v>
      </c>
    </row>
    <row r="687284" spans="1:1">
      <c r="A687284" s="16">
        <v>42654</v>
      </c>
    </row>
    <row r="687285" spans="1:1">
      <c r="A687285" s="16">
        <v>42655</v>
      </c>
    </row>
    <row r="687286" spans="1:1">
      <c r="A687286" s="16">
        <v>42656</v>
      </c>
    </row>
    <row r="687287" spans="1:1">
      <c r="A687287" s="16">
        <v>42657</v>
      </c>
    </row>
    <row r="687288" spans="1:1">
      <c r="A687288" s="16">
        <v>42660</v>
      </c>
    </row>
    <row r="687289" spans="1:1">
      <c r="A687289" s="16">
        <v>42661</v>
      </c>
    </row>
    <row r="687290" spans="1:1">
      <c r="A687290" s="16">
        <v>42662</v>
      </c>
    </row>
    <row r="687291" spans="1:1">
      <c r="A687291" s="16">
        <v>42663</v>
      </c>
    </row>
    <row r="687292" spans="1:1">
      <c r="A687292" s="16">
        <v>42664</v>
      </c>
    </row>
    <row r="687293" spans="1:1">
      <c r="A687293" s="16">
        <v>42667</v>
      </c>
    </row>
    <row r="687294" spans="1:1">
      <c r="A687294" s="16">
        <v>42668</v>
      </c>
    </row>
    <row r="687295" spans="1:1">
      <c r="A687295" s="16">
        <v>42669</v>
      </c>
    </row>
    <row r="687296" spans="1:1">
      <c r="A687296" s="16">
        <v>42670</v>
      </c>
    </row>
    <row r="687297" spans="1:1">
      <c r="A687297" s="16">
        <v>42671</v>
      </c>
    </row>
    <row r="687298" spans="1:1">
      <c r="A687298" s="16">
        <v>42674</v>
      </c>
    </row>
    <row r="687299" spans="1:1">
      <c r="A687299" s="16">
        <v>42675</v>
      </c>
    </row>
    <row r="687300" spans="1:1">
      <c r="A687300" s="16">
        <v>42676</v>
      </c>
    </row>
    <row r="687301" spans="1:1">
      <c r="A687301" s="16">
        <v>42677</v>
      </c>
    </row>
    <row r="687302" spans="1:1">
      <c r="A687302" s="16">
        <v>42678</v>
      </c>
    </row>
    <row r="703600" spans="1:1">
      <c r="A703600" s="16" t="s">
        <v>0</v>
      </c>
    </row>
    <row r="703601" spans="1:1">
      <c r="A703601" s="16" t="s">
        <v>1</v>
      </c>
    </row>
    <row r="703602" spans="1:1">
      <c r="A703602" s="16">
        <v>42551</v>
      </c>
    </row>
    <row r="703603" spans="1:1">
      <c r="A703603" s="16">
        <v>42552</v>
      </c>
    </row>
    <row r="703604" spans="1:1">
      <c r="A703604" s="16">
        <v>42555</v>
      </c>
    </row>
    <row r="703605" spans="1:1">
      <c r="A703605" s="16">
        <v>42556</v>
      </c>
    </row>
    <row r="703606" spans="1:1">
      <c r="A703606" s="16">
        <v>42557</v>
      </c>
    </row>
    <row r="703607" spans="1:1">
      <c r="A703607" s="16">
        <v>42558</v>
      </c>
    </row>
    <row r="703608" spans="1:1">
      <c r="A703608" s="16">
        <v>42559</v>
      </c>
    </row>
    <row r="703609" spans="1:1">
      <c r="A703609" s="16">
        <v>42562</v>
      </c>
    </row>
    <row r="703610" spans="1:1">
      <c r="A703610" s="16">
        <v>42563</v>
      </c>
    </row>
    <row r="703611" spans="1:1">
      <c r="A703611" s="16">
        <v>42564</v>
      </c>
    </row>
    <row r="703612" spans="1:1">
      <c r="A703612" s="16">
        <v>42565</v>
      </c>
    </row>
    <row r="703613" spans="1:1">
      <c r="A703613" s="16">
        <v>42566</v>
      </c>
    </row>
    <row r="703614" spans="1:1">
      <c r="A703614" s="16">
        <v>42569</v>
      </c>
    </row>
    <row r="703615" spans="1:1">
      <c r="A703615" s="16">
        <v>42570</v>
      </c>
    </row>
    <row r="703616" spans="1:1">
      <c r="A703616" s="16">
        <v>42571</v>
      </c>
    </row>
    <row r="703617" spans="1:1">
      <c r="A703617" s="16">
        <v>42572</v>
      </c>
    </row>
    <row r="703618" spans="1:1">
      <c r="A703618" s="16">
        <v>42573</v>
      </c>
    </row>
    <row r="703619" spans="1:1">
      <c r="A703619" s="16">
        <v>42576</v>
      </c>
    </row>
    <row r="703620" spans="1:1">
      <c r="A703620" s="16">
        <v>42577</v>
      </c>
    </row>
    <row r="703621" spans="1:1">
      <c r="A703621" s="16">
        <v>42578</v>
      </c>
    </row>
    <row r="703622" spans="1:1">
      <c r="A703622" s="16">
        <v>42579</v>
      </c>
    </row>
    <row r="703623" spans="1:1">
      <c r="A703623" s="16">
        <v>42580</v>
      </c>
    </row>
    <row r="703624" spans="1:1">
      <c r="A703624" s="16">
        <v>42583</v>
      </c>
    </row>
    <row r="703625" spans="1:1">
      <c r="A703625" s="16">
        <v>42584</v>
      </c>
    </row>
    <row r="703626" spans="1:1">
      <c r="A703626" s="16">
        <v>42585</v>
      </c>
    </row>
    <row r="703627" spans="1:1">
      <c r="A703627" s="16">
        <v>42586</v>
      </c>
    </row>
    <row r="703628" spans="1:1">
      <c r="A703628" s="16">
        <v>42587</v>
      </c>
    </row>
    <row r="703629" spans="1:1">
      <c r="A703629" s="16">
        <v>42590</v>
      </c>
    </row>
    <row r="703630" spans="1:1">
      <c r="A703630" s="16">
        <v>42591</v>
      </c>
    </row>
    <row r="703631" spans="1:1">
      <c r="A703631" s="16">
        <v>42592</v>
      </c>
    </row>
    <row r="703632" spans="1:1">
      <c r="A703632" s="16">
        <v>42593</v>
      </c>
    </row>
    <row r="703633" spans="1:1">
      <c r="A703633" s="16">
        <v>42594</v>
      </c>
    </row>
    <row r="703634" spans="1:1">
      <c r="A703634" s="16">
        <v>42597</v>
      </c>
    </row>
    <row r="703635" spans="1:1">
      <c r="A703635" s="16">
        <v>42598</v>
      </c>
    </row>
    <row r="703636" spans="1:1">
      <c r="A703636" s="16">
        <v>42599</v>
      </c>
    </row>
    <row r="703637" spans="1:1">
      <c r="A703637" s="16">
        <v>42600</v>
      </c>
    </row>
    <row r="703638" spans="1:1">
      <c r="A703638" s="16">
        <v>42601</v>
      </c>
    </row>
    <row r="703639" spans="1:1">
      <c r="A703639" s="16">
        <v>42604</v>
      </c>
    </row>
    <row r="703640" spans="1:1">
      <c r="A703640" s="16">
        <v>42605</v>
      </c>
    </row>
    <row r="703641" spans="1:1">
      <c r="A703641" s="16">
        <v>42606</v>
      </c>
    </row>
    <row r="703642" spans="1:1">
      <c r="A703642" s="16">
        <v>42607</v>
      </c>
    </row>
    <row r="703643" spans="1:1">
      <c r="A703643" s="16">
        <v>42608</v>
      </c>
    </row>
    <row r="703644" spans="1:1">
      <c r="A703644" s="16">
        <v>42611</v>
      </c>
    </row>
    <row r="703645" spans="1:1">
      <c r="A703645" s="16">
        <v>42612</v>
      </c>
    </row>
    <row r="703646" spans="1:1">
      <c r="A703646" s="16">
        <v>42613</v>
      </c>
    </row>
    <row r="703647" spans="1:1">
      <c r="A703647" s="16">
        <v>42614</v>
      </c>
    </row>
    <row r="703648" spans="1:1">
      <c r="A703648" s="16">
        <v>42615</v>
      </c>
    </row>
    <row r="703649" spans="1:1">
      <c r="A703649" s="16">
        <v>42618</v>
      </c>
    </row>
    <row r="703650" spans="1:1">
      <c r="A703650" s="16">
        <v>42619</v>
      </c>
    </row>
    <row r="703651" spans="1:1">
      <c r="A703651" s="16">
        <v>42620</v>
      </c>
    </row>
    <row r="703652" spans="1:1">
      <c r="A703652" s="16">
        <v>42621</v>
      </c>
    </row>
    <row r="703653" spans="1:1">
      <c r="A703653" s="16">
        <v>42622</v>
      </c>
    </row>
    <row r="703654" spans="1:1">
      <c r="A703654" s="16">
        <v>42625</v>
      </c>
    </row>
    <row r="703655" spans="1:1">
      <c r="A703655" s="16">
        <v>42626</v>
      </c>
    </row>
    <row r="703656" spans="1:1">
      <c r="A703656" s="16">
        <v>42627</v>
      </c>
    </row>
    <row r="703657" spans="1:1">
      <c r="A703657" s="16">
        <v>42632</v>
      </c>
    </row>
    <row r="703658" spans="1:1">
      <c r="A703658" s="16">
        <v>42633</v>
      </c>
    </row>
    <row r="703659" spans="1:1">
      <c r="A703659" s="16">
        <v>42634</v>
      </c>
    </row>
    <row r="703660" spans="1:1">
      <c r="A703660" s="16">
        <v>42635</v>
      </c>
    </row>
    <row r="703661" spans="1:1">
      <c r="A703661" s="16">
        <v>42636</v>
      </c>
    </row>
    <row r="703662" spans="1:1">
      <c r="A703662" s="16">
        <v>42639</v>
      </c>
    </row>
    <row r="703663" spans="1:1">
      <c r="A703663" s="16">
        <v>42640</v>
      </c>
    </row>
    <row r="703664" spans="1:1">
      <c r="A703664" s="16">
        <v>42641</v>
      </c>
    </row>
    <row r="703665" spans="1:1">
      <c r="A703665" s="16">
        <v>42642</v>
      </c>
    </row>
    <row r="703666" spans="1:1">
      <c r="A703666" s="16">
        <v>42643</v>
      </c>
    </row>
    <row r="703667" spans="1:1">
      <c r="A703667" s="16">
        <v>42653</v>
      </c>
    </row>
    <row r="703668" spans="1:1">
      <c r="A703668" s="16">
        <v>42654</v>
      </c>
    </row>
    <row r="703669" spans="1:1">
      <c r="A703669" s="16">
        <v>42655</v>
      </c>
    </row>
    <row r="703670" spans="1:1">
      <c r="A703670" s="16">
        <v>42656</v>
      </c>
    </row>
    <row r="703671" spans="1:1">
      <c r="A703671" s="16">
        <v>42657</v>
      </c>
    </row>
    <row r="703672" spans="1:1">
      <c r="A703672" s="16">
        <v>42660</v>
      </c>
    </row>
    <row r="703673" spans="1:1">
      <c r="A703673" s="16">
        <v>42661</v>
      </c>
    </row>
    <row r="703674" spans="1:1">
      <c r="A703674" s="16">
        <v>42662</v>
      </c>
    </row>
    <row r="703675" spans="1:1">
      <c r="A703675" s="16">
        <v>42663</v>
      </c>
    </row>
    <row r="703676" spans="1:1">
      <c r="A703676" s="16">
        <v>42664</v>
      </c>
    </row>
    <row r="703677" spans="1:1">
      <c r="A703677" s="16">
        <v>42667</v>
      </c>
    </row>
    <row r="703678" spans="1:1">
      <c r="A703678" s="16">
        <v>42668</v>
      </c>
    </row>
    <row r="703679" spans="1:1">
      <c r="A703679" s="16">
        <v>42669</v>
      </c>
    </row>
    <row r="703680" spans="1:1">
      <c r="A703680" s="16">
        <v>42670</v>
      </c>
    </row>
    <row r="703681" spans="1:1">
      <c r="A703681" s="16">
        <v>42671</v>
      </c>
    </row>
    <row r="703682" spans="1:1">
      <c r="A703682" s="16">
        <v>42674</v>
      </c>
    </row>
    <row r="703683" spans="1:1">
      <c r="A703683" s="16">
        <v>42675</v>
      </c>
    </row>
    <row r="703684" spans="1:1">
      <c r="A703684" s="16">
        <v>42676</v>
      </c>
    </row>
    <row r="703685" spans="1:1">
      <c r="A703685" s="16">
        <v>42677</v>
      </c>
    </row>
    <row r="703686" spans="1:1">
      <c r="A703686" s="16">
        <v>42678</v>
      </c>
    </row>
    <row r="719984" spans="1:1">
      <c r="A719984" s="16" t="s">
        <v>0</v>
      </c>
    </row>
    <row r="719985" spans="1:1">
      <c r="A719985" s="16" t="s">
        <v>1</v>
      </c>
    </row>
    <row r="719986" spans="1:1">
      <c r="A719986" s="16">
        <v>42551</v>
      </c>
    </row>
    <row r="719987" spans="1:1">
      <c r="A719987" s="16">
        <v>42552</v>
      </c>
    </row>
    <row r="719988" spans="1:1">
      <c r="A719988" s="16">
        <v>42555</v>
      </c>
    </row>
    <row r="719989" spans="1:1">
      <c r="A719989" s="16">
        <v>42556</v>
      </c>
    </row>
    <row r="719990" spans="1:1">
      <c r="A719990" s="16">
        <v>42557</v>
      </c>
    </row>
    <row r="719991" spans="1:1">
      <c r="A719991" s="16">
        <v>42558</v>
      </c>
    </row>
    <row r="719992" spans="1:1">
      <c r="A719992" s="16">
        <v>42559</v>
      </c>
    </row>
    <row r="719993" spans="1:1">
      <c r="A719993" s="16">
        <v>42562</v>
      </c>
    </row>
    <row r="719994" spans="1:1">
      <c r="A719994" s="16">
        <v>42563</v>
      </c>
    </row>
    <row r="719995" spans="1:1">
      <c r="A719995" s="16">
        <v>42564</v>
      </c>
    </row>
    <row r="719996" spans="1:1">
      <c r="A719996" s="16">
        <v>42565</v>
      </c>
    </row>
    <row r="719997" spans="1:1">
      <c r="A719997" s="16">
        <v>42566</v>
      </c>
    </row>
    <row r="719998" spans="1:1">
      <c r="A719998" s="16">
        <v>42569</v>
      </c>
    </row>
    <row r="719999" spans="1:1">
      <c r="A719999" s="16">
        <v>42570</v>
      </c>
    </row>
    <row r="720000" spans="1:1">
      <c r="A720000" s="16">
        <v>42571</v>
      </c>
    </row>
    <row r="720001" spans="1:1">
      <c r="A720001" s="16">
        <v>42572</v>
      </c>
    </row>
    <row r="720002" spans="1:1">
      <c r="A720002" s="16">
        <v>42573</v>
      </c>
    </row>
    <row r="720003" spans="1:1">
      <c r="A720003" s="16">
        <v>42576</v>
      </c>
    </row>
    <row r="720004" spans="1:1">
      <c r="A720004" s="16">
        <v>42577</v>
      </c>
    </row>
    <row r="720005" spans="1:1">
      <c r="A720005" s="16">
        <v>42578</v>
      </c>
    </row>
    <row r="720006" spans="1:1">
      <c r="A720006" s="16">
        <v>42579</v>
      </c>
    </row>
    <row r="720007" spans="1:1">
      <c r="A720007" s="16">
        <v>42580</v>
      </c>
    </row>
    <row r="720008" spans="1:1">
      <c r="A720008" s="16">
        <v>42583</v>
      </c>
    </row>
    <row r="720009" spans="1:1">
      <c r="A720009" s="16">
        <v>42584</v>
      </c>
    </row>
    <row r="720010" spans="1:1">
      <c r="A720010" s="16">
        <v>42585</v>
      </c>
    </row>
    <row r="720011" spans="1:1">
      <c r="A720011" s="16">
        <v>42586</v>
      </c>
    </row>
    <row r="720012" spans="1:1">
      <c r="A720012" s="16">
        <v>42587</v>
      </c>
    </row>
    <row r="720013" spans="1:1">
      <c r="A720013" s="16">
        <v>42590</v>
      </c>
    </row>
    <row r="720014" spans="1:1">
      <c r="A720014" s="16">
        <v>42591</v>
      </c>
    </row>
    <row r="720015" spans="1:1">
      <c r="A720015" s="16">
        <v>42592</v>
      </c>
    </row>
    <row r="720016" spans="1:1">
      <c r="A720016" s="16">
        <v>42593</v>
      </c>
    </row>
    <row r="720017" spans="1:1">
      <c r="A720017" s="16">
        <v>42594</v>
      </c>
    </row>
    <row r="720018" spans="1:1">
      <c r="A720018" s="16">
        <v>42597</v>
      </c>
    </row>
    <row r="720019" spans="1:1">
      <c r="A720019" s="16">
        <v>42598</v>
      </c>
    </row>
    <row r="720020" spans="1:1">
      <c r="A720020" s="16">
        <v>42599</v>
      </c>
    </row>
    <row r="720021" spans="1:1">
      <c r="A720021" s="16">
        <v>42600</v>
      </c>
    </row>
    <row r="720022" spans="1:1">
      <c r="A720022" s="16">
        <v>42601</v>
      </c>
    </row>
    <row r="720023" spans="1:1">
      <c r="A720023" s="16">
        <v>42604</v>
      </c>
    </row>
    <row r="720024" spans="1:1">
      <c r="A720024" s="16">
        <v>42605</v>
      </c>
    </row>
    <row r="720025" spans="1:1">
      <c r="A720025" s="16">
        <v>42606</v>
      </c>
    </row>
    <row r="720026" spans="1:1">
      <c r="A720026" s="16">
        <v>42607</v>
      </c>
    </row>
    <row r="720027" spans="1:1">
      <c r="A720027" s="16">
        <v>42608</v>
      </c>
    </row>
    <row r="720028" spans="1:1">
      <c r="A720028" s="16">
        <v>42611</v>
      </c>
    </row>
    <row r="720029" spans="1:1">
      <c r="A720029" s="16">
        <v>42612</v>
      </c>
    </row>
    <row r="720030" spans="1:1">
      <c r="A720030" s="16">
        <v>42613</v>
      </c>
    </row>
    <row r="720031" spans="1:1">
      <c r="A720031" s="16">
        <v>42614</v>
      </c>
    </row>
    <row r="720032" spans="1:1">
      <c r="A720032" s="16">
        <v>42615</v>
      </c>
    </row>
    <row r="720033" spans="1:1">
      <c r="A720033" s="16">
        <v>42618</v>
      </c>
    </row>
    <row r="720034" spans="1:1">
      <c r="A720034" s="16">
        <v>42619</v>
      </c>
    </row>
    <row r="720035" spans="1:1">
      <c r="A720035" s="16">
        <v>42620</v>
      </c>
    </row>
    <row r="720036" spans="1:1">
      <c r="A720036" s="16">
        <v>42621</v>
      </c>
    </row>
    <row r="720037" spans="1:1">
      <c r="A720037" s="16">
        <v>42622</v>
      </c>
    </row>
    <row r="720038" spans="1:1">
      <c r="A720038" s="16">
        <v>42625</v>
      </c>
    </row>
    <row r="720039" spans="1:1">
      <c r="A720039" s="16">
        <v>42626</v>
      </c>
    </row>
    <row r="720040" spans="1:1">
      <c r="A720040" s="16">
        <v>42627</v>
      </c>
    </row>
    <row r="720041" spans="1:1">
      <c r="A720041" s="16">
        <v>42632</v>
      </c>
    </row>
    <row r="720042" spans="1:1">
      <c r="A720042" s="16">
        <v>42633</v>
      </c>
    </row>
    <row r="720043" spans="1:1">
      <c r="A720043" s="16">
        <v>42634</v>
      </c>
    </row>
    <row r="720044" spans="1:1">
      <c r="A720044" s="16">
        <v>42635</v>
      </c>
    </row>
    <row r="720045" spans="1:1">
      <c r="A720045" s="16">
        <v>42636</v>
      </c>
    </row>
    <row r="720046" spans="1:1">
      <c r="A720046" s="16">
        <v>42639</v>
      </c>
    </row>
    <row r="720047" spans="1:1">
      <c r="A720047" s="16">
        <v>42640</v>
      </c>
    </row>
    <row r="720048" spans="1:1">
      <c r="A720048" s="16">
        <v>42641</v>
      </c>
    </row>
    <row r="720049" spans="1:1">
      <c r="A720049" s="16">
        <v>42642</v>
      </c>
    </row>
    <row r="720050" spans="1:1">
      <c r="A720050" s="16">
        <v>42643</v>
      </c>
    </row>
    <row r="720051" spans="1:1">
      <c r="A720051" s="16">
        <v>42653</v>
      </c>
    </row>
    <row r="720052" spans="1:1">
      <c r="A720052" s="16">
        <v>42654</v>
      </c>
    </row>
    <row r="720053" spans="1:1">
      <c r="A720053" s="16">
        <v>42655</v>
      </c>
    </row>
    <row r="720054" spans="1:1">
      <c r="A720054" s="16">
        <v>42656</v>
      </c>
    </row>
    <row r="720055" spans="1:1">
      <c r="A720055" s="16">
        <v>42657</v>
      </c>
    </row>
    <row r="720056" spans="1:1">
      <c r="A720056" s="16">
        <v>42660</v>
      </c>
    </row>
    <row r="720057" spans="1:1">
      <c r="A720057" s="16">
        <v>42661</v>
      </c>
    </row>
    <row r="720058" spans="1:1">
      <c r="A720058" s="16">
        <v>42662</v>
      </c>
    </row>
    <row r="720059" spans="1:1">
      <c r="A720059" s="16">
        <v>42663</v>
      </c>
    </row>
    <row r="720060" spans="1:1">
      <c r="A720060" s="16">
        <v>42664</v>
      </c>
    </row>
    <row r="720061" spans="1:1">
      <c r="A720061" s="16">
        <v>42667</v>
      </c>
    </row>
    <row r="720062" spans="1:1">
      <c r="A720062" s="16">
        <v>42668</v>
      </c>
    </row>
    <row r="720063" spans="1:1">
      <c r="A720063" s="16">
        <v>42669</v>
      </c>
    </row>
    <row r="720064" spans="1:1">
      <c r="A720064" s="16">
        <v>42670</v>
      </c>
    </row>
    <row r="720065" spans="1:1">
      <c r="A720065" s="16">
        <v>42671</v>
      </c>
    </row>
    <row r="720066" spans="1:1">
      <c r="A720066" s="16">
        <v>42674</v>
      </c>
    </row>
    <row r="720067" spans="1:1">
      <c r="A720067" s="16">
        <v>42675</v>
      </c>
    </row>
    <row r="720068" spans="1:1">
      <c r="A720068" s="16">
        <v>42676</v>
      </c>
    </row>
    <row r="720069" spans="1:1">
      <c r="A720069" s="16">
        <v>42677</v>
      </c>
    </row>
    <row r="720070" spans="1:1">
      <c r="A720070" s="16">
        <v>42678</v>
      </c>
    </row>
    <row r="736368" spans="1:1">
      <c r="A736368" s="16" t="s">
        <v>0</v>
      </c>
    </row>
    <row r="736369" spans="1:1">
      <c r="A736369" s="16" t="s">
        <v>1</v>
      </c>
    </row>
    <row r="736370" spans="1:1">
      <c r="A736370" s="16">
        <v>42551</v>
      </c>
    </row>
    <row r="736371" spans="1:1">
      <c r="A736371" s="16">
        <v>42552</v>
      </c>
    </row>
    <row r="736372" spans="1:1">
      <c r="A736372" s="16">
        <v>42555</v>
      </c>
    </row>
    <row r="736373" spans="1:1">
      <c r="A736373" s="16">
        <v>42556</v>
      </c>
    </row>
    <row r="736374" spans="1:1">
      <c r="A736374" s="16">
        <v>42557</v>
      </c>
    </row>
    <row r="736375" spans="1:1">
      <c r="A736375" s="16">
        <v>42558</v>
      </c>
    </row>
    <row r="736376" spans="1:1">
      <c r="A736376" s="16">
        <v>42559</v>
      </c>
    </row>
    <row r="736377" spans="1:1">
      <c r="A736377" s="16">
        <v>42562</v>
      </c>
    </row>
    <row r="736378" spans="1:1">
      <c r="A736378" s="16">
        <v>42563</v>
      </c>
    </row>
    <row r="736379" spans="1:1">
      <c r="A736379" s="16">
        <v>42564</v>
      </c>
    </row>
    <row r="736380" spans="1:1">
      <c r="A736380" s="16">
        <v>42565</v>
      </c>
    </row>
    <row r="736381" spans="1:1">
      <c r="A736381" s="16">
        <v>42566</v>
      </c>
    </row>
    <row r="736382" spans="1:1">
      <c r="A736382" s="16">
        <v>42569</v>
      </c>
    </row>
    <row r="736383" spans="1:1">
      <c r="A736383" s="16">
        <v>42570</v>
      </c>
    </row>
    <row r="736384" spans="1:1">
      <c r="A736384" s="16">
        <v>42571</v>
      </c>
    </row>
    <row r="736385" spans="1:1">
      <c r="A736385" s="16">
        <v>42572</v>
      </c>
    </row>
    <row r="736386" spans="1:1">
      <c r="A736386" s="16">
        <v>42573</v>
      </c>
    </row>
    <row r="736387" spans="1:1">
      <c r="A736387" s="16">
        <v>42576</v>
      </c>
    </row>
    <row r="736388" spans="1:1">
      <c r="A736388" s="16">
        <v>42577</v>
      </c>
    </row>
    <row r="736389" spans="1:1">
      <c r="A736389" s="16">
        <v>42578</v>
      </c>
    </row>
    <row r="736390" spans="1:1">
      <c r="A736390" s="16">
        <v>42579</v>
      </c>
    </row>
    <row r="736391" spans="1:1">
      <c r="A736391" s="16">
        <v>42580</v>
      </c>
    </row>
    <row r="736392" spans="1:1">
      <c r="A736392" s="16">
        <v>42583</v>
      </c>
    </row>
    <row r="736393" spans="1:1">
      <c r="A736393" s="16">
        <v>42584</v>
      </c>
    </row>
    <row r="736394" spans="1:1">
      <c r="A736394" s="16">
        <v>42585</v>
      </c>
    </row>
    <row r="736395" spans="1:1">
      <c r="A736395" s="16">
        <v>42586</v>
      </c>
    </row>
    <row r="736396" spans="1:1">
      <c r="A736396" s="16">
        <v>42587</v>
      </c>
    </row>
    <row r="736397" spans="1:1">
      <c r="A736397" s="16">
        <v>42590</v>
      </c>
    </row>
    <row r="736398" spans="1:1">
      <c r="A736398" s="16">
        <v>42591</v>
      </c>
    </row>
    <row r="736399" spans="1:1">
      <c r="A736399" s="16">
        <v>42592</v>
      </c>
    </row>
    <row r="736400" spans="1:1">
      <c r="A736400" s="16">
        <v>42593</v>
      </c>
    </row>
    <row r="736401" spans="1:1">
      <c r="A736401" s="16">
        <v>42594</v>
      </c>
    </row>
    <row r="736402" spans="1:1">
      <c r="A736402" s="16">
        <v>42597</v>
      </c>
    </row>
    <row r="736403" spans="1:1">
      <c r="A736403" s="16">
        <v>42598</v>
      </c>
    </row>
    <row r="736404" spans="1:1">
      <c r="A736404" s="16">
        <v>42599</v>
      </c>
    </row>
    <row r="736405" spans="1:1">
      <c r="A736405" s="16">
        <v>42600</v>
      </c>
    </row>
    <row r="736406" spans="1:1">
      <c r="A736406" s="16">
        <v>42601</v>
      </c>
    </row>
    <row r="736407" spans="1:1">
      <c r="A736407" s="16">
        <v>42604</v>
      </c>
    </row>
    <row r="736408" spans="1:1">
      <c r="A736408" s="16">
        <v>42605</v>
      </c>
    </row>
    <row r="736409" spans="1:1">
      <c r="A736409" s="16">
        <v>42606</v>
      </c>
    </row>
    <row r="736410" spans="1:1">
      <c r="A736410" s="16">
        <v>42607</v>
      </c>
    </row>
    <row r="736411" spans="1:1">
      <c r="A736411" s="16">
        <v>42608</v>
      </c>
    </row>
    <row r="736412" spans="1:1">
      <c r="A736412" s="16">
        <v>42611</v>
      </c>
    </row>
    <row r="736413" spans="1:1">
      <c r="A736413" s="16">
        <v>42612</v>
      </c>
    </row>
    <row r="736414" spans="1:1">
      <c r="A736414" s="16">
        <v>42613</v>
      </c>
    </row>
    <row r="736415" spans="1:1">
      <c r="A736415" s="16">
        <v>42614</v>
      </c>
    </row>
    <row r="736416" spans="1:1">
      <c r="A736416" s="16">
        <v>42615</v>
      </c>
    </row>
    <row r="736417" spans="1:1">
      <c r="A736417" s="16">
        <v>42618</v>
      </c>
    </row>
    <row r="736418" spans="1:1">
      <c r="A736418" s="16">
        <v>42619</v>
      </c>
    </row>
    <row r="736419" spans="1:1">
      <c r="A736419" s="16">
        <v>42620</v>
      </c>
    </row>
    <row r="736420" spans="1:1">
      <c r="A736420" s="16">
        <v>42621</v>
      </c>
    </row>
    <row r="736421" spans="1:1">
      <c r="A736421" s="16">
        <v>42622</v>
      </c>
    </row>
    <row r="736422" spans="1:1">
      <c r="A736422" s="16">
        <v>42625</v>
      </c>
    </row>
    <row r="736423" spans="1:1">
      <c r="A736423" s="16">
        <v>42626</v>
      </c>
    </row>
    <row r="736424" spans="1:1">
      <c r="A736424" s="16">
        <v>42627</v>
      </c>
    </row>
    <row r="736425" spans="1:1">
      <c r="A736425" s="16">
        <v>42632</v>
      </c>
    </row>
    <row r="736426" spans="1:1">
      <c r="A736426" s="16">
        <v>42633</v>
      </c>
    </row>
    <row r="736427" spans="1:1">
      <c r="A736427" s="16">
        <v>42634</v>
      </c>
    </row>
    <row r="736428" spans="1:1">
      <c r="A736428" s="16">
        <v>42635</v>
      </c>
    </row>
    <row r="736429" spans="1:1">
      <c r="A736429" s="16">
        <v>42636</v>
      </c>
    </row>
    <row r="736430" spans="1:1">
      <c r="A736430" s="16">
        <v>42639</v>
      </c>
    </row>
    <row r="736431" spans="1:1">
      <c r="A736431" s="16">
        <v>42640</v>
      </c>
    </row>
    <row r="736432" spans="1:1">
      <c r="A736432" s="16">
        <v>42641</v>
      </c>
    </row>
    <row r="736433" spans="1:1">
      <c r="A736433" s="16">
        <v>42642</v>
      </c>
    </row>
    <row r="736434" spans="1:1">
      <c r="A736434" s="16">
        <v>42643</v>
      </c>
    </row>
    <row r="736435" spans="1:1">
      <c r="A736435" s="16">
        <v>42653</v>
      </c>
    </row>
    <row r="736436" spans="1:1">
      <c r="A736436" s="16">
        <v>42654</v>
      </c>
    </row>
    <row r="736437" spans="1:1">
      <c r="A736437" s="16">
        <v>42655</v>
      </c>
    </row>
    <row r="736438" spans="1:1">
      <c r="A736438" s="16">
        <v>42656</v>
      </c>
    </row>
    <row r="736439" spans="1:1">
      <c r="A736439" s="16">
        <v>42657</v>
      </c>
    </row>
    <row r="736440" spans="1:1">
      <c r="A736440" s="16">
        <v>42660</v>
      </c>
    </row>
    <row r="736441" spans="1:1">
      <c r="A736441" s="16">
        <v>42661</v>
      </c>
    </row>
    <row r="736442" spans="1:1">
      <c r="A736442" s="16">
        <v>42662</v>
      </c>
    </row>
    <row r="736443" spans="1:1">
      <c r="A736443" s="16">
        <v>42663</v>
      </c>
    </row>
    <row r="736444" spans="1:1">
      <c r="A736444" s="16">
        <v>42664</v>
      </c>
    </row>
    <row r="736445" spans="1:1">
      <c r="A736445" s="16">
        <v>42667</v>
      </c>
    </row>
    <row r="736446" spans="1:1">
      <c r="A736446" s="16">
        <v>42668</v>
      </c>
    </row>
    <row r="736447" spans="1:1">
      <c r="A736447" s="16">
        <v>42669</v>
      </c>
    </row>
    <row r="736448" spans="1:1">
      <c r="A736448" s="16">
        <v>42670</v>
      </c>
    </row>
    <row r="736449" spans="1:1">
      <c r="A736449" s="16">
        <v>42671</v>
      </c>
    </row>
    <row r="736450" spans="1:1">
      <c r="A736450" s="16">
        <v>42674</v>
      </c>
    </row>
    <row r="736451" spans="1:1">
      <c r="A736451" s="16">
        <v>42675</v>
      </c>
    </row>
    <row r="736452" spans="1:1">
      <c r="A736452" s="16">
        <v>42676</v>
      </c>
    </row>
    <row r="736453" spans="1:1">
      <c r="A736453" s="16">
        <v>42677</v>
      </c>
    </row>
    <row r="736454" spans="1:1">
      <c r="A736454" s="16">
        <v>42678</v>
      </c>
    </row>
    <row r="752752" spans="1:1">
      <c r="A752752" s="16" t="s">
        <v>0</v>
      </c>
    </row>
    <row r="752753" spans="1:1">
      <c r="A752753" s="16" t="s">
        <v>1</v>
      </c>
    </row>
    <row r="752754" spans="1:1">
      <c r="A752754" s="16">
        <v>42551</v>
      </c>
    </row>
    <row r="752755" spans="1:1">
      <c r="A752755" s="16">
        <v>42552</v>
      </c>
    </row>
    <row r="752756" spans="1:1">
      <c r="A752756" s="16">
        <v>42555</v>
      </c>
    </row>
    <row r="752757" spans="1:1">
      <c r="A752757" s="16">
        <v>42556</v>
      </c>
    </row>
    <row r="752758" spans="1:1">
      <c r="A752758" s="16">
        <v>42557</v>
      </c>
    </row>
    <row r="752759" spans="1:1">
      <c r="A752759" s="16">
        <v>42558</v>
      </c>
    </row>
    <row r="752760" spans="1:1">
      <c r="A752760" s="16">
        <v>42559</v>
      </c>
    </row>
    <row r="752761" spans="1:1">
      <c r="A752761" s="16">
        <v>42562</v>
      </c>
    </row>
    <row r="752762" spans="1:1">
      <c r="A752762" s="16">
        <v>42563</v>
      </c>
    </row>
    <row r="752763" spans="1:1">
      <c r="A752763" s="16">
        <v>42564</v>
      </c>
    </row>
    <row r="752764" spans="1:1">
      <c r="A752764" s="16">
        <v>42565</v>
      </c>
    </row>
    <row r="752765" spans="1:1">
      <c r="A752765" s="16">
        <v>42566</v>
      </c>
    </row>
    <row r="752766" spans="1:1">
      <c r="A752766" s="16">
        <v>42569</v>
      </c>
    </row>
    <row r="752767" spans="1:1">
      <c r="A752767" s="16">
        <v>42570</v>
      </c>
    </row>
    <row r="752768" spans="1:1">
      <c r="A752768" s="16">
        <v>42571</v>
      </c>
    </row>
    <row r="752769" spans="1:1">
      <c r="A752769" s="16">
        <v>42572</v>
      </c>
    </row>
    <row r="752770" spans="1:1">
      <c r="A752770" s="16">
        <v>42573</v>
      </c>
    </row>
    <row r="752771" spans="1:1">
      <c r="A752771" s="16">
        <v>42576</v>
      </c>
    </row>
    <row r="752772" spans="1:1">
      <c r="A752772" s="16">
        <v>42577</v>
      </c>
    </row>
    <row r="752773" spans="1:1">
      <c r="A752773" s="16">
        <v>42578</v>
      </c>
    </row>
    <row r="752774" spans="1:1">
      <c r="A752774" s="16">
        <v>42579</v>
      </c>
    </row>
    <row r="752775" spans="1:1">
      <c r="A752775" s="16">
        <v>42580</v>
      </c>
    </row>
    <row r="752776" spans="1:1">
      <c r="A752776" s="16">
        <v>42583</v>
      </c>
    </row>
    <row r="752777" spans="1:1">
      <c r="A752777" s="16">
        <v>42584</v>
      </c>
    </row>
    <row r="752778" spans="1:1">
      <c r="A752778" s="16">
        <v>42585</v>
      </c>
    </row>
    <row r="752779" spans="1:1">
      <c r="A752779" s="16">
        <v>42586</v>
      </c>
    </row>
    <row r="752780" spans="1:1">
      <c r="A752780" s="16">
        <v>42587</v>
      </c>
    </row>
    <row r="752781" spans="1:1">
      <c r="A752781" s="16">
        <v>42590</v>
      </c>
    </row>
    <row r="752782" spans="1:1">
      <c r="A752782" s="16">
        <v>42591</v>
      </c>
    </row>
    <row r="752783" spans="1:1">
      <c r="A752783" s="16">
        <v>42592</v>
      </c>
    </row>
    <row r="752784" spans="1:1">
      <c r="A752784" s="16">
        <v>42593</v>
      </c>
    </row>
    <row r="752785" spans="1:1">
      <c r="A752785" s="16">
        <v>42594</v>
      </c>
    </row>
    <row r="752786" spans="1:1">
      <c r="A752786" s="16">
        <v>42597</v>
      </c>
    </row>
    <row r="752787" spans="1:1">
      <c r="A752787" s="16">
        <v>42598</v>
      </c>
    </row>
    <row r="752788" spans="1:1">
      <c r="A752788" s="16">
        <v>42599</v>
      </c>
    </row>
    <row r="752789" spans="1:1">
      <c r="A752789" s="16">
        <v>42600</v>
      </c>
    </row>
    <row r="752790" spans="1:1">
      <c r="A752790" s="16">
        <v>42601</v>
      </c>
    </row>
    <row r="752791" spans="1:1">
      <c r="A752791" s="16">
        <v>42604</v>
      </c>
    </row>
    <row r="752792" spans="1:1">
      <c r="A752792" s="16">
        <v>42605</v>
      </c>
    </row>
    <row r="752793" spans="1:1">
      <c r="A752793" s="16">
        <v>42606</v>
      </c>
    </row>
    <row r="752794" spans="1:1">
      <c r="A752794" s="16">
        <v>42607</v>
      </c>
    </row>
    <row r="752795" spans="1:1">
      <c r="A752795" s="16">
        <v>42608</v>
      </c>
    </row>
    <row r="752796" spans="1:1">
      <c r="A752796" s="16">
        <v>42611</v>
      </c>
    </row>
    <row r="752797" spans="1:1">
      <c r="A752797" s="16">
        <v>42612</v>
      </c>
    </row>
    <row r="752798" spans="1:1">
      <c r="A752798" s="16">
        <v>42613</v>
      </c>
    </row>
    <row r="752799" spans="1:1">
      <c r="A752799" s="16">
        <v>42614</v>
      </c>
    </row>
    <row r="752800" spans="1:1">
      <c r="A752800" s="16">
        <v>42615</v>
      </c>
    </row>
    <row r="752801" spans="1:1">
      <c r="A752801" s="16">
        <v>42618</v>
      </c>
    </row>
    <row r="752802" spans="1:1">
      <c r="A752802" s="16">
        <v>42619</v>
      </c>
    </row>
    <row r="752803" spans="1:1">
      <c r="A752803" s="16">
        <v>42620</v>
      </c>
    </row>
    <row r="752804" spans="1:1">
      <c r="A752804" s="16">
        <v>42621</v>
      </c>
    </row>
    <row r="752805" spans="1:1">
      <c r="A752805" s="16">
        <v>42622</v>
      </c>
    </row>
    <row r="752806" spans="1:1">
      <c r="A752806" s="16">
        <v>42625</v>
      </c>
    </row>
    <row r="752807" spans="1:1">
      <c r="A752807" s="16">
        <v>42626</v>
      </c>
    </row>
    <row r="752808" spans="1:1">
      <c r="A752808" s="16">
        <v>42627</v>
      </c>
    </row>
    <row r="752809" spans="1:1">
      <c r="A752809" s="16">
        <v>42632</v>
      </c>
    </row>
    <row r="752810" spans="1:1">
      <c r="A752810" s="16">
        <v>42633</v>
      </c>
    </row>
    <row r="752811" spans="1:1">
      <c r="A752811" s="16">
        <v>42634</v>
      </c>
    </row>
    <row r="752812" spans="1:1">
      <c r="A752812" s="16">
        <v>42635</v>
      </c>
    </row>
    <row r="752813" spans="1:1">
      <c r="A752813" s="16">
        <v>42636</v>
      </c>
    </row>
    <row r="752814" spans="1:1">
      <c r="A752814" s="16">
        <v>42639</v>
      </c>
    </row>
    <row r="752815" spans="1:1">
      <c r="A752815" s="16">
        <v>42640</v>
      </c>
    </row>
    <row r="752816" spans="1:1">
      <c r="A752816" s="16">
        <v>42641</v>
      </c>
    </row>
    <row r="752817" spans="1:1">
      <c r="A752817" s="16">
        <v>42642</v>
      </c>
    </row>
    <row r="752818" spans="1:1">
      <c r="A752818" s="16">
        <v>42643</v>
      </c>
    </row>
    <row r="752819" spans="1:1">
      <c r="A752819" s="16">
        <v>42653</v>
      </c>
    </row>
    <row r="752820" spans="1:1">
      <c r="A752820" s="16">
        <v>42654</v>
      </c>
    </row>
    <row r="752821" spans="1:1">
      <c r="A752821" s="16">
        <v>42655</v>
      </c>
    </row>
    <row r="752822" spans="1:1">
      <c r="A752822" s="16">
        <v>42656</v>
      </c>
    </row>
    <row r="752823" spans="1:1">
      <c r="A752823" s="16">
        <v>42657</v>
      </c>
    </row>
    <row r="752824" spans="1:1">
      <c r="A752824" s="16">
        <v>42660</v>
      </c>
    </row>
    <row r="752825" spans="1:1">
      <c r="A752825" s="16">
        <v>42661</v>
      </c>
    </row>
    <row r="752826" spans="1:1">
      <c r="A752826" s="16">
        <v>42662</v>
      </c>
    </row>
    <row r="752827" spans="1:1">
      <c r="A752827" s="16">
        <v>42663</v>
      </c>
    </row>
    <row r="752828" spans="1:1">
      <c r="A752828" s="16">
        <v>42664</v>
      </c>
    </row>
    <row r="752829" spans="1:1">
      <c r="A752829" s="16">
        <v>42667</v>
      </c>
    </row>
    <row r="752830" spans="1:1">
      <c r="A752830" s="16">
        <v>42668</v>
      </c>
    </row>
    <row r="752831" spans="1:1">
      <c r="A752831" s="16">
        <v>42669</v>
      </c>
    </row>
    <row r="752832" spans="1:1">
      <c r="A752832" s="16">
        <v>42670</v>
      </c>
    </row>
    <row r="752833" spans="1:1">
      <c r="A752833" s="16">
        <v>42671</v>
      </c>
    </row>
    <row r="752834" spans="1:1">
      <c r="A752834" s="16">
        <v>42674</v>
      </c>
    </row>
    <row r="752835" spans="1:1">
      <c r="A752835" s="16">
        <v>42675</v>
      </c>
    </row>
    <row r="752836" spans="1:1">
      <c r="A752836" s="16">
        <v>42676</v>
      </c>
    </row>
    <row r="752837" spans="1:1">
      <c r="A752837" s="16">
        <v>42677</v>
      </c>
    </row>
    <row r="752838" spans="1:1">
      <c r="A752838" s="16">
        <v>42678</v>
      </c>
    </row>
    <row r="769136" spans="1:1">
      <c r="A769136" s="16" t="s">
        <v>0</v>
      </c>
    </row>
    <row r="769137" spans="1:1">
      <c r="A769137" s="16" t="s">
        <v>1</v>
      </c>
    </row>
    <row r="769138" spans="1:1">
      <c r="A769138" s="16">
        <v>42551</v>
      </c>
    </row>
    <row r="769139" spans="1:1">
      <c r="A769139" s="16">
        <v>42552</v>
      </c>
    </row>
    <row r="769140" spans="1:1">
      <c r="A769140" s="16">
        <v>42555</v>
      </c>
    </row>
    <row r="769141" spans="1:1">
      <c r="A769141" s="16">
        <v>42556</v>
      </c>
    </row>
    <row r="769142" spans="1:1">
      <c r="A769142" s="16">
        <v>42557</v>
      </c>
    </row>
    <row r="769143" spans="1:1">
      <c r="A769143" s="16">
        <v>42558</v>
      </c>
    </row>
    <row r="769144" spans="1:1">
      <c r="A769144" s="16">
        <v>42559</v>
      </c>
    </row>
    <row r="769145" spans="1:1">
      <c r="A769145" s="16">
        <v>42562</v>
      </c>
    </row>
    <row r="769146" spans="1:1">
      <c r="A769146" s="16">
        <v>42563</v>
      </c>
    </row>
    <row r="769147" spans="1:1">
      <c r="A769147" s="16">
        <v>42564</v>
      </c>
    </row>
    <row r="769148" spans="1:1">
      <c r="A769148" s="16">
        <v>42565</v>
      </c>
    </row>
    <row r="769149" spans="1:1">
      <c r="A769149" s="16">
        <v>42566</v>
      </c>
    </row>
    <row r="769150" spans="1:1">
      <c r="A769150" s="16">
        <v>42569</v>
      </c>
    </row>
    <row r="769151" spans="1:1">
      <c r="A769151" s="16">
        <v>42570</v>
      </c>
    </row>
    <row r="769152" spans="1:1">
      <c r="A769152" s="16">
        <v>42571</v>
      </c>
    </row>
    <row r="769153" spans="1:1">
      <c r="A769153" s="16">
        <v>42572</v>
      </c>
    </row>
    <row r="769154" spans="1:1">
      <c r="A769154" s="16">
        <v>42573</v>
      </c>
    </row>
    <row r="769155" spans="1:1">
      <c r="A769155" s="16">
        <v>42576</v>
      </c>
    </row>
    <row r="769156" spans="1:1">
      <c r="A769156" s="16">
        <v>42577</v>
      </c>
    </row>
    <row r="769157" spans="1:1">
      <c r="A769157" s="16">
        <v>42578</v>
      </c>
    </row>
    <row r="769158" spans="1:1">
      <c r="A769158" s="16">
        <v>42579</v>
      </c>
    </row>
    <row r="769159" spans="1:1">
      <c r="A769159" s="16">
        <v>42580</v>
      </c>
    </row>
    <row r="769160" spans="1:1">
      <c r="A769160" s="16">
        <v>42583</v>
      </c>
    </row>
    <row r="769161" spans="1:1">
      <c r="A769161" s="16">
        <v>42584</v>
      </c>
    </row>
    <row r="769162" spans="1:1">
      <c r="A769162" s="16">
        <v>42585</v>
      </c>
    </row>
    <row r="769163" spans="1:1">
      <c r="A769163" s="16">
        <v>42586</v>
      </c>
    </row>
    <row r="769164" spans="1:1">
      <c r="A769164" s="16">
        <v>42587</v>
      </c>
    </row>
    <row r="769165" spans="1:1">
      <c r="A769165" s="16">
        <v>42590</v>
      </c>
    </row>
    <row r="769166" spans="1:1">
      <c r="A769166" s="16">
        <v>42591</v>
      </c>
    </row>
    <row r="769167" spans="1:1">
      <c r="A769167" s="16">
        <v>42592</v>
      </c>
    </row>
    <row r="769168" spans="1:1">
      <c r="A769168" s="16">
        <v>42593</v>
      </c>
    </row>
    <row r="769169" spans="1:1">
      <c r="A769169" s="16">
        <v>42594</v>
      </c>
    </row>
    <row r="769170" spans="1:1">
      <c r="A769170" s="16">
        <v>42597</v>
      </c>
    </row>
    <row r="769171" spans="1:1">
      <c r="A769171" s="16">
        <v>42598</v>
      </c>
    </row>
    <row r="769172" spans="1:1">
      <c r="A769172" s="16">
        <v>42599</v>
      </c>
    </row>
    <row r="769173" spans="1:1">
      <c r="A769173" s="16">
        <v>42600</v>
      </c>
    </row>
    <row r="769174" spans="1:1">
      <c r="A769174" s="16">
        <v>42601</v>
      </c>
    </row>
    <row r="769175" spans="1:1">
      <c r="A769175" s="16">
        <v>42604</v>
      </c>
    </row>
    <row r="769176" spans="1:1">
      <c r="A769176" s="16">
        <v>42605</v>
      </c>
    </row>
    <row r="769177" spans="1:1">
      <c r="A769177" s="16">
        <v>42606</v>
      </c>
    </row>
    <row r="769178" spans="1:1">
      <c r="A769178" s="16">
        <v>42607</v>
      </c>
    </row>
    <row r="769179" spans="1:1">
      <c r="A769179" s="16">
        <v>42608</v>
      </c>
    </row>
    <row r="769180" spans="1:1">
      <c r="A769180" s="16">
        <v>42611</v>
      </c>
    </row>
    <row r="769181" spans="1:1">
      <c r="A769181" s="16">
        <v>42612</v>
      </c>
    </row>
    <row r="769182" spans="1:1">
      <c r="A769182" s="16">
        <v>42613</v>
      </c>
    </row>
    <row r="769183" spans="1:1">
      <c r="A769183" s="16">
        <v>42614</v>
      </c>
    </row>
    <row r="769184" spans="1:1">
      <c r="A769184" s="16">
        <v>42615</v>
      </c>
    </row>
    <row r="769185" spans="1:1">
      <c r="A769185" s="16">
        <v>42618</v>
      </c>
    </row>
    <row r="769186" spans="1:1">
      <c r="A769186" s="16">
        <v>42619</v>
      </c>
    </row>
    <row r="769187" spans="1:1">
      <c r="A769187" s="16">
        <v>42620</v>
      </c>
    </row>
    <row r="769188" spans="1:1">
      <c r="A769188" s="16">
        <v>42621</v>
      </c>
    </row>
    <row r="769189" spans="1:1">
      <c r="A769189" s="16">
        <v>42622</v>
      </c>
    </row>
    <row r="769190" spans="1:1">
      <c r="A769190" s="16">
        <v>42625</v>
      </c>
    </row>
    <row r="769191" spans="1:1">
      <c r="A769191" s="16">
        <v>42626</v>
      </c>
    </row>
    <row r="769192" spans="1:1">
      <c r="A769192" s="16">
        <v>42627</v>
      </c>
    </row>
    <row r="769193" spans="1:1">
      <c r="A769193" s="16">
        <v>42632</v>
      </c>
    </row>
    <row r="769194" spans="1:1">
      <c r="A769194" s="16">
        <v>42633</v>
      </c>
    </row>
    <row r="769195" spans="1:1">
      <c r="A769195" s="16">
        <v>42634</v>
      </c>
    </row>
    <row r="769196" spans="1:1">
      <c r="A769196" s="16">
        <v>42635</v>
      </c>
    </row>
    <row r="769197" spans="1:1">
      <c r="A769197" s="16">
        <v>42636</v>
      </c>
    </row>
    <row r="769198" spans="1:1">
      <c r="A769198" s="16">
        <v>42639</v>
      </c>
    </row>
    <row r="769199" spans="1:1">
      <c r="A769199" s="16">
        <v>42640</v>
      </c>
    </row>
    <row r="769200" spans="1:1">
      <c r="A769200" s="16">
        <v>42641</v>
      </c>
    </row>
    <row r="769201" spans="1:1">
      <c r="A769201" s="16">
        <v>42642</v>
      </c>
    </row>
    <row r="769202" spans="1:1">
      <c r="A769202" s="16">
        <v>42643</v>
      </c>
    </row>
    <row r="769203" spans="1:1">
      <c r="A769203" s="16">
        <v>42653</v>
      </c>
    </row>
    <row r="769204" spans="1:1">
      <c r="A769204" s="16">
        <v>42654</v>
      </c>
    </row>
    <row r="769205" spans="1:1">
      <c r="A769205" s="16">
        <v>42655</v>
      </c>
    </row>
    <row r="769206" spans="1:1">
      <c r="A769206" s="16">
        <v>42656</v>
      </c>
    </row>
    <row r="769207" spans="1:1">
      <c r="A769207" s="16">
        <v>42657</v>
      </c>
    </row>
    <row r="769208" spans="1:1">
      <c r="A769208" s="16">
        <v>42660</v>
      </c>
    </row>
    <row r="769209" spans="1:1">
      <c r="A769209" s="16">
        <v>42661</v>
      </c>
    </row>
    <row r="769210" spans="1:1">
      <c r="A769210" s="16">
        <v>42662</v>
      </c>
    </row>
    <row r="769211" spans="1:1">
      <c r="A769211" s="16">
        <v>42663</v>
      </c>
    </row>
    <row r="769212" spans="1:1">
      <c r="A769212" s="16">
        <v>42664</v>
      </c>
    </row>
    <row r="769213" spans="1:1">
      <c r="A769213" s="16">
        <v>42667</v>
      </c>
    </row>
    <row r="769214" spans="1:1">
      <c r="A769214" s="16">
        <v>42668</v>
      </c>
    </row>
    <row r="769215" spans="1:1">
      <c r="A769215" s="16">
        <v>42669</v>
      </c>
    </row>
    <row r="769216" spans="1:1">
      <c r="A769216" s="16">
        <v>42670</v>
      </c>
    </row>
    <row r="769217" spans="1:1">
      <c r="A769217" s="16">
        <v>42671</v>
      </c>
    </row>
    <row r="769218" spans="1:1">
      <c r="A769218" s="16">
        <v>42674</v>
      </c>
    </row>
    <row r="769219" spans="1:1">
      <c r="A769219" s="16">
        <v>42675</v>
      </c>
    </row>
    <row r="769220" spans="1:1">
      <c r="A769220" s="16">
        <v>42676</v>
      </c>
    </row>
    <row r="769221" spans="1:1">
      <c r="A769221" s="16">
        <v>42677</v>
      </c>
    </row>
    <row r="769222" spans="1:1">
      <c r="A769222" s="16">
        <v>42678</v>
      </c>
    </row>
    <row r="785520" spans="1:1">
      <c r="A785520" s="16" t="s">
        <v>0</v>
      </c>
    </row>
    <row r="785521" spans="1:1">
      <c r="A785521" s="16" t="s">
        <v>1</v>
      </c>
    </row>
    <row r="785522" spans="1:1">
      <c r="A785522" s="16">
        <v>42551</v>
      </c>
    </row>
    <row r="785523" spans="1:1">
      <c r="A785523" s="16">
        <v>42552</v>
      </c>
    </row>
    <row r="785524" spans="1:1">
      <c r="A785524" s="16">
        <v>42555</v>
      </c>
    </row>
    <row r="785525" spans="1:1">
      <c r="A785525" s="16">
        <v>42556</v>
      </c>
    </row>
    <row r="785526" spans="1:1">
      <c r="A785526" s="16">
        <v>42557</v>
      </c>
    </row>
    <row r="785527" spans="1:1">
      <c r="A785527" s="16">
        <v>42558</v>
      </c>
    </row>
    <row r="785528" spans="1:1">
      <c r="A785528" s="16">
        <v>42559</v>
      </c>
    </row>
    <row r="785529" spans="1:1">
      <c r="A785529" s="16">
        <v>42562</v>
      </c>
    </row>
    <row r="785530" spans="1:1">
      <c r="A785530" s="16">
        <v>42563</v>
      </c>
    </row>
    <row r="785531" spans="1:1">
      <c r="A785531" s="16">
        <v>42564</v>
      </c>
    </row>
    <row r="785532" spans="1:1">
      <c r="A785532" s="16">
        <v>42565</v>
      </c>
    </row>
    <row r="785533" spans="1:1">
      <c r="A785533" s="16">
        <v>42566</v>
      </c>
    </row>
    <row r="785534" spans="1:1">
      <c r="A785534" s="16">
        <v>42569</v>
      </c>
    </row>
    <row r="785535" spans="1:1">
      <c r="A785535" s="16">
        <v>42570</v>
      </c>
    </row>
    <row r="785536" spans="1:1">
      <c r="A785536" s="16">
        <v>42571</v>
      </c>
    </row>
    <row r="785537" spans="1:1">
      <c r="A785537" s="16">
        <v>42572</v>
      </c>
    </row>
    <row r="785538" spans="1:1">
      <c r="A785538" s="16">
        <v>42573</v>
      </c>
    </row>
    <row r="785539" spans="1:1">
      <c r="A785539" s="16">
        <v>42576</v>
      </c>
    </row>
    <row r="785540" spans="1:1">
      <c r="A785540" s="16">
        <v>42577</v>
      </c>
    </row>
    <row r="785541" spans="1:1">
      <c r="A785541" s="16">
        <v>42578</v>
      </c>
    </row>
    <row r="785542" spans="1:1">
      <c r="A785542" s="16">
        <v>42579</v>
      </c>
    </row>
    <row r="785543" spans="1:1">
      <c r="A785543" s="16">
        <v>42580</v>
      </c>
    </row>
    <row r="785544" spans="1:1">
      <c r="A785544" s="16">
        <v>42583</v>
      </c>
    </row>
    <row r="785545" spans="1:1">
      <c r="A785545" s="16">
        <v>42584</v>
      </c>
    </row>
    <row r="785546" spans="1:1">
      <c r="A785546" s="16">
        <v>42585</v>
      </c>
    </row>
    <row r="785547" spans="1:1">
      <c r="A785547" s="16">
        <v>42586</v>
      </c>
    </row>
    <row r="785548" spans="1:1">
      <c r="A785548" s="16">
        <v>42587</v>
      </c>
    </row>
    <row r="785549" spans="1:1">
      <c r="A785549" s="16">
        <v>42590</v>
      </c>
    </row>
    <row r="785550" spans="1:1">
      <c r="A785550" s="16">
        <v>42591</v>
      </c>
    </row>
    <row r="785551" spans="1:1">
      <c r="A785551" s="16">
        <v>42592</v>
      </c>
    </row>
    <row r="785552" spans="1:1">
      <c r="A785552" s="16">
        <v>42593</v>
      </c>
    </row>
    <row r="785553" spans="1:1">
      <c r="A785553" s="16">
        <v>42594</v>
      </c>
    </row>
    <row r="785554" spans="1:1">
      <c r="A785554" s="16">
        <v>42597</v>
      </c>
    </row>
    <row r="785555" spans="1:1">
      <c r="A785555" s="16">
        <v>42598</v>
      </c>
    </row>
    <row r="785556" spans="1:1">
      <c r="A785556" s="16">
        <v>42599</v>
      </c>
    </row>
    <row r="785557" spans="1:1">
      <c r="A785557" s="16">
        <v>42600</v>
      </c>
    </row>
    <row r="785558" spans="1:1">
      <c r="A785558" s="16">
        <v>42601</v>
      </c>
    </row>
    <row r="785559" spans="1:1">
      <c r="A785559" s="16">
        <v>42604</v>
      </c>
    </row>
    <row r="785560" spans="1:1">
      <c r="A785560" s="16">
        <v>42605</v>
      </c>
    </row>
    <row r="785561" spans="1:1">
      <c r="A785561" s="16">
        <v>42606</v>
      </c>
    </row>
    <row r="785562" spans="1:1">
      <c r="A785562" s="16">
        <v>42607</v>
      </c>
    </row>
    <row r="785563" spans="1:1">
      <c r="A785563" s="16">
        <v>42608</v>
      </c>
    </row>
    <row r="785564" spans="1:1">
      <c r="A785564" s="16">
        <v>42611</v>
      </c>
    </row>
    <row r="785565" spans="1:1">
      <c r="A785565" s="16">
        <v>42612</v>
      </c>
    </row>
    <row r="785566" spans="1:1">
      <c r="A785566" s="16">
        <v>42613</v>
      </c>
    </row>
    <row r="785567" spans="1:1">
      <c r="A785567" s="16">
        <v>42614</v>
      </c>
    </row>
    <row r="785568" spans="1:1">
      <c r="A785568" s="16">
        <v>42615</v>
      </c>
    </row>
    <row r="785569" spans="1:1">
      <c r="A785569" s="16">
        <v>42618</v>
      </c>
    </row>
    <row r="785570" spans="1:1">
      <c r="A785570" s="16">
        <v>42619</v>
      </c>
    </row>
    <row r="785571" spans="1:1">
      <c r="A785571" s="16">
        <v>42620</v>
      </c>
    </row>
    <row r="785572" spans="1:1">
      <c r="A785572" s="16">
        <v>42621</v>
      </c>
    </row>
    <row r="785573" spans="1:1">
      <c r="A785573" s="16">
        <v>42622</v>
      </c>
    </row>
    <row r="785574" spans="1:1">
      <c r="A785574" s="16">
        <v>42625</v>
      </c>
    </row>
    <row r="785575" spans="1:1">
      <c r="A785575" s="16">
        <v>42626</v>
      </c>
    </row>
    <row r="785576" spans="1:1">
      <c r="A785576" s="16">
        <v>42627</v>
      </c>
    </row>
    <row r="785577" spans="1:1">
      <c r="A785577" s="16">
        <v>42632</v>
      </c>
    </row>
    <row r="785578" spans="1:1">
      <c r="A785578" s="16">
        <v>42633</v>
      </c>
    </row>
    <row r="785579" spans="1:1">
      <c r="A785579" s="16">
        <v>42634</v>
      </c>
    </row>
    <row r="785580" spans="1:1">
      <c r="A785580" s="16">
        <v>42635</v>
      </c>
    </row>
    <row r="785581" spans="1:1">
      <c r="A785581" s="16">
        <v>42636</v>
      </c>
    </row>
    <row r="785582" spans="1:1">
      <c r="A785582" s="16">
        <v>42639</v>
      </c>
    </row>
    <row r="785583" spans="1:1">
      <c r="A785583" s="16">
        <v>42640</v>
      </c>
    </row>
    <row r="785584" spans="1:1">
      <c r="A785584" s="16">
        <v>42641</v>
      </c>
    </row>
    <row r="785585" spans="1:1">
      <c r="A785585" s="16">
        <v>42642</v>
      </c>
    </row>
    <row r="785586" spans="1:1">
      <c r="A785586" s="16">
        <v>42643</v>
      </c>
    </row>
    <row r="785587" spans="1:1">
      <c r="A785587" s="16">
        <v>42653</v>
      </c>
    </row>
    <row r="785588" spans="1:1">
      <c r="A785588" s="16">
        <v>42654</v>
      </c>
    </row>
    <row r="785589" spans="1:1">
      <c r="A785589" s="16">
        <v>42655</v>
      </c>
    </row>
    <row r="785590" spans="1:1">
      <c r="A785590" s="16">
        <v>42656</v>
      </c>
    </row>
    <row r="785591" spans="1:1">
      <c r="A785591" s="16">
        <v>42657</v>
      </c>
    </row>
    <row r="785592" spans="1:1">
      <c r="A785592" s="16">
        <v>42660</v>
      </c>
    </row>
    <row r="785593" spans="1:1">
      <c r="A785593" s="16">
        <v>42661</v>
      </c>
    </row>
    <row r="785594" spans="1:1">
      <c r="A785594" s="16">
        <v>42662</v>
      </c>
    </row>
    <row r="785595" spans="1:1">
      <c r="A785595" s="16">
        <v>42663</v>
      </c>
    </row>
    <row r="785596" spans="1:1">
      <c r="A785596" s="16">
        <v>42664</v>
      </c>
    </row>
    <row r="785597" spans="1:1">
      <c r="A785597" s="16">
        <v>42667</v>
      </c>
    </row>
    <row r="785598" spans="1:1">
      <c r="A785598" s="16">
        <v>42668</v>
      </c>
    </row>
    <row r="785599" spans="1:1">
      <c r="A785599" s="16">
        <v>42669</v>
      </c>
    </row>
    <row r="785600" spans="1:1">
      <c r="A785600" s="16">
        <v>42670</v>
      </c>
    </row>
    <row r="785601" spans="1:1">
      <c r="A785601" s="16">
        <v>42671</v>
      </c>
    </row>
    <row r="785602" spans="1:1">
      <c r="A785602" s="16">
        <v>42674</v>
      </c>
    </row>
    <row r="785603" spans="1:1">
      <c r="A785603" s="16">
        <v>42675</v>
      </c>
    </row>
    <row r="785604" spans="1:1">
      <c r="A785604" s="16">
        <v>42676</v>
      </c>
    </row>
    <row r="785605" spans="1:1">
      <c r="A785605" s="16">
        <v>42677</v>
      </c>
    </row>
    <row r="785606" spans="1:1">
      <c r="A785606" s="16">
        <v>42678</v>
      </c>
    </row>
    <row r="801904" spans="1:1">
      <c r="A801904" s="16" t="s">
        <v>0</v>
      </c>
    </row>
    <row r="801905" spans="1:1">
      <c r="A801905" s="16" t="s">
        <v>1</v>
      </c>
    </row>
    <row r="801906" spans="1:1">
      <c r="A801906" s="16">
        <v>42551</v>
      </c>
    </row>
    <row r="801907" spans="1:1">
      <c r="A801907" s="16">
        <v>42552</v>
      </c>
    </row>
    <row r="801908" spans="1:1">
      <c r="A801908" s="16">
        <v>42555</v>
      </c>
    </row>
    <row r="801909" spans="1:1">
      <c r="A801909" s="16">
        <v>42556</v>
      </c>
    </row>
    <row r="801910" spans="1:1">
      <c r="A801910" s="16">
        <v>42557</v>
      </c>
    </row>
    <row r="801911" spans="1:1">
      <c r="A801911" s="16">
        <v>42558</v>
      </c>
    </row>
    <row r="801912" spans="1:1">
      <c r="A801912" s="16">
        <v>42559</v>
      </c>
    </row>
    <row r="801913" spans="1:1">
      <c r="A801913" s="16">
        <v>42562</v>
      </c>
    </row>
    <row r="801914" spans="1:1">
      <c r="A801914" s="16">
        <v>42563</v>
      </c>
    </row>
    <row r="801915" spans="1:1">
      <c r="A801915" s="16">
        <v>42564</v>
      </c>
    </row>
    <row r="801916" spans="1:1">
      <c r="A801916" s="16">
        <v>42565</v>
      </c>
    </row>
    <row r="801917" spans="1:1">
      <c r="A801917" s="16">
        <v>42566</v>
      </c>
    </row>
    <row r="801918" spans="1:1">
      <c r="A801918" s="16">
        <v>42569</v>
      </c>
    </row>
    <row r="801919" spans="1:1">
      <c r="A801919" s="16">
        <v>42570</v>
      </c>
    </row>
    <row r="801920" spans="1:1">
      <c r="A801920" s="16">
        <v>42571</v>
      </c>
    </row>
    <row r="801921" spans="1:1">
      <c r="A801921" s="16">
        <v>42572</v>
      </c>
    </row>
    <row r="801922" spans="1:1">
      <c r="A801922" s="16">
        <v>42573</v>
      </c>
    </row>
    <row r="801923" spans="1:1">
      <c r="A801923" s="16">
        <v>42576</v>
      </c>
    </row>
    <row r="801924" spans="1:1">
      <c r="A801924" s="16">
        <v>42577</v>
      </c>
    </row>
    <row r="801925" spans="1:1">
      <c r="A801925" s="16">
        <v>42578</v>
      </c>
    </row>
    <row r="801926" spans="1:1">
      <c r="A801926" s="16">
        <v>42579</v>
      </c>
    </row>
    <row r="801927" spans="1:1">
      <c r="A801927" s="16">
        <v>42580</v>
      </c>
    </row>
    <row r="801928" spans="1:1">
      <c r="A801928" s="16">
        <v>42583</v>
      </c>
    </row>
    <row r="801929" spans="1:1">
      <c r="A801929" s="16">
        <v>42584</v>
      </c>
    </row>
    <row r="801930" spans="1:1">
      <c r="A801930" s="16">
        <v>42585</v>
      </c>
    </row>
    <row r="801931" spans="1:1">
      <c r="A801931" s="16">
        <v>42586</v>
      </c>
    </row>
    <row r="801932" spans="1:1">
      <c r="A801932" s="16">
        <v>42587</v>
      </c>
    </row>
    <row r="801933" spans="1:1">
      <c r="A801933" s="16">
        <v>42590</v>
      </c>
    </row>
    <row r="801934" spans="1:1">
      <c r="A801934" s="16">
        <v>42591</v>
      </c>
    </row>
    <row r="801935" spans="1:1">
      <c r="A801935" s="16">
        <v>42592</v>
      </c>
    </row>
    <row r="801936" spans="1:1">
      <c r="A801936" s="16">
        <v>42593</v>
      </c>
    </row>
    <row r="801937" spans="1:1">
      <c r="A801937" s="16">
        <v>42594</v>
      </c>
    </row>
    <row r="801938" spans="1:1">
      <c r="A801938" s="16">
        <v>42597</v>
      </c>
    </row>
    <row r="801939" spans="1:1">
      <c r="A801939" s="16">
        <v>42598</v>
      </c>
    </row>
    <row r="801940" spans="1:1">
      <c r="A801940" s="16">
        <v>42599</v>
      </c>
    </row>
    <row r="801941" spans="1:1">
      <c r="A801941" s="16">
        <v>42600</v>
      </c>
    </row>
    <row r="801942" spans="1:1">
      <c r="A801942" s="16">
        <v>42601</v>
      </c>
    </row>
    <row r="801943" spans="1:1">
      <c r="A801943" s="16">
        <v>42604</v>
      </c>
    </row>
    <row r="801944" spans="1:1">
      <c r="A801944" s="16">
        <v>42605</v>
      </c>
    </row>
    <row r="801945" spans="1:1">
      <c r="A801945" s="16">
        <v>42606</v>
      </c>
    </row>
    <row r="801946" spans="1:1">
      <c r="A801946" s="16">
        <v>42607</v>
      </c>
    </row>
    <row r="801947" spans="1:1">
      <c r="A801947" s="16">
        <v>42608</v>
      </c>
    </row>
    <row r="801948" spans="1:1">
      <c r="A801948" s="16">
        <v>42611</v>
      </c>
    </row>
    <row r="801949" spans="1:1">
      <c r="A801949" s="16">
        <v>42612</v>
      </c>
    </row>
    <row r="801950" spans="1:1">
      <c r="A801950" s="16">
        <v>42613</v>
      </c>
    </row>
    <row r="801951" spans="1:1">
      <c r="A801951" s="16">
        <v>42614</v>
      </c>
    </row>
    <row r="801952" spans="1:1">
      <c r="A801952" s="16">
        <v>42615</v>
      </c>
    </row>
    <row r="801953" spans="1:1">
      <c r="A801953" s="16">
        <v>42618</v>
      </c>
    </row>
    <row r="801954" spans="1:1">
      <c r="A801954" s="16">
        <v>42619</v>
      </c>
    </row>
    <row r="801955" spans="1:1">
      <c r="A801955" s="16">
        <v>42620</v>
      </c>
    </row>
    <row r="801956" spans="1:1">
      <c r="A801956" s="16">
        <v>42621</v>
      </c>
    </row>
    <row r="801957" spans="1:1">
      <c r="A801957" s="16">
        <v>42622</v>
      </c>
    </row>
    <row r="801958" spans="1:1">
      <c r="A801958" s="16">
        <v>42625</v>
      </c>
    </row>
    <row r="801959" spans="1:1">
      <c r="A801959" s="16">
        <v>42626</v>
      </c>
    </row>
    <row r="801960" spans="1:1">
      <c r="A801960" s="16">
        <v>42627</v>
      </c>
    </row>
    <row r="801961" spans="1:1">
      <c r="A801961" s="16">
        <v>42632</v>
      </c>
    </row>
    <row r="801962" spans="1:1">
      <c r="A801962" s="16">
        <v>42633</v>
      </c>
    </row>
    <row r="801963" spans="1:1">
      <c r="A801963" s="16">
        <v>42634</v>
      </c>
    </row>
    <row r="801964" spans="1:1">
      <c r="A801964" s="16">
        <v>42635</v>
      </c>
    </row>
    <row r="801965" spans="1:1">
      <c r="A801965" s="16">
        <v>42636</v>
      </c>
    </row>
    <row r="801966" spans="1:1">
      <c r="A801966" s="16">
        <v>42639</v>
      </c>
    </row>
    <row r="801967" spans="1:1">
      <c r="A801967" s="16">
        <v>42640</v>
      </c>
    </row>
    <row r="801968" spans="1:1">
      <c r="A801968" s="16">
        <v>42641</v>
      </c>
    </row>
    <row r="801969" spans="1:1">
      <c r="A801969" s="16">
        <v>42642</v>
      </c>
    </row>
    <row r="801970" spans="1:1">
      <c r="A801970" s="16">
        <v>42643</v>
      </c>
    </row>
    <row r="801971" spans="1:1">
      <c r="A801971" s="16">
        <v>42653</v>
      </c>
    </row>
    <row r="801972" spans="1:1">
      <c r="A801972" s="16">
        <v>42654</v>
      </c>
    </row>
    <row r="801973" spans="1:1">
      <c r="A801973" s="16">
        <v>42655</v>
      </c>
    </row>
    <row r="801974" spans="1:1">
      <c r="A801974" s="16">
        <v>42656</v>
      </c>
    </row>
    <row r="801975" spans="1:1">
      <c r="A801975" s="16">
        <v>42657</v>
      </c>
    </row>
    <row r="801976" spans="1:1">
      <c r="A801976" s="16">
        <v>42660</v>
      </c>
    </row>
    <row r="801977" spans="1:1">
      <c r="A801977" s="16">
        <v>42661</v>
      </c>
    </row>
    <row r="801978" spans="1:1">
      <c r="A801978" s="16">
        <v>42662</v>
      </c>
    </row>
    <row r="801979" spans="1:1">
      <c r="A801979" s="16">
        <v>42663</v>
      </c>
    </row>
    <row r="801980" spans="1:1">
      <c r="A801980" s="16">
        <v>42664</v>
      </c>
    </row>
    <row r="801981" spans="1:1">
      <c r="A801981" s="16">
        <v>42667</v>
      </c>
    </row>
    <row r="801982" spans="1:1">
      <c r="A801982" s="16">
        <v>42668</v>
      </c>
    </row>
    <row r="801983" spans="1:1">
      <c r="A801983" s="16">
        <v>42669</v>
      </c>
    </row>
    <row r="801984" spans="1:1">
      <c r="A801984" s="16">
        <v>42670</v>
      </c>
    </row>
    <row r="801985" spans="1:1">
      <c r="A801985" s="16">
        <v>42671</v>
      </c>
    </row>
    <row r="801986" spans="1:1">
      <c r="A801986" s="16">
        <v>42674</v>
      </c>
    </row>
    <row r="801987" spans="1:1">
      <c r="A801987" s="16">
        <v>42675</v>
      </c>
    </row>
    <row r="801988" spans="1:1">
      <c r="A801988" s="16">
        <v>42676</v>
      </c>
    </row>
    <row r="801989" spans="1:1">
      <c r="A801989" s="16">
        <v>42677</v>
      </c>
    </row>
    <row r="801990" spans="1:1">
      <c r="A801990" s="16">
        <v>42678</v>
      </c>
    </row>
    <row r="818288" spans="1:1">
      <c r="A818288" s="16" t="s">
        <v>0</v>
      </c>
    </row>
    <row r="818289" spans="1:1">
      <c r="A818289" s="16" t="s">
        <v>1</v>
      </c>
    </row>
    <row r="818290" spans="1:1">
      <c r="A818290" s="16">
        <v>42551</v>
      </c>
    </row>
    <row r="818291" spans="1:1">
      <c r="A818291" s="16">
        <v>42552</v>
      </c>
    </row>
    <row r="818292" spans="1:1">
      <c r="A818292" s="16">
        <v>42555</v>
      </c>
    </row>
    <row r="818293" spans="1:1">
      <c r="A818293" s="16">
        <v>42556</v>
      </c>
    </row>
    <row r="818294" spans="1:1">
      <c r="A818294" s="16">
        <v>42557</v>
      </c>
    </row>
    <row r="818295" spans="1:1">
      <c r="A818295" s="16">
        <v>42558</v>
      </c>
    </row>
    <row r="818296" spans="1:1">
      <c r="A818296" s="16">
        <v>42559</v>
      </c>
    </row>
    <row r="818297" spans="1:1">
      <c r="A818297" s="16">
        <v>42562</v>
      </c>
    </row>
    <row r="818298" spans="1:1">
      <c r="A818298" s="16">
        <v>42563</v>
      </c>
    </row>
    <row r="818299" spans="1:1">
      <c r="A818299" s="16">
        <v>42564</v>
      </c>
    </row>
    <row r="818300" spans="1:1">
      <c r="A818300" s="16">
        <v>42565</v>
      </c>
    </row>
    <row r="818301" spans="1:1">
      <c r="A818301" s="16">
        <v>42566</v>
      </c>
    </row>
    <row r="818302" spans="1:1">
      <c r="A818302" s="16">
        <v>42569</v>
      </c>
    </row>
    <row r="818303" spans="1:1">
      <c r="A818303" s="16">
        <v>42570</v>
      </c>
    </row>
    <row r="818304" spans="1:1">
      <c r="A818304" s="16">
        <v>42571</v>
      </c>
    </row>
    <row r="818305" spans="1:1">
      <c r="A818305" s="16">
        <v>42572</v>
      </c>
    </row>
    <row r="818306" spans="1:1">
      <c r="A818306" s="16">
        <v>42573</v>
      </c>
    </row>
    <row r="818307" spans="1:1">
      <c r="A818307" s="16">
        <v>42576</v>
      </c>
    </row>
    <row r="818308" spans="1:1">
      <c r="A818308" s="16">
        <v>42577</v>
      </c>
    </row>
    <row r="818309" spans="1:1">
      <c r="A818309" s="16">
        <v>42578</v>
      </c>
    </row>
    <row r="818310" spans="1:1">
      <c r="A818310" s="16">
        <v>42579</v>
      </c>
    </row>
    <row r="818311" spans="1:1">
      <c r="A818311" s="16">
        <v>42580</v>
      </c>
    </row>
    <row r="818312" spans="1:1">
      <c r="A818312" s="16">
        <v>42583</v>
      </c>
    </row>
    <row r="818313" spans="1:1">
      <c r="A818313" s="16">
        <v>42584</v>
      </c>
    </row>
    <row r="818314" spans="1:1">
      <c r="A818314" s="16">
        <v>42585</v>
      </c>
    </row>
    <row r="818315" spans="1:1">
      <c r="A818315" s="16">
        <v>42586</v>
      </c>
    </row>
    <row r="818316" spans="1:1">
      <c r="A818316" s="16">
        <v>42587</v>
      </c>
    </row>
    <row r="818317" spans="1:1">
      <c r="A818317" s="16">
        <v>42590</v>
      </c>
    </row>
    <row r="818318" spans="1:1">
      <c r="A818318" s="16">
        <v>42591</v>
      </c>
    </row>
    <row r="818319" spans="1:1">
      <c r="A818319" s="16">
        <v>42592</v>
      </c>
    </row>
    <row r="818320" spans="1:1">
      <c r="A818320" s="16">
        <v>42593</v>
      </c>
    </row>
    <row r="818321" spans="1:1">
      <c r="A818321" s="16">
        <v>42594</v>
      </c>
    </row>
    <row r="818322" spans="1:1">
      <c r="A818322" s="16">
        <v>42597</v>
      </c>
    </row>
    <row r="818323" spans="1:1">
      <c r="A818323" s="16">
        <v>42598</v>
      </c>
    </row>
    <row r="818324" spans="1:1">
      <c r="A818324" s="16">
        <v>42599</v>
      </c>
    </row>
    <row r="818325" spans="1:1">
      <c r="A818325" s="16">
        <v>42600</v>
      </c>
    </row>
    <row r="818326" spans="1:1">
      <c r="A818326" s="16">
        <v>42601</v>
      </c>
    </row>
    <row r="818327" spans="1:1">
      <c r="A818327" s="16">
        <v>42604</v>
      </c>
    </row>
    <row r="818328" spans="1:1">
      <c r="A818328" s="16">
        <v>42605</v>
      </c>
    </row>
    <row r="818329" spans="1:1">
      <c r="A818329" s="16">
        <v>42606</v>
      </c>
    </row>
    <row r="818330" spans="1:1">
      <c r="A818330" s="16">
        <v>42607</v>
      </c>
    </row>
    <row r="818331" spans="1:1">
      <c r="A818331" s="16">
        <v>42608</v>
      </c>
    </row>
    <row r="818332" spans="1:1">
      <c r="A818332" s="16">
        <v>42611</v>
      </c>
    </row>
    <row r="818333" spans="1:1">
      <c r="A818333" s="16">
        <v>42612</v>
      </c>
    </row>
    <row r="818334" spans="1:1">
      <c r="A818334" s="16">
        <v>42613</v>
      </c>
    </row>
    <row r="818335" spans="1:1">
      <c r="A818335" s="16">
        <v>42614</v>
      </c>
    </row>
    <row r="818336" spans="1:1">
      <c r="A818336" s="16">
        <v>42615</v>
      </c>
    </row>
    <row r="818337" spans="1:1">
      <c r="A818337" s="16">
        <v>42618</v>
      </c>
    </row>
    <row r="818338" spans="1:1">
      <c r="A818338" s="16">
        <v>42619</v>
      </c>
    </row>
    <row r="818339" spans="1:1">
      <c r="A818339" s="16">
        <v>42620</v>
      </c>
    </row>
    <row r="818340" spans="1:1">
      <c r="A818340" s="16">
        <v>42621</v>
      </c>
    </row>
    <row r="818341" spans="1:1">
      <c r="A818341" s="16">
        <v>42622</v>
      </c>
    </row>
    <row r="818342" spans="1:1">
      <c r="A818342" s="16">
        <v>42625</v>
      </c>
    </row>
    <row r="818343" spans="1:1">
      <c r="A818343" s="16">
        <v>42626</v>
      </c>
    </row>
    <row r="818344" spans="1:1">
      <c r="A818344" s="16">
        <v>42627</v>
      </c>
    </row>
    <row r="818345" spans="1:1">
      <c r="A818345" s="16">
        <v>42632</v>
      </c>
    </row>
    <row r="818346" spans="1:1">
      <c r="A818346" s="16">
        <v>42633</v>
      </c>
    </row>
    <row r="818347" spans="1:1">
      <c r="A818347" s="16">
        <v>42634</v>
      </c>
    </row>
    <row r="818348" spans="1:1">
      <c r="A818348" s="16">
        <v>42635</v>
      </c>
    </row>
    <row r="818349" spans="1:1">
      <c r="A818349" s="16">
        <v>42636</v>
      </c>
    </row>
    <row r="818350" spans="1:1">
      <c r="A818350" s="16">
        <v>42639</v>
      </c>
    </row>
    <row r="818351" spans="1:1">
      <c r="A818351" s="16">
        <v>42640</v>
      </c>
    </row>
    <row r="818352" spans="1:1">
      <c r="A818352" s="16">
        <v>42641</v>
      </c>
    </row>
    <row r="818353" spans="1:1">
      <c r="A818353" s="16">
        <v>42642</v>
      </c>
    </row>
    <row r="818354" spans="1:1">
      <c r="A818354" s="16">
        <v>42643</v>
      </c>
    </row>
    <row r="818355" spans="1:1">
      <c r="A818355" s="16">
        <v>42653</v>
      </c>
    </row>
    <row r="818356" spans="1:1">
      <c r="A818356" s="16">
        <v>42654</v>
      </c>
    </row>
    <row r="818357" spans="1:1">
      <c r="A818357" s="16">
        <v>42655</v>
      </c>
    </row>
    <row r="818358" spans="1:1">
      <c r="A818358" s="16">
        <v>42656</v>
      </c>
    </row>
    <row r="818359" spans="1:1">
      <c r="A818359" s="16">
        <v>42657</v>
      </c>
    </row>
    <row r="818360" spans="1:1">
      <c r="A818360" s="16">
        <v>42660</v>
      </c>
    </row>
    <row r="818361" spans="1:1">
      <c r="A818361" s="16">
        <v>42661</v>
      </c>
    </row>
    <row r="818362" spans="1:1">
      <c r="A818362" s="16">
        <v>42662</v>
      </c>
    </row>
    <row r="818363" spans="1:1">
      <c r="A818363" s="16">
        <v>42663</v>
      </c>
    </row>
    <row r="818364" spans="1:1">
      <c r="A818364" s="16">
        <v>42664</v>
      </c>
    </row>
    <row r="818365" spans="1:1">
      <c r="A818365" s="16">
        <v>42667</v>
      </c>
    </row>
    <row r="818366" spans="1:1">
      <c r="A818366" s="16">
        <v>42668</v>
      </c>
    </row>
    <row r="818367" spans="1:1">
      <c r="A818367" s="16">
        <v>42669</v>
      </c>
    </row>
    <row r="818368" spans="1:1">
      <c r="A818368" s="16">
        <v>42670</v>
      </c>
    </row>
    <row r="818369" spans="1:1">
      <c r="A818369" s="16">
        <v>42671</v>
      </c>
    </row>
    <row r="818370" spans="1:1">
      <c r="A818370" s="16">
        <v>42674</v>
      </c>
    </row>
    <row r="818371" spans="1:1">
      <c r="A818371" s="16">
        <v>42675</v>
      </c>
    </row>
    <row r="818372" spans="1:1">
      <c r="A818372" s="16">
        <v>42676</v>
      </c>
    </row>
    <row r="818373" spans="1:1">
      <c r="A818373" s="16">
        <v>42677</v>
      </c>
    </row>
    <row r="818374" spans="1:1">
      <c r="A818374" s="16">
        <v>42678</v>
      </c>
    </row>
    <row r="834672" spans="1:1">
      <c r="A834672" s="16" t="s">
        <v>0</v>
      </c>
    </row>
    <row r="834673" spans="1:1">
      <c r="A834673" s="16" t="s">
        <v>1</v>
      </c>
    </row>
    <row r="834674" spans="1:1">
      <c r="A834674" s="16">
        <v>42551</v>
      </c>
    </row>
    <row r="834675" spans="1:1">
      <c r="A834675" s="16">
        <v>42552</v>
      </c>
    </row>
    <row r="834676" spans="1:1">
      <c r="A834676" s="16">
        <v>42555</v>
      </c>
    </row>
    <row r="834677" spans="1:1">
      <c r="A834677" s="16">
        <v>42556</v>
      </c>
    </row>
    <row r="834678" spans="1:1">
      <c r="A834678" s="16">
        <v>42557</v>
      </c>
    </row>
    <row r="834679" spans="1:1">
      <c r="A834679" s="16">
        <v>42558</v>
      </c>
    </row>
    <row r="834680" spans="1:1">
      <c r="A834680" s="16">
        <v>42559</v>
      </c>
    </row>
    <row r="834681" spans="1:1">
      <c r="A834681" s="16">
        <v>42562</v>
      </c>
    </row>
    <row r="834682" spans="1:1">
      <c r="A834682" s="16">
        <v>42563</v>
      </c>
    </row>
    <row r="834683" spans="1:1">
      <c r="A834683" s="16">
        <v>42564</v>
      </c>
    </row>
    <row r="834684" spans="1:1">
      <c r="A834684" s="16">
        <v>42565</v>
      </c>
    </row>
    <row r="834685" spans="1:1">
      <c r="A834685" s="16">
        <v>42566</v>
      </c>
    </row>
    <row r="834686" spans="1:1">
      <c r="A834686" s="16">
        <v>42569</v>
      </c>
    </row>
    <row r="834687" spans="1:1">
      <c r="A834687" s="16">
        <v>42570</v>
      </c>
    </row>
    <row r="834688" spans="1:1">
      <c r="A834688" s="16">
        <v>42571</v>
      </c>
    </row>
    <row r="834689" spans="1:1">
      <c r="A834689" s="16">
        <v>42572</v>
      </c>
    </row>
    <row r="834690" spans="1:1">
      <c r="A834690" s="16">
        <v>42573</v>
      </c>
    </row>
    <row r="834691" spans="1:1">
      <c r="A834691" s="16">
        <v>42576</v>
      </c>
    </row>
    <row r="834692" spans="1:1">
      <c r="A834692" s="16">
        <v>42577</v>
      </c>
    </row>
    <row r="834693" spans="1:1">
      <c r="A834693" s="16">
        <v>42578</v>
      </c>
    </row>
    <row r="834694" spans="1:1">
      <c r="A834694" s="16">
        <v>42579</v>
      </c>
    </row>
    <row r="834695" spans="1:1">
      <c r="A834695" s="16">
        <v>42580</v>
      </c>
    </row>
    <row r="834696" spans="1:1">
      <c r="A834696" s="16">
        <v>42583</v>
      </c>
    </row>
    <row r="834697" spans="1:1">
      <c r="A834697" s="16">
        <v>42584</v>
      </c>
    </row>
    <row r="834698" spans="1:1">
      <c r="A834698" s="16">
        <v>42585</v>
      </c>
    </row>
    <row r="834699" spans="1:1">
      <c r="A834699" s="16">
        <v>42586</v>
      </c>
    </row>
    <row r="834700" spans="1:1">
      <c r="A834700" s="16">
        <v>42587</v>
      </c>
    </row>
    <row r="834701" spans="1:1">
      <c r="A834701" s="16">
        <v>42590</v>
      </c>
    </row>
    <row r="834702" spans="1:1">
      <c r="A834702" s="16">
        <v>42591</v>
      </c>
    </row>
    <row r="834703" spans="1:1">
      <c r="A834703" s="16">
        <v>42592</v>
      </c>
    </row>
    <row r="834704" spans="1:1">
      <c r="A834704" s="16">
        <v>42593</v>
      </c>
    </row>
    <row r="834705" spans="1:1">
      <c r="A834705" s="16">
        <v>42594</v>
      </c>
    </row>
    <row r="834706" spans="1:1">
      <c r="A834706" s="16">
        <v>42597</v>
      </c>
    </row>
    <row r="834707" spans="1:1">
      <c r="A834707" s="16">
        <v>42598</v>
      </c>
    </row>
    <row r="834708" spans="1:1">
      <c r="A834708" s="16">
        <v>42599</v>
      </c>
    </row>
    <row r="834709" spans="1:1">
      <c r="A834709" s="16">
        <v>42600</v>
      </c>
    </row>
    <row r="834710" spans="1:1">
      <c r="A834710" s="16">
        <v>42601</v>
      </c>
    </row>
    <row r="834711" spans="1:1">
      <c r="A834711" s="16">
        <v>42604</v>
      </c>
    </row>
    <row r="834712" spans="1:1">
      <c r="A834712" s="16">
        <v>42605</v>
      </c>
    </row>
    <row r="834713" spans="1:1">
      <c r="A834713" s="16">
        <v>42606</v>
      </c>
    </row>
    <row r="834714" spans="1:1">
      <c r="A834714" s="16">
        <v>42607</v>
      </c>
    </row>
    <row r="834715" spans="1:1">
      <c r="A834715" s="16">
        <v>42608</v>
      </c>
    </row>
    <row r="834716" spans="1:1">
      <c r="A834716" s="16">
        <v>42611</v>
      </c>
    </row>
    <row r="834717" spans="1:1">
      <c r="A834717" s="16">
        <v>42612</v>
      </c>
    </row>
    <row r="834718" spans="1:1">
      <c r="A834718" s="16">
        <v>42613</v>
      </c>
    </row>
    <row r="834719" spans="1:1">
      <c r="A834719" s="16">
        <v>42614</v>
      </c>
    </row>
    <row r="834720" spans="1:1">
      <c r="A834720" s="16">
        <v>42615</v>
      </c>
    </row>
    <row r="834721" spans="1:1">
      <c r="A834721" s="16">
        <v>42618</v>
      </c>
    </row>
    <row r="834722" spans="1:1">
      <c r="A834722" s="16">
        <v>42619</v>
      </c>
    </row>
    <row r="834723" spans="1:1">
      <c r="A834723" s="16">
        <v>42620</v>
      </c>
    </row>
    <row r="834724" spans="1:1">
      <c r="A834724" s="16">
        <v>42621</v>
      </c>
    </row>
    <row r="834725" spans="1:1">
      <c r="A834725" s="16">
        <v>42622</v>
      </c>
    </row>
    <row r="834726" spans="1:1">
      <c r="A834726" s="16">
        <v>42625</v>
      </c>
    </row>
    <row r="834727" spans="1:1">
      <c r="A834727" s="16">
        <v>42626</v>
      </c>
    </row>
    <row r="834728" spans="1:1">
      <c r="A834728" s="16">
        <v>42627</v>
      </c>
    </row>
    <row r="834729" spans="1:1">
      <c r="A834729" s="16">
        <v>42632</v>
      </c>
    </row>
    <row r="834730" spans="1:1">
      <c r="A834730" s="16">
        <v>42633</v>
      </c>
    </row>
    <row r="834731" spans="1:1">
      <c r="A834731" s="16">
        <v>42634</v>
      </c>
    </row>
    <row r="834732" spans="1:1">
      <c r="A834732" s="16">
        <v>42635</v>
      </c>
    </row>
    <row r="834733" spans="1:1">
      <c r="A834733" s="16">
        <v>42636</v>
      </c>
    </row>
    <row r="834734" spans="1:1">
      <c r="A834734" s="16">
        <v>42639</v>
      </c>
    </row>
    <row r="834735" spans="1:1">
      <c r="A834735" s="16">
        <v>42640</v>
      </c>
    </row>
    <row r="834736" spans="1:1">
      <c r="A834736" s="16">
        <v>42641</v>
      </c>
    </row>
    <row r="834737" spans="1:1">
      <c r="A834737" s="16">
        <v>42642</v>
      </c>
    </row>
    <row r="834738" spans="1:1">
      <c r="A834738" s="16">
        <v>42643</v>
      </c>
    </row>
    <row r="834739" spans="1:1">
      <c r="A834739" s="16">
        <v>42653</v>
      </c>
    </row>
    <row r="834740" spans="1:1">
      <c r="A834740" s="16">
        <v>42654</v>
      </c>
    </row>
    <row r="834741" spans="1:1">
      <c r="A834741" s="16">
        <v>42655</v>
      </c>
    </row>
    <row r="834742" spans="1:1">
      <c r="A834742" s="16">
        <v>42656</v>
      </c>
    </row>
    <row r="834743" spans="1:1">
      <c r="A834743" s="16">
        <v>42657</v>
      </c>
    </row>
    <row r="834744" spans="1:1">
      <c r="A834744" s="16">
        <v>42660</v>
      </c>
    </row>
    <row r="834745" spans="1:1">
      <c r="A834745" s="16">
        <v>42661</v>
      </c>
    </row>
    <row r="834746" spans="1:1">
      <c r="A834746" s="16">
        <v>42662</v>
      </c>
    </row>
    <row r="834747" spans="1:1">
      <c r="A834747" s="16">
        <v>42663</v>
      </c>
    </row>
    <row r="834748" spans="1:1">
      <c r="A834748" s="16">
        <v>42664</v>
      </c>
    </row>
    <row r="834749" spans="1:1">
      <c r="A834749" s="16">
        <v>42667</v>
      </c>
    </row>
    <row r="834750" spans="1:1">
      <c r="A834750" s="16">
        <v>42668</v>
      </c>
    </row>
    <row r="834751" spans="1:1">
      <c r="A834751" s="16">
        <v>42669</v>
      </c>
    </row>
    <row r="834752" spans="1:1">
      <c r="A834752" s="16">
        <v>42670</v>
      </c>
    </row>
    <row r="834753" spans="1:1">
      <c r="A834753" s="16">
        <v>42671</v>
      </c>
    </row>
    <row r="834754" spans="1:1">
      <c r="A834754" s="16">
        <v>42674</v>
      </c>
    </row>
    <row r="834755" spans="1:1">
      <c r="A834755" s="16">
        <v>42675</v>
      </c>
    </row>
    <row r="834756" spans="1:1">
      <c r="A834756" s="16">
        <v>42676</v>
      </c>
    </row>
    <row r="834757" spans="1:1">
      <c r="A834757" s="16">
        <v>42677</v>
      </c>
    </row>
    <row r="834758" spans="1:1">
      <c r="A834758" s="16">
        <v>42678</v>
      </c>
    </row>
    <row r="851056" spans="1:1">
      <c r="A851056" s="16" t="s">
        <v>0</v>
      </c>
    </row>
    <row r="851057" spans="1:1">
      <c r="A851057" s="16" t="s">
        <v>1</v>
      </c>
    </row>
    <row r="851058" spans="1:1">
      <c r="A851058" s="16">
        <v>42551</v>
      </c>
    </row>
    <row r="851059" spans="1:1">
      <c r="A851059" s="16">
        <v>42552</v>
      </c>
    </row>
    <row r="851060" spans="1:1">
      <c r="A851060" s="16">
        <v>42555</v>
      </c>
    </row>
    <row r="851061" spans="1:1">
      <c r="A851061" s="16">
        <v>42556</v>
      </c>
    </row>
    <row r="851062" spans="1:1">
      <c r="A851062" s="16">
        <v>42557</v>
      </c>
    </row>
    <row r="851063" spans="1:1">
      <c r="A851063" s="16">
        <v>42558</v>
      </c>
    </row>
    <row r="851064" spans="1:1">
      <c r="A851064" s="16">
        <v>42559</v>
      </c>
    </row>
    <row r="851065" spans="1:1">
      <c r="A851065" s="16">
        <v>42562</v>
      </c>
    </row>
    <row r="851066" spans="1:1">
      <c r="A851066" s="16">
        <v>42563</v>
      </c>
    </row>
    <row r="851067" spans="1:1">
      <c r="A851067" s="16">
        <v>42564</v>
      </c>
    </row>
    <row r="851068" spans="1:1">
      <c r="A851068" s="16">
        <v>42565</v>
      </c>
    </row>
    <row r="851069" spans="1:1">
      <c r="A851069" s="16">
        <v>42566</v>
      </c>
    </row>
    <row r="851070" spans="1:1">
      <c r="A851070" s="16">
        <v>42569</v>
      </c>
    </row>
    <row r="851071" spans="1:1">
      <c r="A851071" s="16">
        <v>42570</v>
      </c>
    </row>
    <row r="851072" spans="1:1">
      <c r="A851072" s="16">
        <v>42571</v>
      </c>
    </row>
    <row r="851073" spans="1:1">
      <c r="A851073" s="16">
        <v>42572</v>
      </c>
    </row>
    <row r="851074" spans="1:1">
      <c r="A851074" s="16">
        <v>42573</v>
      </c>
    </row>
    <row r="851075" spans="1:1">
      <c r="A851075" s="16">
        <v>42576</v>
      </c>
    </row>
    <row r="851076" spans="1:1">
      <c r="A851076" s="16">
        <v>42577</v>
      </c>
    </row>
    <row r="851077" spans="1:1">
      <c r="A851077" s="16">
        <v>42578</v>
      </c>
    </row>
    <row r="851078" spans="1:1">
      <c r="A851078" s="16">
        <v>42579</v>
      </c>
    </row>
    <row r="851079" spans="1:1">
      <c r="A851079" s="16">
        <v>42580</v>
      </c>
    </row>
    <row r="851080" spans="1:1">
      <c r="A851080" s="16">
        <v>42583</v>
      </c>
    </row>
    <row r="851081" spans="1:1">
      <c r="A851081" s="16">
        <v>42584</v>
      </c>
    </row>
    <row r="851082" spans="1:1">
      <c r="A851082" s="16">
        <v>42585</v>
      </c>
    </row>
    <row r="851083" spans="1:1">
      <c r="A851083" s="16">
        <v>42586</v>
      </c>
    </row>
    <row r="851084" spans="1:1">
      <c r="A851084" s="16">
        <v>42587</v>
      </c>
    </row>
    <row r="851085" spans="1:1">
      <c r="A851085" s="16">
        <v>42590</v>
      </c>
    </row>
    <row r="851086" spans="1:1">
      <c r="A851086" s="16">
        <v>42591</v>
      </c>
    </row>
    <row r="851087" spans="1:1">
      <c r="A851087" s="16">
        <v>42592</v>
      </c>
    </row>
    <row r="851088" spans="1:1">
      <c r="A851088" s="16">
        <v>42593</v>
      </c>
    </row>
    <row r="851089" spans="1:1">
      <c r="A851089" s="16">
        <v>42594</v>
      </c>
    </row>
    <row r="851090" spans="1:1">
      <c r="A851090" s="16">
        <v>42597</v>
      </c>
    </row>
    <row r="851091" spans="1:1">
      <c r="A851091" s="16">
        <v>42598</v>
      </c>
    </row>
    <row r="851092" spans="1:1">
      <c r="A851092" s="16">
        <v>42599</v>
      </c>
    </row>
    <row r="851093" spans="1:1">
      <c r="A851093" s="16">
        <v>42600</v>
      </c>
    </row>
    <row r="851094" spans="1:1">
      <c r="A851094" s="16">
        <v>42601</v>
      </c>
    </row>
    <row r="851095" spans="1:1">
      <c r="A851095" s="16">
        <v>42604</v>
      </c>
    </row>
    <row r="851096" spans="1:1">
      <c r="A851096" s="16">
        <v>42605</v>
      </c>
    </row>
    <row r="851097" spans="1:1">
      <c r="A851097" s="16">
        <v>42606</v>
      </c>
    </row>
    <row r="851098" spans="1:1">
      <c r="A851098" s="16">
        <v>42607</v>
      </c>
    </row>
    <row r="851099" spans="1:1">
      <c r="A851099" s="16">
        <v>42608</v>
      </c>
    </row>
    <row r="851100" spans="1:1">
      <c r="A851100" s="16">
        <v>42611</v>
      </c>
    </row>
    <row r="851101" spans="1:1">
      <c r="A851101" s="16">
        <v>42612</v>
      </c>
    </row>
    <row r="851102" spans="1:1">
      <c r="A851102" s="16">
        <v>42613</v>
      </c>
    </row>
    <row r="851103" spans="1:1">
      <c r="A851103" s="16">
        <v>42614</v>
      </c>
    </row>
    <row r="851104" spans="1:1">
      <c r="A851104" s="16">
        <v>42615</v>
      </c>
    </row>
    <row r="851105" spans="1:1">
      <c r="A851105" s="16">
        <v>42618</v>
      </c>
    </row>
    <row r="851106" spans="1:1">
      <c r="A851106" s="16">
        <v>42619</v>
      </c>
    </row>
    <row r="851107" spans="1:1">
      <c r="A851107" s="16">
        <v>42620</v>
      </c>
    </row>
    <row r="851108" spans="1:1">
      <c r="A851108" s="16">
        <v>42621</v>
      </c>
    </row>
    <row r="851109" spans="1:1">
      <c r="A851109" s="16">
        <v>42622</v>
      </c>
    </row>
    <row r="851110" spans="1:1">
      <c r="A851110" s="16">
        <v>42625</v>
      </c>
    </row>
    <row r="851111" spans="1:1">
      <c r="A851111" s="16">
        <v>42626</v>
      </c>
    </row>
    <row r="851112" spans="1:1">
      <c r="A851112" s="16">
        <v>42627</v>
      </c>
    </row>
    <row r="851113" spans="1:1">
      <c r="A851113" s="16">
        <v>42632</v>
      </c>
    </row>
    <row r="851114" spans="1:1">
      <c r="A851114" s="16">
        <v>42633</v>
      </c>
    </row>
    <row r="851115" spans="1:1">
      <c r="A851115" s="16">
        <v>42634</v>
      </c>
    </row>
    <row r="851116" spans="1:1">
      <c r="A851116" s="16">
        <v>42635</v>
      </c>
    </row>
    <row r="851117" spans="1:1">
      <c r="A851117" s="16">
        <v>42636</v>
      </c>
    </row>
    <row r="851118" spans="1:1">
      <c r="A851118" s="16">
        <v>42639</v>
      </c>
    </row>
    <row r="851119" spans="1:1">
      <c r="A851119" s="16">
        <v>42640</v>
      </c>
    </row>
    <row r="851120" spans="1:1">
      <c r="A851120" s="16">
        <v>42641</v>
      </c>
    </row>
    <row r="851121" spans="1:1">
      <c r="A851121" s="16">
        <v>42642</v>
      </c>
    </row>
    <row r="851122" spans="1:1">
      <c r="A851122" s="16">
        <v>42643</v>
      </c>
    </row>
    <row r="851123" spans="1:1">
      <c r="A851123" s="16">
        <v>42653</v>
      </c>
    </row>
    <row r="851124" spans="1:1">
      <c r="A851124" s="16">
        <v>42654</v>
      </c>
    </row>
    <row r="851125" spans="1:1">
      <c r="A851125" s="16">
        <v>42655</v>
      </c>
    </row>
    <row r="851126" spans="1:1">
      <c r="A851126" s="16">
        <v>42656</v>
      </c>
    </row>
    <row r="851127" spans="1:1">
      <c r="A851127" s="16">
        <v>42657</v>
      </c>
    </row>
    <row r="851128" spans="1:1">
      <c r="A851128" s="16">
        <v>42660</v>
      </c>
    </row>
    <row r="851129" spans="1:1">
      <c r="A851129" s="16">
        <v>42661</v>
      </c>
    </row>
    <row r="851130" spans="1:1">
      <c r="A851130" s="16">
        <v>42662</v>
      </c>
    </row>
    <row r="851131" spans="1:1">
      <c r="A851131" s="16">
        <v>42663</v>
      </c>
    </row>
    <row r="851132" spans="1:1">
      <c r="A851132" s="16">
        <v>42664</v>
      </c>
    </row>
    <row r="851133" spans="1:1">
      <c r="A851133" s="16">
        <v>42667</v>
      </c>
    </row>
    <row r="851134" spans="1:1">
      <c r="A851134" s="16">
        <v>42668</v>
      </c>
    </row>
    <row r="851135" spans="1:1">
      <c r="A851135" s="16">
        <v>42669</v>
      </c>
    </row>
    <row r="851136" spans="1:1">
      <c r="A851136" s="16">
        <v>42670</v>
      </c>
    </row>
    <row r="851137" spans="1:1">
      <c r="A851137" s="16">
        <v>42671</v>
      </c>
    </row>
    <row r="851138" spans="1:1">
      <c r="A851138" s="16">
        <v>42674</v>
      </c>
    </row>
    <row r="851139" spans="1:1">
      <c r="A851139" s="16">
        <v>42675</v>
      </c>
    </row>
    <row r="851140" spans="1:1">
      <c r="A851140" s="16">
        <v>42676</v>
      </c>
    </row>
    <row r="851141" spans="1:1">
      <c r="A851141" s="16">
        <v>42677</v>
      </c>
    </row>
    <row r="851142" spans="1:1">
      <c r="A851142" s="16">
        <v>42678</v>
      </c>
    </row>
    <row r="867440" spans="1:1">
      <c r="A867440" s="16" t="s">
        <v>0</v>
      </c>
    </row>
    <row r="867441" spans="1:1">
      <c r="A867441" s="16" t="s">
        <v>1</v>
      </c>
    </row>
    <row r="867442" spans="1:1">
      <c r="A867442" s="16">
        <v>42551</v>
      </c>
    </row>
    <row r="867443" spans="1:1">
      <c r="A867443" s="16">
        <v>42552</v>
      </c>
    </row>
    <row r="867444" spans="1:1">
      <c r="A867444" s="16">
        <v>42555</v>
      </c>
    </row>
    <row r="867445" spans="1:1">
      <c r="A867445" s="16">
        <v>42556</v>
      </c>
    </row>
    <row r="867446" spans="1:1">
      <c r="A867446" s="16">
        <v>42557</v>
      </c>
    </row>
    <row r="867447" spans="1:1">
      <c r="A867447" s="16">
        <v>42558</v>
      </c>
    </row>
    <row r="867448" spans="1:1">
      <c r="A867448" s="16">
        <v>42559</v>
      </c>
    </row>
    <row r="867449" spans="1:1">
      <c r="A867449" s="16">
        <v>42562</v>
      </c>
    </row>
    <row r="867450" spans="1:1">
      <c r="A867450" s="16">
        <v>42563</v>
      </c>
    </row>
    <row r="867451" spans="1:1">
      <c r="A867451" s="16">
        <v>42564</v>
      </c>
    </row>
    <row r="867452" spans="1:1">
      <c r="A867452" s="16">
        <v>42565</v>
      </c>
    </row>
    <row r="867453" spans="1:1">
      <c r="A867453" s="16">
        <v>42566</v>
      </c>
    </row>
    <row r="867454" spans="1:1">
      <c r="A867454" s="16">
        <v>42569</v>
      </c>
    </row>
    <row r="867455" spans="1:1">
      <c r="A867455" s="16">
        <v>42570</v>
      </c>
    </row>
    <row r="867456" spans="1:1">
      <c r="A867456" s="16">
        <v>42571</v>
      </c>
    </row>
    <row r="867457" spans="1:1">
      <c r="A867457" s="16">
        <v>42572</v>
      </c>
    </row>
    <row r="867458" spans="1:1">
      <c r="A867458" s="16">
        <v>42573</v>
      </c>
    </row>
    <row r="867459" spans="1:1">
      <c r="A867459" s="16">
        <v>42576</v>
      </c>
    </row>
    <row r="867460" spans="1:1">
      <c r="A867460" s="16">
        <v>42577</v>
      </c>
    </row>
    <row r="867461" spans="1:1">
      <c r="A867461" s="16">
        <v>42578</v>
      </c>
    </row>
    <row r="867462" spans="1:1">
      <c r="A867462" s="16">
        <v>42579</v>
      </c>
    </row>
    <row r="867463" spans="1:1">
      <c r="A867463" s="16">
        <v>42580</v>
      </c>
    </row>
    <row r="867464" spans="1:1">
      <c r="A867464" s="16">
        <v>42583</v>
      </c>
    </row>
    <row r="867465" spans="1:1">
      <c r="A867465" s="16">
        <v>42584</v>
      </c>
    </row>
    <row r="867466" spans="1:1">
      <c r="A867466" s="16">
        <v>42585</v>
      </c>
    </row>
    <row r="867467" spans="1:1">
      <c r="A867467" s="16">
        <v>42586</v>
      </c>
    </row>
    <row r="867468" spans="1:1">
      <c r="A867468" s="16">
        <v>42587</v>
      </c>
    </row>
    <row r="867469" spans="1:1">
      <c r="A867469" s="16">
        <v>42590</v>
      </c>
    </row>
    <row r="867470" spans="1:1">
      <c r="A867470" s="16">
        <v>42591</v>
      </c>
    </row>
    <row r="867471" spans="1:1">
      <c r="A867471" s="16">
        <v>42592</v>
      </c>
    </row>
    <row r="867472" spans="1:1">
      <c r="A867472" s="16">
        <v>42593</v>
      </c>
    </row>
    <row r="867473" spans="1:1">
      <c r="A867473" s="16">
        <v>42594</v>
      </c>
    </row>
    <row r="867474" spans="1:1">
      <c r="A867474" s="16">
        <v>42597</v>
      </c>
    </row>
    <row r="867475" spans="1:1">
      <c r="A867475" s="16">
        <v>42598</v>
      </c>
    </row>
    <row r="867476" spans="1:1">
      <c r="A867476" s="16">
        <v>42599</v>
      </c>
    </row>
    <row r="867477" spans="1:1">
      <c r="A867477" s="16">
        <v>42600</v>
      </c>
    </row>
    <row r="867478" spans="1:1">
      <c r="A867478" s="16">
        <v>42601</v>
      </c>
    </row>
    <row r="867479" spans="1:1">
      <c r="A867479" s="16">
        <v>42604</v>
      </c>
    </row>
    <row r="867480" spans="1:1">
      <c r="A867480" s="16">
        <v>42605</v>
      </c>
    </row>
    <row r="867481" spans="1:1">
      <c r="A867481" s="16">
        <v>42606</v>
      </c>
    </row>
    <row r="867482" spans="1:1">
      <c r="A867482" s="16">
        <v>42607</v>
      </c>
    </row>
    <row r="867483" spans="1:1">
      <c r="A867483" s="16">
        <v>42608</v>
      </c>
    </row>
    <row r="867484" spans="1:1">
      <c r="A867484" s="16">
        <v>42611</v>
      </c>
    </row>
    <row r="867485" spans="1:1">
      <c r="A867485" s="16">
        <v>42612</v>
      </c>
    </row>
    <row r="867486" spans="1:1">
      <c r="A867486" s="16">
        <v>42613</v>
      </c>
    </row>
    <row r="867487" spans="1:1">
      <c r="A867487" s="16">
        <v>42614</v>
      </c>
    </row>
    <row r="867488" spans="1:1">
      <c r="A867488" s="16">
        <v>42615</v>
      </c>
    </row>
    <row r="867489" spans="1:1">
      <c r="A867489" s="16">
        <v>42618</v>
      </c>
    </row>
    <row r="867490" spans="1:1">
      <c r="A867490" s="16">
        <v>42619</v>
      </c>
    </row>
    <row r="867491" spans="1:1">
      <c r="A867491" s="16">
        <v>42620</v>
      </c>
    </row>
    <row r="867492" spans="1:1">
      <c r="A867492" s="16">
        <v>42621</v>
      </c>
    </row>
    <row r="867493" spans="1:1">
      <c r="A867493" s="16">
        <v>42622</v>
      </c>
    </row>
    <row r="867494" spans="1:1">
      <c r="A867494" s="16">
        <v>42625</v>
      </c>
    </row>
    <row r="867495" spans="1:1">
      <c r="A867495" s="16">
        <v>42626</v>
      </c>
    </row>
    <row r="867496" spans="1:1">
      <c r="A867496" s="16">
        <v>42627</v>
      </c>
    </row>
    <row r="867497" spans="1:1">
      <c r="A867497" s="16">
        <v>42632</v>
      </c>
    </row>
    <row r="867498" spans="1:1">
      <c r="A867498" s="16">
        <v>42633</v>
      </c>
    </row>
    <row r="867499" spans="1:1">
      <c r="A867499" s="16">
        <v>42634</v>
      </c>
    </row>
    <row r="867500" spans="1:1">
      <c r="A867500" s="16">
        <v>42635</v>
      </c>
    </row>
    <row r="867501" spans="1:1">
      <c r="A867501" s="16">
        <v>42636</v>
      </c>
    </row>
    <row r="867502" spans="1:1">
      <c r="A867502" s="16">
        <v>42639</v>
      </c>
    </row>
    <row r="867503" spans="1:1">
      <c r="A867503" s="16">
        <v>42640</v>
      </c>
    </row>
    <row r="867504" spans="1:1">
      <c r="A867504" s="16">
        <v>42641</v>
      </c>
    </row>
    <row r="867505" spans="1:1">
      <c r="A867505" s="16">
        <v>42642</v>
      </c>
    </row>
    <row r="867506" spans="1:1">
      <c r="A867506" s="16">
        <v>42643</v>
      </c>
    </row>
    <row r="867507" spans="1:1">
      <c r="A867507" s="16">
        <v>42653</v>
      </c>
    </row>
    <row r="867508" spans="1:1">
      <c r="A867508" s="16">
        <v>42654</v>
      </c>
    </row>
    <row r="867509" spans="1:1">
      <c r="A867509" s="16">
        <v>42655</v>
      </c>
    </row>
    <row r="867510" spans="1:1">
      <c r="A867510" s="16">
        <v>42656</v>
      </c>
    </row>
    <row r="867511" spans="1:1">
      <c r="A867511" s="16">
        <v>42657</v>
      </c>
    </row>
    <row r="867512" spans="1:1">
      <c r="A867512" s="16">
        <v>42660</v>
      </c>
    </row>
    <row r="867513" spans="1:1">
      <c r="A867513" s="16">
        <v>42661</v>
      </c>
    </row>
    <row r="867514" spans="1:1">
      <c r="A867514" s="16">
        <v>42662</v>
      </c>
    </row>
    <row r="867515" spans="1:1">
      <c r="A867515" s="16">
        <v>42663</v>
      </c>
    </row>
    <row r="867516" spans="1:1">
      <c r="A867516" s="16">
        <v>42664</v>
      </c>
    </row>
    <row r="867517" spans="1:1">
      <c r="A867517" s="16">
        <v>42667</v>
      </c>
    </row>
    <row r="867518" spans="1:1">
      <c r="A867518" s="16">
        <v>42668</v>
      </c>
    </row>
    <row r="867519" spans="1:1">
      <c r="A867519" s="16">
        <v>42669</v>
      </c>
    </row>
    <row r="867520" spans="1:1">
      <c r="A867520" s="16">
        <v>42670</v>
      </c>
    </row>
    <row r="867521" spans="1:1">
      <c r="A867521" s="16">
        <v>42671</v>
      </c>
    </row>
    <row r="867522" spans="1:1">
      <c r="A867522" s="16">
        <v>42674</v>
      </c>
    </row>
    <row r="867523" spans="1:1">
      <c r="A867523" s="16">
        <v>42675</v>
      </c>
    </row>
    <row r="867524" spans="1:1">
      <c r="A867524" s="16">
        <v>42676</v>
      </c>
    </row>
    <row r="867525" spans="1:1">
      <c r="A867525" s="16">
        <v>42677</v>
      </c>
    </row>
    <row r="867526" spans="1:1">
      <c r="A867526" s="16">
        <v>42678</v>
      </c>
    </row>
    <row r="883824" spans="1:1">
      <c r="A883824" s="16" t="s">
        <v>0</v>
      </c>
    </row>
    <row r="883825" spans="1:1">
      <c r="A883825" s="16" t="s">
        <v>1</v>
      </c>
    </row>
    <row r="883826" spans="1:1">
      <c r="A883826" s="16">
        <v>42551</v>
      </c>
    </row>
    <row r="883827" spans="1:1">
      <c r="A883827" s="16">
        <v>42552</v>
      </c>
    </row>
    <row r="883828" spans="1:1">
      <c r="A883828" s="16">
        <v>42555</v>
      </c>
    </row>
    <row r="883829" spans="1:1">
      <c r="A883829" s="16">
        <v>42556</v>
      </c>
    </row>
    <row r="883830" spans="1:1">
      <c r="A883830" s="16">
        <v>42557</v>
      </c>
    </row>
    <row r="883831" spans="1:1">
      <c r="A883831" s="16">
        <v>42558</v>
      </c>
    </row>
    <row r="883832" spans="1:1">
      <c r="A883832" s="16">
        <v>42559</v>
      </c>
    </row>
    <row r="883833" spans="1:1">
      <c r="A883833" s="16">
        <v>42562</v>
      </c>
    </row>
    <row r="883834" spans="1:1">
      <c r="A883834" s="16">
        <v>42563</v>
      </c>
    </row>
    <row r="883835" spans="1:1">
      <c r="A883835" s="16">
        <v>42564</v>
      </c>
    </row>
    <row r="883836" spans="1:1">
      <c r="A883836" s="16">
        <v>42565</v>
      </c>
    </row>
    <row r="883837" spans="1:1">
      <c r="A883837" s="16">
        <v>42566</v>
      </c>
    </row>
    <row r="883838" spans="1:1">
      <c r="A883838" s="16">
        <v>42569</v>
      </c>
    </row>
    <row r="883839" spans="1:1">
      <c r="A883839" s="16">
        <v>42570</v>
      </c>
    </row>
    <row r="883840" spans="1:1">
      <c r="A883840" s="16">
        <v>42571</v>
      </c>
    </row>
    <row r="883841" spans="1:1">
      <c r="A883841" s="16">
        <v>42572</v>
      </c>
    </row>
    <row r="883842" spans="1:1">
      <c r="A883842" s="16">
        <v>42573</v>
      </c>
    </row>
    <row r="883843" spans="1:1">
      <c r="A883843" s="16">
        <v>42576</v>
      </c>
    </row>
    <row r="883844" spans="1:1">
      <c r="A883844" s="16">
        <v>42577</v>
      </c>
    </row>
    <row r="883845" spans="1:1">
      <c r="A883845" s="16">
        <v>42578</v>
      </c>
    </row>
    <row r="883846" spans="1:1">
      <c r="A883846" s="16">
        <v>42579</v>
      </c>
    </row>
    <row r="883847" spans="1:1">
      <c r="A883847" s="16">
        <v>42580</v>
      </c>
    </row>
    <row r="883848" spans="1:1">
      <c r="A883848" s="16">
        <v>42583</v>
      </c>
    </row>
    <row r="883849" spans="1:1">
      <c r="A883849" s="16">
        <v>42584</v>
      </c>
    </row>
    <row r="883850" spans="1:1">
      <c r="A883850" s="16">
        <v>42585</v>
      </c>
    </row>
    <row r="883851" spans="1:1">
      <c r="A883851" s="16">
        <v>42586</v>
      </c>
    </row>
    <row r="883852" spans="1:1">
      <c r="A883852" s="16">
        <v>42587</v>
      </c>
    </row>
    <row r="883853" spans="1:1">
      <c r="A883853" s="16">
        <v>42590</v>
      </c>
    </row>
    <row r="883854" spans="1:1">
      <c r="A883854" s="16">
        <v>42591</v>
      </c>
    </row>
    <row r="883855" spans="1:1">
      <c r="A883855" s="16">
        <v>42592</v>
      </c>
    </row>
    <row r="883856" spans="1:1">
      <c r="A883856" s="16">
        <v>42593</v>
      </c>
    </row>
    <row r="883857" spans="1:1">
      <c r="A883857" s="16">
        <v>42594</v>
      </c>
    </row>
    <row r="883858" spans="1:1">
      <c r="A883858" s="16">
        <v>42597</v>
      </c>
    </row>
    <row r="883859" spans="1:1">
      <c r="A883859" s="16">
        <v>42598</v>
      </c>
    </row>
    <row r="883860" spans="1:1">
      <c r="A883860" s="16">
        <v>42599</v>
      </c>
    </row>
    <row r="883861" spans="1:1">
      <c r="A883861" s="16">
        <v>42600</v>
      </c>
    </row>
    <row r="883862" spans="1:1">
      <c r="A883862" s="16">
        <v>42601</v>
      </c>
    </row>
    <row r="883863" spans="1:1">
      <c r="A883863" s="16">
        <v>42604</v>
      </c>
    </row>
    <row r="883864" spans="1:1">
      <c r="A883864" s="16">
        <v>42605</v>
      </c>
    </row>
    <row r="883865" spans="1:1">
      <c r="A883865" s="16">
        <v>42606</v>
      </c>
    </row>
    <row r="883866" spans="1:1">
      <c r="A883866" s="16">
        <v>42607</v>
      </c>
    </row>
    <row r="883867" spans="1:1">
      <c r="A883867" s="16">
        <v>42608</v>
      </c>
    </row>
    <row r="883868" spans="1:1">
      <c r="A883868" s="16">
        <v>42611</v>
      </c>
    </row>
    <row r="883869" spans="1:1">
      <c r="A883869" s="16">
        <v>42612</v>
      </c>
    </row>
    <row r="883870" spans="1:1">
      <c r="A883870" s="16">
        <v>42613</v>
      </c>
    </row>
    <row r="883871" spans="1:1">
      <c r="A883871" s="16">
        <v>42614</v>
      </c>
    </row>
    <row r="883872" spans="1:1">
      <c r="A883872" s="16">
        <v>42615</v>
      </c>
    </row>
    <row r="883873" spans="1:1">
      <c r="A883873" s="16">
        <v>42618</v>
      </c>
    </row>
    <row r="883874" spans="1:1">
      <c r="A883874" s="16">
        <v>42619</v>
      </c>
    </row>
    <row r="883875" spans="1:1">
      <c r="A883875" s="16">
        <v>42620</v>
      </c>
    </row>
    <row r="883876" spans="1:1">
      <c r="A883876" s="16">
        <v>42621</v>
      </c>
    </row>
    <row r="883877" spans="1:1">
      <c r="A883877" s="16">
        <v>42622</v>
      </c>
    </row>
    <row r="883878" spans="1:1">
      <c r="A883878" s="16">
        <v>42625</v>
      </c>
    </row>
    <row r="883879" spans="1:1">
      <c r="A883879" s="16">
        <v>42626</v>
      </c>
    </row>
    <row r="883880" spans="1:1">
      <c r="A883880" s="16">
        <v>42627</v>
      </c>
    </row>
    <row r="883881" spans="1:1">
      <c r="A883881" s="16">
        <v>42632</v>
      </c>
    </row>
    <row r="883882" spans="1:1">
      <c r="A883882" s="16">
        <v>42633</v>
      </c>
    </row>
    <row r="883883" spans="1:1">
      <c r="A883883" s="16">
        <v>42634</v>
      </c>
    </row>
    <row r="883884" spans="1:1">
      <c r="A883884" s="16">
        <v>42635</v>
      </c>
    </row>
    <row r="883885" spans="1:1">
      <c r="A883885" s="16">
        <v>42636</v>
      </c>
    </row>
    <row r="883886" spans="1:1">
      <c r="A883886" s="16">
        <v>42639</v>
      </c>
    </row>
    <row r="883887" spans="1:1">
      <c r="A883887" s="16">
        <v>42640</v>
      </c>
    </row>
    <row r="883888" spans="1:1">
      <c r="A883888" s="16">
        <v>42641</v>
      </c>
    </row>
    <row r="883889" spans="1:1">
      <c r="A883889" s="16">
        <v>42642</v>
      </c>
    </row>
    <row r="883890" spans="1:1">
      <c r="A883890" s="16">
        <v>42643</v>
      </c>
    </row>
    <row r="883891" spans="1:1">
      <c r="A883891" s="16">
        <v>42653</v>
      </c>
    </row>
    <row r="883892" spans="1:1">
      <c r="A883892" s="16">
        <v>42654</v>
      </c>
    </row>
    <row r="883893" spans="1:1">
      <c r="A883893" s="16">
        <v>42655</v>
      </c>
    </row>
    <row r="883894" spans="1:1">
      <c r="A883894" s="16">
        <v>42656</v>
      </c>
    </row>
    <row r="883895" spans="1:1">
      <c r="A883895" s="16">
        <v>42657</v>
      </c>
    </row>
    <row r="883896" spans="1:1">
      <c r="A883896" s="16">
        <v>42660</v>
      </c>
    </row>
    <row r="883897" spans="1:1">
      <c r="A883897" s="16">
        <v>42661</v>
      </c>
    </row>
    <row r="883898" spans="1:1">
      <c r="A883898" s="16">
        <v>42662</v>
      </c>
    </row>
    <row r="883899" spans="1:1">
      <c r="A883899" s="16">
        <v>42663</v>
      </c>
    </row>
    <row r="883900" spans="1:1">
      <c r="A883900" s="16">
        <v>42664</v>
      </c>
    </row>
    <row r="883901" spans="1:1">
      <c r="A883901" s="16">
        <v>42667</v>
      </c>
    </row>
    <row r="883902" spans="1:1">
      <c r="A883902" s="16">
        <v>42668</v>
      </c>
    </row>
    <row r="883903" spans="1:1">
      <c r="A883903" s="16">
        <v>42669</v>
      </c>
    </row>
    <row r="883904" spans="1:1">
      <c r="A883904" s="16">
        <v>42670</v>
      </c>
    </row>
    <row r="883905" spans="1:1">
      <c r="A883905" s="16">
        <v>42671</v>
      </c>
    </row>
    <row r="883906" spans="1:1">
      <c r="A883906" s="16">
        <v>42674</v>
      </c>
    </row>
    <row r="883907" spans="1:1">
      <c r="A883907" s="16">
        <v>42675</v>
      </c>
    </row>
    <row r="883908" spans="1:1">
      <c r="A883908" s="16">
        <v>42676</v>
      </c>
    </row>
    <row r="883909" spans="1:1">
      <c r="A883909" s="16">
        <v>42677</v>
      </c>
    </row>
    <row r="883910" spans="1:1">
      <c r="A883910" s="16">
        <v>42678</v>
      </c>
    </row>
    <row r="900208" spans="1:1">
      <c r="A900208" s="16" t="s">
        <v>0</v>
      </c>
    </row>
    <row r="900209" spans="1:1">
      <c r="A900209" s="16" t="s">
        <v>1</v>
      </c>
    </row>
    <row r="900210" spans="1:1">
      <c r="A900210" s="16">
        <v>42551</v>
      </c>
    </row>
    <row r="900211" spans="1:1">
      <c r="A900211" s="16">
        <v>42552</v>
      </c>
    </row>
    <row r="900212" spans="1:1">
      <c r="A900212" s="16">
        <v>42555</v>
      </c>
    </row>
    <row r="900213" spans="1:1">
      <c r="A900213" s="16">
        <v>42556</v>
      </c>
    </row>
    <row r="900214" spans="1:1">
      <c r="A900214" s="16">
        <v>42557</v>
      </c>
    </row>
    <row r="900215" spans="1:1">
      <c r="A900215" s="16">
        <v>42558</v>
      </c>
    </row>
    <row r="900216" spans="1:1">
      <c r="A900216" s="16">
        <v>42559</v>
      </c>
    </row>
    <row r="900217" spans="1:1">
      <c r="A900217" s="16">
        <v>42562</v>
      </c>
    </row>
    <row r="900218" spans="1:1">
      <c r="A900218" s="16">
        <v>42563</v>
      </c>
    </row>
    <row r="900219" spans="1:1">
      <c r="A900219" s="16">
        <v>42564</v>
      </c>
    </row>
    <row r="900220" spans="1:1">
      <c r="A900220" s="16">
        <v>42565</v>
      </c>
    </row>
    <row r="900221" spans="1:1">
      <c r="A900221" s="16">
        <v>42566</v>
      </c>
    </row>
    <row r="900222" spans="1:1">
      <c r="A900222" s="16">
        <v>42569</v>
      </c>
    </row>
    <row r="900223" spans="1:1">
      <c r="A900223" s="16">
        <v>42570</v>
      </c>
    </row>
    <row r="900224" spans="1:1">
      <c r="A900224" s="16">
        <v>42571</v>
      </c>
    </row>
    <row r="900225" spans="1:1">
      <c r="A900225" s="16">
        <v>42572</v>
      </c>
    </row>
    <row r="900226" spans="1:1">
      <c r="A900226" s="16">
        <v>42573</v>
      </c>
    </row>
    <row r="900227" spans="1:1">
      <c r="A900227" s="16">
        <v>42576</v>
      </c>
    </row>
    <row r="900228" spans="1:1">
      <c r="A900228" s="16">
        <v>42577</v>
      </c>
    </row>
    <row r="900229" spans="1:1">
      <c r="A900229" s="16">
        <v>42578</v>
      </c>
    </row>
    <row r="900230" spans="1:1">
      <c r="A900230" s="16">
        <v>42579</v>
      </c>
    </row>
    <row r="900231" spans="1:1">
      <c r="A900231" s="16">
        <v>42580</v>
      </c>
    </row>
    <row r="900232" spans="1:1">
      <c r="A900232" s="16">
        <v>42583</v>
      </c>
    </row>
    <row r="900233" spans="1:1">
      <c r="A900233" s="16">
        <v>42584</v>
      </c>
    </row>
    <row r="900234" spans="1:1">
      <c r="A900234" s="16">
        <v>42585</v>
      </c>
    </row>
    <row r="900235" spans="1:1">
      <c r="A900235" s="16">
        <v>42586</v>
      </c>
    </row>
    <row r="900236" spans="1:1">
      <c r="A900236" s="16">
        <v>42587</v>
      </c>
    </row>
    <row r="900237" spans="1:1">
      <c r="A900237" s="16">
        <v>42590</v>
      </c>
    </row>
    <row r="900238" spans="1:1">
      <c r="A900238" s="16">
        <v>42591</v>
      </c>
    </row>
    <row r="900239" spans="1:1">
      <c r="A900239" s="16">
        <v>42592</v>
      </c>
    </row>
    <row r="900240" spans="1:1">
      <c r="A900240" s="16">
        <v>42593</v>
      </c>
    </row>
    <row r="900241" spans="1:1">
      <c r="A900241" s="16">
        <v>42594</v>
      </c>
    </row>
    <row r="900242" spans="1:1">
      <c r="A900242" s="16">
        <v>42597</v>
      </c>
    </row>
    <row r="900243" spans="1:1">
      <c r="A900243" s="16">
        <v>42598</v>
      </c>
    </row>
    <row r="900244" spans="1:1">
      <c r="A900244" s="16">
        <v>42599</v>
      </c>
    </row>
    <row r="900245" spans="1:1">
      <c r="A900245" s="16">
        <v>42600</v>
      </c>
    </row>
    <row r="900246" spans="1:1">
      <c r="A900246" s="16">
        <v>42601</v>
      </c>
    </row>
    <row r="900247" spans="1:1">
      <c r="A900247" s="16">
        <v>42604</v>
      </c>
    </row>
    <row r="900248" spans="1:1">
      <c r="A900248" s="16">
        <v>42605</v>
      </c>
    </row>
    <row r="900249" spans="1:1">
      <c r="A900249" s="16">
        <v>42606</v>
      </c>
    </row>
    <row r="900250" spans="1:1">
      <c r="A900250" s="16">
        <v>42607</v>
      </c>
    </row>
    <row r="900251" spans="1:1">
      <c r="A900251" s="16">
        <v>42608</v>
      </c>
    </row>
    <row r="900252" spans="1:1">
      <c r="A900252" s="16">
        <v>42611</v>
      </c>
    </row>
    <row r="900253" spans="1:1">
      <c r="A900253" s="16">
        <v>42612</v>
      </c>
    </row>
    <row r="900254" spans="1:1">
      <c r="A900254" s="16">
        <v>42613</v>
      </c>
    </row>
    <row r="900255" spans="1:1">
      <c r="A900255" s="16">
        <v>42614</v>
      </c>
    </row>
    <row r="900256" spans="1:1">
      <c r="A900256" s="16">
        <v>42615</v>
      </c>
    </row>
    <row r="900257" spans="1:1">
      <c r="A900257" s="16">
        <v>42618</v>
      </c>
    </row>
    <row r="900258" spans="1:1">
      <c r="A900258" s="16">
        <v>42619</v>
      </c>
    </row>
    <row r="900259" spans="1:1">
      <c r="A900259" s="16">
        <v>42620</v>
      </c>
    </row>
    <row r="900260" spans="1:1">
      <c r="A900260" s="16">
        <v>42621</v>
      </c>
    </row>
    <row r="900261" spans="1:1">
      <c r="A900261" s="16">
        <v>42622</v>
      </c>
    </row>
    <row r="900262" spans="1:1">
      <c r="A900262" s="16">
        <v>42625</v>
      </c>
    </row>
    <row r="900263" spans="1:1">
      <c r="A900263" s="16">
        <v>42626</v>
      </c>
    </row>
    <row r="900264" spans="1:1">
      <c r="A900264" s="16">
        <v>42627</v>
      </c>
    </row>
    <row r="900265" spans="1:1">
      <c r="A900265" s="16">
        <v>42632</v>
      </c>
    </row>
    <row r="900266" spans="1:1">
      <c r="A900266" s="16">
        <v>42633</v>
      </c>
    </row>
    <row r="900267" spans="1:1">
      <c r="A900267" s="16">
        <v>42634</v>
      </c>
    </row>
    <row r="900268" spans="1:1">
      <c r="A900268" s="16">
        <v>42635</v>
      </c>
    </row>
    <row r="900269" spans="1:1">
      <c r="A900269" s="16">
        <v>42636</v>
      </c>
    </row>
    <row r="900270" spans="1:1">
      <c r="A900270" s="16">
        <v>42639</v>
      </c>
    </row>
    <row r="900271" spans="1:1">
      <c r="A900271" s="16">
        <v>42640</v>
      </c>
    </row>
    <row r="900272" spans="1:1">
      <c r="A900272" s="16">
        <v>42641</v>
      </c>
    </row>
    <row r="900273" spans="1:1">
      <c r="A900273" s="16">
        <v>42642</v>
      </c>
    </row>
    <row r="900274" spans="1:1">
      <c r="A900274" s="16">
        <v>42643</v>
      </c>
    </row>
    <row r="900275" spans="1:1">
      <c r="A900275" s="16">
        <v>42653</v>
      </c>
    </row>
    <row r="900276" spans="1:1">
      <c r="A900276" s="16">
        <v>42654</v>
      </c>
    </row>
    <row r="900277" spans="1:1">
      <c r="A900277" s="16">
        <v>42655</v>
      </c>
    </row>
    <row r="900278" spans="1:1">
      <c r="A900278" s="16">
        <v>42656</v>
      </c>
    </row>
    <row r="900279" spans="1:1">
      <c r="A900279" s="16">
        <v>42657</v>
      </c>
    </row>
    <row r="900280" spans="1:1">
      <c r="A900280" s="16">
        <v>42660</v>
      </c>
    </row>
    <row r="900281" spans="1:1">
      <c r="A900281" s="16">
        <v>42661</v>
      </c>
    </row>
    <row r="900282" spans="1:1">
      <c r="A900282" s="16">
        <v>42662</v>
      </c>
    </row>
    <row r="900283" spans="1:1">
      <c r="A900283" s="16">
        <v>42663</v>
      </c>
    </row>
    <row r="900284" spans="1:1">
      <c r="A900284" s="16">
        <v>42664</v>
      </c>
    </row>
    <row r="900285" spans="1:1">
      <c r="A900285" s="16">
        <v>42667</v>
      </c>
    </row>
    <row r="900286" spans="1:1">
      <c r="A900286" s="16">
        <v>42668</v>
      </c>
    </row>
    <row r="900287" spans="1:1">
      <c r="A900287" s="16">
        <v>42669</v>
      </c>
    </row>
    <row r="900288" spans="1:1">
      <c r="A900288" s="16">
        <v>42670</v>
      </c>
    </row>
    <row r="900289" spans="1:1">
      <c r="A900289" s="16">
        <v>42671</v>
      </c>
    </row>
    <row r="900290" spans="1:1">
      <c r="A900290" s="16">
        <v>42674</v>
      </c>
    </row>
    <row r="900291" spans="1:1">
      <c r="A900291" s="16">
        <v>42675</v>
      </c>
    </row>
    <row r="900292" spans="1:1">
      <c r="A900292" s="16">
        <v>42676</v>
      </c>
    </row>
    <row r="900293" spans="1:1">
      <c r="A900293" s="16">
        <v>42677</v>
      </c>
    </row>
    <row r="900294" spans="1:1">
      <c r="A900294" s="16">
        <v>42678</v>
      </c>
    </row>
    <row r="916592" spans="1:1">
      <c r="A916592" s="16" t="s">
        <v>0</v>
      </c>
    </row>
    <row r="916593" spans="1:1">
      <c r="A916593" s="16" t="s">
        <v>1</v>
      </c>
    </row>
    <row r="916594" spans="1:1">
      <c r="A916594" s="16">
        <v>42551</v>
      </c>
    </row>
    <row r="916595" spans="1:1">
      <c r="A916595" s="16">
        <v>42552</v>
      </c>
    </row>
    <row r="916596" spans="1:1">
      <c r="A916596" s="16">
        <v>42555</v>
      </c>
    </row>
    <row r="916597" spans="1:1">
      <c r="A916597" s="16">
        <v>42556</v>
      </c>
    </row>
    <row r="916598" spans="1:1">
      <c r="A916598" s="16">
        <v>42557</v>
      </c>
    </row>
    <row r="916599" spans="1:1">
      <c r="A916599" s="16">
        <v>42558</v>
      </c>
    </row>
    <row r="916600" spans="1:1">
      <c r="A916600" s="16">
        <v>42559</v>
      </c>
    </row>
    <row r="916601" spans="1:1">
      <c r="A916601" s="16">
        <v>42562</v>
      </c>
    </row>
    <row r="916602" spans="1:1">
      <c r="A916602" s="16">
        <v>42563</v>
      </c>
    </row>
    <row r="916603" spans="1:1">
      <c r="A916603" s="16">
        <v>42564</v>
      </c>
    </row>
    <row r="916604" spans="1:1">
      <c r="A916604" s="16">
        <v>42565</v>
      </c>
    </row>
    <row r="916605" spans="1:1">
      <c r="A916605" s="16">
        <v>42566</v>
      </c>
    </row>
    <row r="916606" spans="1:1">
      <c r="A916606" s="16">
        <v>42569</v>
      </c>
    </row>
    <row r="916607" spans="1:1">
      <c r="A916607" s="16">
        <v>42570</v>
      </c>
    </row>
    <row r="916608" spans="1:1">
      <c r="A916608" s="16">
        <v>42571</v>
      </c>
    </row>
    <row r="916609" spans="1:1">
      <c r="A916609" s="16">
        <v>42572</v>
      </c>
    </row>
    <row r="916610" spans="1:1">
      <c r="A916610" s="16">
        <v>42573</v>
      </c>
    </row>
    <row r="916611" spans="1:1">
      <c r="A916611" s="16">
        <v>42576</v>
      </c>
    </row>
    <row r="916612" spans="1:1">
      <c r="A916612" s="16">
        <v>42577</v>
      </c>
    </row>
    <row r="916613" spans="1:1">
      <c r="A916613" s="16">
        <v>42578</v>
      </c>
    </row>
    <row r="916614" spans="1:1">
      <c r="A916614" s="16">
        <v>42579</v>
      </c>
    </row>
    <row r="916615" spans="1:1">
      <c r="A916615" s="16">
        <v>42580</v>
      </c>
    </row>
    <row r="916616" spans="1:1">
      <c r="A916616" s="16">
        <v>42583</v>
      </c>
    </row>
    <row r="916617" spans="1:1">
      <c r="A916617" s="16">
        <v>42584</v>
      </c>
    </row>
    <row r="916618" spans="1:1">
      <c r="A916618" s="16">
        <v>42585</v>
      </c>
    </row>
    <row r="916619" spans="1:1">
      <c r="A916619" s="16">
        <v>42586</v>
      </c>
    </row>
    <row r="916620" spans="1:1">
      <c r="A916620" s="16">
        <v>42587</v>
      </c>
    </row>
    <row r="916621" spans="1:1">
      <c r="A916621" s="16">
        <v>42590</v>
      </c>
    </row>
    <row r="916622" spans="1:1">
      <c r="A916622" s="16">
        <v>42591</v>
      </c>
    </row>
    <row r="916623" spans="1:1">
      <c r="A916623" s="16">
        <v>42592</v>
      </c>
    </row>
    <row r="916624" spans="1:1">
      <c r="A916624" s="16">
        <v>42593</v>
      </c>
    </row>
    <row r="916625" spans="1:1">
      <c r="A916625" s="16">
        <v>42594</v>
      </c>
    </row>
    <row r="916626" spans="1:1">
      <c r="A916626" s="16">
        <v>42597</v>
      </c>
    </row>
    <row r="916627" spans="1:1">
      <c r="A916627" s="16">
        <v>42598</v>
      </c>
    </row>
    <row r="916628" spans="1:1">
      <c r="A916628" s="16">
        <v>42599</v>
      </c>
    </row>
    <row r="916629" spans="1:1">
      <c r="A916629" s="16">
        <v>42600</v>
      </c>
    </row>
    <row r="916630" spans="1:1">
      <c r="A916630" s="16">
        <v>42601</v>
      </c>
    </row>
    <row r="916631" spans="1:1">
      <c r="A916631" s="16">
        <v>42604</v>
      </c>
    </row>
    <row r="916632" spans="1:1">
      <c r="A916632" s="16">
        <v>42605</v>
      </c>
    </row>
    <row r="916633" spans="1:1">
      <c r="A916633" s="16">
        <v>42606</v>
      </c>
    </row>
    <row r="916634" spans="1:1">
      <c r="A916634" s="16">
        <v>42607</v>
      </c>
    </row>
    <row r="916635" spans="1:1">
      <c r="A916635" s="16">
        <v>42608</v>
      </c>
    </row>
    <row r="916636" spans="1:1">
      <c r="A916636" s="16">
        <v>42611</v>
      </c>
    </row>
    <row r="916637" spans="1:1">
      <c r="A916637" s="16">
        <v>42612</v>
      </c>
    </row>
    <row r="916638" spans="1:1">
      <c r="A916638" s="16">
        <v>42613</v>
      </c>
    </row>
    <row r="916639" spans="1:1">
      <c r="A916639" s="16">
        <v>42614</v>
      </c>
    </row>
    <row r="916640" spans="1:1">
      <c r="A916640" s="16">
        <v>42615</v>
      </c>
    </row>
    <row r="916641" spans="1:1">
      <c r="A916641" s="16">
        <v>42618</v>
      </c>
    </row>
    <row r="916642" spans="1:1">
      <c r="A916642" s="16">
        <v>42619</v>
      </c>
    </row>
    <row r="916643" spans="1:1">
      <c r="A916643" s="16">
        <v>42620</v>
      </c>
    </row>
    <row r="916644" spans="1:1">
      <c r="A916644" s="16">
        <v>42621</v>
      </c>
    </row>
    <row r="916645" spans="1:1">
      <c r="A916645" s="16">
        <v>42622</v>
      </c>
    </row>
    <row r="916646" spans="1:1">
      <c r="A916646" s="16">
        <v>42625</v>
      </c>
    </row>
    <row r="916647" spans="1:1">
      <c r="A916647" s="16">
        <v>42626</v>
      </c>
    </row>
    <row r="916648" spans="1:1">
      <c r="A916648" s="16">
        <v>42627</v>
      </c>
    </row>
    <row r="916649" spans="1:1">
      <c r="A916649" s="16">
        <v>42632</v>
      </c>
    </row>
    <row r="916650" spans="1:1">
      <c r="A916650" s="16">
        <v>42633</v>
      </c>
    </row>
    <row r="916651" spans="1:1">
      <c r="A916651" s="16">
        <v>42634</v>
      </c>
    </row>
    <row r="916652" spans="1:1">
      <c r="A916652" s="16">
        <v>42635</v>
      </c>
    </row>
    <row r="916653" spans="1:1">
      <c r="A916653" s="16">
        <v>42636</v>
      </c>
    </row>
    <row r="916654" spans="1:1">
      <c r="A916654" s="16">
        <v>42639</v>
      </c>
    </row>
    <row r="916655" spans="1:1">
      <c r="A916655" s="16">
        <v>42640</v>
      </c>
    </row>
    <row r="916656" spans="1:1">
      <c r="A916656" s="16">
        <v>42641</v>
      </c>
    </row>
    <row r="916657" spans="1:1">
      <c r="A916657" s="16">
        <v>42642</v>
      </c>
    </row>
    <row r="916658" spans="1:1">
      <c r="A916658" s="16">
        <v>42643</v>
      </c>
    </row>
    <row r="916659" spans="1:1">
      <c r="A916659" s="16">
        <v>42653</v>
      </c>
    </row>
    <row r="916660" spans="1:1">
      <c r="A916660" s="16">
        <v>42654</v>
      </c>
    </row>
    <row r="916661" spans="1:1">
      <c r="A916661" s="16">
        <v>42655</v>
      </c>
    </row>
    <row r="916662" spans="1:1">
      <c r="A916662" s="16">
        <v>42656</v>
      </c>
    </row>
    <row r="916663" spans="1:1">
      <c r="A916663" s="16">
        <v>42657</v>
      </c>
    </row>
    <row r="916664" spans="1:1">
      <c r="A916664" s="16">
        <v>42660</v>
      </c>
    </row>
    <row r="916665" spans="1:1">
      <c r="A916665" s="16">
        <v>42661</v>
      </c>
    </row>
    <row r="916666" spans="1:1">
      <c r="A916666" s="16">
        <v>42662</v>
      </c>
    </row>
    <row r="916667" spans="1:1">
      <c r="A916667" s="16">
        <v>42663</v>
      </c>
    </row>
    <row r="916668" spans="1:1">
      <c r="A916668" s="16">
        <v>42664</v>
      </c>
    </row>
    <row r="916669" spans="1:1">
      <c r="A916669" s="16">
        <v>42667</v>
      </c>
    </row>
    <row r="916670" spans="1:1">
      <c r="A916670" s="16">
        <v>42668</v>
      </c>
    </row>
    <row r="916671" spans="1:1">
      <c r="A916671" s="16">
        <v>42669</v>
      </c>
    </row>
    <row r="916672" spans="1:1">
      <c r="A916672" s="16">
        <v>42670</v>
      </c>
    </row>
    <row r="916673" spans="1:1">
      <c r="A916673" s="16">
        <v>42671</v>
      </c>
    </row>
    <row r="916674" spans="1:1">
      <c r="A916674" s="16">
        <v>42674</v>
      </c>
    </row>
    <row r="916675" spans="1:1">
      <c r="A916675" s="16">
        <v>42675</v>
      </c>
    </row>
    <row r="916676" spans="1:1">
      <c r="A916676" s="16">
        <v>42676</v>
      </c>
    </row>
    <row r="916677" spans="1:1">
      <c r="A916677" s="16">
        <v>42677</v>
      </c>
    </row>
    <row r="916678" spans="1:1">
      <c r="A916678" s="16">
        <v>42678</v>
      </c>
    </row>
    <row r="932976" spans="1:1">
      <c r="A932976" s="16" t="s">
        <v>0</v>
      </c>
    </row>
    <row r="932977" spans="1:1">
      <c r="A932977" s="16" t="s">
        <v>1</v>
      </c>
    </row>
    <row r="932978" spans="1:1">
      <c r="A932978" s="16">
        <v>42551</v>
      </c>
    </row>
    <row r="932979" spans="1:1">
      <c r="A932979" s="16">
        <v>42552</v>
      </c>
    </row>
    <row r="932980" spans="1:1">
      <c r="A932980" s="16">
        <v>42555</v>
      </c>
    </row>
    <row r="932981" spans="1:1">
      <c r="A932981" s="16">
        <v>42556</v>
      </c>
    </row>
    <row r="932982" spans="1:1">
      <c r="A932982" s="16">
        <v>42557</v>
      </c>
    </row>
    <row r="932983" spans="1:1">
      <c r="A932983" s="16">
        <v>42558</v>
      </c>
    </row>
    <row r="932984" spans="1:1">
      <c r="A932984" s="16">
        <v>42559</v>
      </c>
    </row>
    <row r="932985" spans="1:1">
      <c r="A932985" s="16">
        <v>42562</v>
      </c>
    </row>
    <row r="932986" spans="1:1">
      <c r="A932986" s="16">
        <v>42563</v>
      </c>
    </row>
    <row r="932987" spans="1:1">
      <c r="A932987" s="16">
        <v>42564</v>
      </c>
    </row>
    <row r="932988" spans="1:1">
      <c r="A932988" s="16">
        <v>42565</v>
      </c>
    </row>
    <row r="932989" spans="1:1">
      <c r="A932989" s="16">
        <v>42566</v>
      </c>
    </row>
    <row r="932990" spans="1:1">
      <c r="A932990" s="16">
        <v>42569</v>
      </c>
    </row>
    <row r="932991" spans="1:1">
      <c r="A932991" s="16">
        <v>42570</v>
      </c>
    </row>
    <row r="932992" spans="1:1">
      <c r="A932992" s="16">
        <v>42571</v>
      </c>
    </row>
    <row r="932993" spans="1:1">
      <c r="A932993" s="16">
        <v>42572</v>
      </c>
    </row>
    <row r="932994" spans="1:1">
      <c r="A932994" s="16">
        <v>42573</v>
      </c>
    </row>
    <row r="932995" spans="1:1">
      <c r="A932995" s="16">
        <v>42576</v>
      </c>
    </row>
    <row r="932996" spans="1:1">
      <c r="A932996" s="16">
        <v>42577</v>
      </c>
    </row>
    <row r="932997" spans="1:1">
      <c r="A932997" s="16">
        <v>42578</v>
      </c>
    </row>
    <row r="932998" spans="1:1">
      <c r="A932998" s="16">
        <v>42579</v>
      </c>
    </row>
    <row r="932999" spans="1:1">
      <c r="A932999" s="16">
        <v>42580</v>
      </c>
    </row>
    <row r="933000" spans="1:1">
      <c r="A933000" s="16">
        <v>42583</v>
      </c>
    </row>
    <row r="933001" spans="1:1">
      <c r="A933001" s="16">
        <v>42584</v>
      </c>
    </row>
    <row r="933002" spans="1:1">
      <c r="A933002" s="16">
        <v>42585</v>
      </c>
    </row>
    <row r="933003" spans="1:1">
      <c r="A933003" s="16">
        <v>42586</v>
      </c>
    </row>
    <row r="933004" spans="1:1">
      <c r="A933004" s="16">
        <v>42587</v>
      </c>
    </row>
    <row r="933005" spans="1:1">
      <c r="A933005" s="16">
        <v>42590</v>
      </c>
    </row>
    <row r="933006" spans="1:1">
      <c r="A933006" s="16">
        <v>42591</v>
      </c>
    </row>
    <row r="933007" spans="1:1">
      <c r="A933007" s="16">
        <v>42592</v>
      </c>
    </row>
    <row r="933008" spans="1:1">
      <c r="A933008" s="16">
        <v>42593</v>
      </c>
    </row>
    <row r="933009" spans="1:1">
      <c r="A933009" s="16">
        <v>42594</v>
      </c>
    </row>
    <row r="933010" spans="1:1">
      <c r="A933010" s="16">
        <v>42597</v>
      </c>
    </row>
    <row r="933011" spans="1:1">
      <c r="A933011" s="16">
        <v>42598</v>
      </c>
    </row>
    <row r="933012" spans="1:1">
      <c r="A933012" s="16">
        <v>42599</v>
      </c>
    </row>
    <row r="933013" spans="1:1">
      <c r="A933013" s="16">
        <v>42600</v>
      </c>
    </row>
    <row r="933014" spans="1:1">
      <c r="A933014" s="16">
        <v>42601</v>
      </c>
    </row>
    <row r="933015" spans="1:1">
      <c r="A933015" s="16">
        <v>42604</v>
      </c>
    </row>
    <row r="933016" spans="1:1">
      <c r="A933016" s="16">
        <v>42605</v>
      </c>
    </row>
    <row r="933017" spans="1:1">
      <c r="A933017" s="16">
        <v>42606</v>
      </c>
    </row>
    <row r="933018" spans="1:1">
      <c r="A933018" s="16">
        <v>42607</v>
      </c>
    </row>
    <row r="933019" spans="1:1">
      <c r="A933019" s="16">
        <v>42608</v>
      </c>
    </row>
    <row r="933020" spans="1:1">
      <c r="A933020" s="16">
        <v>42611</v>
      </c>
    </row>
    <row r="933021" spans="1:1">
      <c r="A933021" s="16">
        <v>42612</v>
      </c>
    </row>
    <row r="933022" spans="1:1">
      <c r="A933022" s="16">
        <v>42613</v>
      </c>
    </row>
    <row r="933023" spans="1:1">
      <c r="A933023" s="16">
        <v>42614</v>
      </c>
    </row>
    <row r="933024" spans="1:1">
      <c r="A933024" s="16">
        <v>42615</v>
      </c>
    </row>
    <row r="933025" spans="1:1">
      <c r="A933025" s="16">
        <v>42618</v>
      </c>
    </row>
    <row r="933026" spans="1:1">
      <c r="A933026" s="16">
        <v>42619</v>
      </c>
    </row>
    <row r="933027" spans="1:1">
      <c r="A933027" s="16">
        <v>42620</v>
      </c>
    </row>
    <row r="933028" spans="1:1">
      <c r="A933028" s="16">
        <v>42621</v>
      </c>
    </row>
    <row r="933029" spans="1:1">
      <c r="A933029" s="16">
        <v>42622</v>
      </c>
    </row>
    <row r="933030" spans="1:1">
      <c r="A933030" s="16">
        <v>42625</v>
      </c>
    </row>
    <row r="933031" spans="1:1">
      <c r="A933031" s="16">
        <v>42626</v>
      </c>
    </row>
    <row r="933032" spans="1:1">
      <c r="A933032" s="16">
        <v>42627</v>
      </c>
    </row>
    <row r="933033" spans="1:1">
      <c r="A933033" s="16">
        <v>42632</v>
      </c>
    </row>
    <row r="933034" spans="1:1">
      <c r="A933034" s="16">
        <v>42633</v>
      </c>
    </row>
    <row r="933035" spans="1:1">
      <c r="A933035" s="16">
        <v>42634</v>
      </c>
    </row>
    <row r="933036" spans="1:1">
      <c r="A933036" s="16">
        <v>42635</v>
      </c>
    </row>
    <row r="933037" spans="1:1">
      <c r="A933037" s="16">
        <v>42636</v>
      </c>
    </row>
    <row r="933038" spans="1:1">
      <c r="A933038" s="16">
        <v>42639</v>
      </c>
    </row>
    <row r="933039" spans="1:1">
      <c r="A933039" s="16">
        <v>42640</v>
      </c>
    </row>
    <row r="933040" spans="1:1">
      <c r="A933040" s="16">
        <v>42641</v>
      </c>
    </row>
    <row r="933041" spans="1:1">
      <c r="A933041" s="16">
        <v>42642</v>
      </c>
    </row>
    <row r="933042" spans="1:1">
      <c r="A933042" s="16">
        <v>42643</v>
      </c>
    </row>
    <row r="933043" spans="1:1">
      <c r="A933043" s="16">
        <v>42653</v>
      </c>
    </row>
    <row r="933044" spans="1:1">
      <c r="A933044" s="16">
        <v>42654</v>
      </c>
    </row>
    <row r="933045" spans="1:1">
      <c r="A933045" s="16">
        <v>42655</v>
      </c>
    </row>
    <row r="933046" spans="1:1">
      <c r="A933046" s="16">
        <v>42656</v>
      </c>
    </row>
    <row r="933047" spans="1:1">
      <c r="A933047" s="16">
        <v>42657</v>
      </c>
    </row>
    <row r="933048" spans="1:1">
      <c r="A933048" s="16">
        <v>42660</v>
      </c>
    </row>
    <row r="933049" spans="1:1">
      <c r="A933049" s="16">
        <v>42661</v>
      </c>
    </row>
    <row r="933050" spans="1:1">
      <c r="A933050" s="16">
        <v>42662</v>
      </c>
    </row>
    <row r="933051" spans="1:1">
      <c r="A933051" s="16">
        <v>42663</v>
      </c>
    </row>
    <row r="933052" spans="1:1">
      <c r="A933052" s="16">
        <v>42664</v>
      </c>
    </row>
    <row r="933053" spans="1:1">
      <c r="A933053" s="16">
        <v>42667</v>
      </c>
    </row>
    <row r="933054" spans="1:1">
      <c r="A933054" s="16">
        <v>42668</v>
      </c>
    </row>
    <row r="933055" spans="1:1">
      <c r="A933055" s="16">
        <v>42669</v>
      </c>
    </row>
    <row r="933056" spans="1:1">
      <c r="A933056" s="16">
        <v>42670</v>
      </c>
    </row>
    <row r="933057" spans="1:1">
      <c r="A933057" s="16">
        <v>42671</v>
      </c>
    </row>
    <row r="933058" spans="1:1">
      <c r="A933058" s="16">
        <v>42674</v>
      </c>
    </row>
    <row r="933059" spans="1:1">
      <c r="A933059" s="16">
        <v>42675</v>
      </c>
    </row>
    <row r="933060" spans="1:1">
      <c r="A933060" s="16">
        <v>42676</v>
      </c>
    </row>
    <row r="933061" spans="1:1">
      <c r="A933061" s="16">
        <v>42677</v>
      </c>
    </row>
    <row r="933062" spans="1:1">
      <c r="A933062" s="16">
        <v>42678</v>
      </c>
    </row>
    <row r="949360" spans="1:1">
      <c r="A949360" s="16" t="s">
        <v>0</v>
      </c>
    </row>
    <row r="949361" spans="1:1">
      <c r="A949361" s="16" t="s">
        <v>1</v>
      </c>
    </row>
    <row r="949362" spans="1:1">
      <c r="A949362" s="16">
        <v>42551</v>
      </c>
    </row>
    <row r="949363" spans="1:1">
      <c r="A949363" s="16">
        <v>42552</v>
      </c>
    </row>
    <row r="949364" spans="1:1">
      <c r="A949364" s="16">
        <v>42555</v>
      </c>
    </row>
    <row r="949365" spans="1:1">
      <c r="A949365" s="16">
        <v>42556</v>
      </c>
    </row>
    <row r="949366" spans="1:1">
      <c r="A949366" s="16">
        <v>42557</v>
      </c>
    </row>
    <row r="949367" spans="1:1">
      <c r="A949367" s="16">
        <v>42558</v>
      </c>
    </row>
    <row r="949368" spans="1:1">
      <c r="A949368" s="16">
        <v>42559</v>
      </c>
    </row>
    <row r="949369" spans="1:1">
      <c r="A949369" s="16">
        <v>42562</v>
      </c>
    </row>
    <row r="949370" spans="1:1">
      <c r="A949370" s="16">
        <v>42563</v>
      </c>
    </row>
    <row r="949371" spans="1:1">
      <c r="A949371" s="16">
        <v>42564</v>
      </c>
    </row>
    <row r="949372" spans="1:1">
      <c r="A949372" s="16">
        <v>42565</v>
      </c>
    </row>
    <row r="949373" spans="1:1">
      <c r="A949373" s="16">
        <v>42566</v>
      </c>
    </row>
    <row r="949374" spans="1:1">
      <c r="A949374" s="16">
        <v>42569</v>
      </c>
    </row>
    <row r="949375" spans="1:1">
      <c r="A949375" s="16">
        <v>42570</v>
      </c>
    </row>
    <row r="949376" spans="1:1">
      <c r="A949376" s="16">
        <v>42571</v>
      </c>
    </row>
    <row r="949377" spans="1:1">
      <c r="A949377" s="16">
        <v>42572</v>
      </c>
    </row>
    <row r="949378" spans="1:1">
      <c r="A949378" s="16">
        <v>42573</v>
      </c>
    </row>
    <row r="949379" spans="1:1">
      <c r="A949379" s="16">
        <v>42576</v>
      </c>
    </row>
    <row r="949380" spans="1:1">
      <c r="A949380" s="16">
        <v>42577</v>
      </c>
    </row>
    <row r="949381" spans="1:1">
      <c r="A949381" s="16">
        <v>42578</v>
      </c>
    </row>
    <row r="949382" spans="1:1">
      <c r="A949382" s="16">
        <v>42579</v>
      </c>
    </row>
    <row r="949383" spans="1:1">
      <c r="A949383" s="16">
        <v>42580</v>
      </c>
    </row>
    <row r="949384" spans="1:1">
      <c r="A949384" s="16">
        <v>42583</v>
      </c>
    </row>
    <row r="949385" spans="1:1">
      <c r="A949385" s="16">
        <v>42584</v>
      </c>
    </row>
    <row r="949386" spans="1:1">
      <c r="A949386" s="16">
        <v>42585</v>
      </c>
    </row>
    <row r="949387" spans="1:1">
      <c r="A949387" s="16">
        <v>42586</v>
      </c>
    </row>
    <row r="949388" spans="1:1">
      <c r="A949388" s="16">
        <v>42587</v>
      </c>
    </row>
    <row r="949389" spans="1:1">
      <c r="A949389" s="16">
        <v>42590</v>
      </c>
    </row>
    <row r="949390" spans="1:1">
      <c r="A949390" s="16">
        <v>42591</v>
      </c>
    </row>
    <row r="949391" spans="1:1">
      <c r="A949391" s="16">
        <v>42592</v>
      </c>
    </row>
    <row r="949392" spans="1:1">
      <c r="A949392" s="16">
        <v>42593</v>
      </c>
    </row>
    <row r="949393" spans="1:1">
      <c r="A949393" s="16">
        <v>42594</v>
      </c>
    </row>
    <row r="949394" spans="1:1">
      <c r="A949394" s="16">
        <v>42597</v>
      </c>
    </row>
    <row r="949395" spans="1:1">
      <c r="A949395" s="16">
        <v>42598</v>
      </c>
    </row>
    <row r="949396" spans="1:1">
      <c r="A949396" s="16">
        <v>42599</v>
      </c>
    </row>
    <row r="949397" spans="1:1">
      <c r="A949397" s="16">
        <v>42600</v>
      </c>
    </row>
    <row r="949398" spans="1:1">
      <c r="A949398" s="16">
        <v>42601</v>
      </c>
    </row>
    <row r="949399" spans="1:1">
      <c r="A949399" s="16">
        <v>42604</v>
      </c>
    </row>
    <row r="949400" spans="1:1">
      <c r="A949400" s="16">
        <v>42605</v>
      </c>
    </row>
    <row r="949401" spans="1:1">
      <c r="A949401" s="16">
        <v>42606</v>
      </c>
    </row>
    <row r="949402" spans="1:1">
      <c r="A949402" s="16">
        <v>42607</v>
      </c>
    </row>
    <row r="949403" spans="1:1">
      <c r="A949403" s="16">
        <v>42608</v>
      </c>
    </row>
    <row r="949404" spans="1:1">
      <c r="A949404" s="16">
        <v>42611</v>
      </c>
    </row>
    <row r="949405" spans="1:1">
      <c r="A949405" s="16">
        <v>42612</v>
      </c>
    </row>
    <row r="949406" spans="1:1">
      <c r="A949406" s="16">
        <v>42613</v>
      </c>
    </row>
    <row r="949407" spans="1:1">
      <c r="A949407" s="16">
        <v>42614</v>
      </c>
    </row>
    <row r="949408" spans="1:1">
      <c r="A949408" s="16">
        <v>42615</v>
      </c>
    </row>
    <row r="949409" spans="1:1">
      <c r="A949409" s="16">
        <v>42618</v>
      </c>
    </row>
    <row r="949410" spans="1:1">
      <c r="A949410" s="16">
        <v>42619</v>
      </c>
    </row>
    <row r="949411" spans="1:1">
      <c r="A949411" s="16">
        <v>42620</v>
      </c>
    </row>
    <row r="949412" spans="1:1">
      <c r="A949412" s="16">
        <v>42621</v>
      </c>
    </row>
    <row r="949413" spans="1:1">
      <c r="A949413" s="16">
        <v>42622</v>
      </c>
    </row>
    <row r="949414" spans="1:1">
      <c r="A949414" s="16">
        <v>42625</v>
      </c>
    </row>
    <row r="949415" spans="1:1">
      <c r="A949415" s="16">
        <v>42626</v>
      </c>
    </row>
    <row r="949416" spans="1:1">
      <c r="A949416" s="16">
        <v>42627</v>
      </c>
    </row>
    <row r="949417" spans="1:1">
      <c r="A949417" s="16">
        <v>42632</v>
      </c>
    </row>
    <row r="949418" spans="1:1">
      <c r="A949418" s="16">
        <v>42633</v>
      </c>
    </row>
    <row r="949419" spans="1:1">
      <c r="A949419" s="16">
        <v>42634</v>
      </c>
    </row>
    <row r="949420" spans="1:1">
      <c r="A949420" s="16">
        <v>42635</v>
      </c>
    </row>
    <row r="949421" spans="1:1">
      <c r="A949421" s="16">
        <v>42636</v>
      </c>
    </row>
    <row r="949422" spans="1:1">
      <c r="A949422" s="16">
        <v>42639</v>
      </c>
    </row>
    <row r="949423" spans="1:1">
      <c r="A949423" s="16">
        <v>42640</v>
      </c>
    </row>
    <row r="949424" spans="1:1">
      <c r="A949424" s="16">
        <v>42641</v>
      </c>
    </row>
    <row r="949425" spans="1:1">
      <c r="A949425" s="16">
        <v>42642</v>
      </c>
    </row>
    <row r="949426" spans="1:1">
      <c r="A949426" s="16">
        <v>42643</v>
      </c>
    </row>
    <row r="949427" spans="1:1">
      <c r="A949427" s="16">
        <v>42653</v>
      </c>
    </row>
    <row r="949428" spans="1:1">
      <c r="A949428" s="16">
        <v>42654</v>
      </c>
    </row>
    <row r="949429" spans="1:1">
      <c r="A949429" s="16">
        <v>42655</v>
      </c>
    </row>
    <row r="949430" spans="1:1">
      <c r="A949430" s="16">
        <v>42656</v>
      </c>
    </row>
    <row r="949431" spans="1:1">
      <c r="A949431" s="16">
        <v>42657</v>
      </c>
    </row>
    <row r="949432" spans="1:1">
      <c r="A949432" s="16">
        <v>42660</v>
      </c>
    </row>
    <row r="949433" spans="1:1">
      <c r="A949433" s="16">
        <v>42661</v>
      </c>
    </row>
    <row r="949434" spans="1:1">
      <c r="A949434" s="16">
        <v>42662</v>
      </c>
    </row>
    <row r="949435" spans="1:1">
      <c r="A949435" s="16">
        <v>42663</v>
      </c>
    </row>
    <row r="949436" spans="1:1">
      <c r="A949436" s="16">
        <v>42664</v>
      </c>
    </row>
    <row r="949437" spans="1:1">
      <c r="A949437" s="16">
        <v>42667</v>
      </c>
    </row>
    <row r="949438" spans="1:1">
      <c r="A949438" s="16">
        <v>42668</v>
      </c>
    </row>
    <row r="949439" spans="1:1">
      <c r="A949439" s="16">
        <v>42669</v>
      </c>
    </row>
    <row r="949440" spans="1:1">
      <c r="A949440" s="16">
        <v>42670</v>
      </c>
    </row>
    <row r="949441" spans="1:1">
      <c r="A949441" s="16">
        <v>42671</v>
      </c>
    </row>
    <row r="949442" spans="1:1">
      <c r="A949442" s="16">
        <v>42674</v>
      </c>
    </row>
    <row r="949443" spans="1:1">
      <c r="A949443" s="16">
        <v>42675</v>
      </c>
    </row>
    <row r="949444" spans="1:1">
      <c r="A949444" s="16">
        <v>42676</v>
      </c>
    </row>
    <row r="949445" spans="1:1">
      <c r="A949445" s="16">
        <v>42677</v>
      </c>
    </row>
    <row r="949446" spans="1:1">
      <c r="A949446" s="16">
        <v>42678</v>
      </c>
    </row>
    <row r="965744" spans="1:1">
      <c r="A965744" s="16" t="s">
        <v>0</v>
      </c>
    </row>
    <row r="965745" spans="1:1">
      <c r="A965745" s="16" t="s">
        <v>1</v>
      </c>
    </row>
    <row r="965746" spans="1:1">
      <c r="A965746" s="16">
        <v>42551</v>
      </c>
    </row>
    <row r="965747" spans="1:1">
      <c r="A965747" s="16">
        <v>42552</v>
      </c>
    </row>
    <row r="965748" spans="1:1">
      <c r="A965748" s="16">
        <v>42555</v>
      </c>
    </row>
    <row r="965749" spans="1:1">
      <c r="A965749" s="16">
        <v>42556</v>
      </c>
    </row>
    <row r="965750" spans="1:1">
      <c r="A965750" s="16">
        <v>42557</v>
      </c>
    </row>
    <row r="965751" spans="1:1">
      <c r="A965751" s="16">
        <v>42558</v>
      </c>
    </row>
    <row r="965752" spans="1:1">
      <c r="A965752" s="16">
        <v>42559</v>
      </c>
    </row>
    <row r="965753" spans="1:1">
      <c r="A965753" s="16">
        <v>42562</v>
      </c>
    </row>
    <row r="965754" spans="1:1">
      <c r="A965754" s="16">
        <v>42563</v>
      </c>
    </row>
    <row r="965755" spans="1:1">
      <c r="A965755" s="16">
        <v>42564</v>
      </c>
    </row>
    <row r="965756" spans="1:1">
      <c r="A965756" s="16">
        <v>42565</v>
      </c>
    </row>
    <row r="965757" spans="1:1">
      <c r="A965757" s="16">
        <v>42566</v>
      </c>
    </row>
    <row r="965758" spans="1:1">
      <c r="A965758" s="16">
        <v>42569</v>
      </c>
    </row>
    <row r="965759" spans="1:1">
      <c r="A965759" s="16">
        <v>42570</v>
      </c>
    </row>
    <row r="965760" spans="1:1">
      <c r="A965760" s="16">
        <v>42571</v>
      </c>
    </row>
    <row r="965761" spans="1:1">
      <c r="A965761" s="16">
        <v>42572</v>
      </c>
    </row>
    <row r="965762" spans="1:1">
      <c r="A965762" s="16">
        <v>42573</v>
      </c>
    </row>
    <row r="965763" spans="1:1">
      <c r="A965763" s="16">
        <v>42576</v>
      </c>
    </row>
    <row r="965764" spans="1:1">
      <c r="A965764" s="16">
        <v>42577</v>
      </c>
    </row>
    <row r="965765" spans="1:1">
      <c r="A965765" s="16">
        <v>42578</v>
      </c>
    </row>
    <row r="965766" spans="1:1">
      <c r="A965766" s="16">
        <v>42579</v>
      </c>
    </row>
    <row r="965767" spans="1:1">
      <c r="A965767" s="16">
        <v>42580</v>
      </c>
    </row>
    <row r="965768" spans="1:1">
      <c r="A965768" s="16">
        <v>42583</v>
      </c>
    </row>
    <row r="965769" spans="1:1">
      <c r="A965769" s="16">
        <v>42584</v>
      </c>
    </row>
    <row r="965770" spans="1:1">
      <c r="A965770" s="16">
        <v>42585</v>
      </c>
    </row>
    <row r="965771" spans="1:1">
      <c r="A965771" s="16">
        <v>42586</v>
      </c>
    </row>
    <row r="965772" spans="1:1">
      <c r="A965772" s="16">
        <v>42587</v>
      </c>
    </row>
    <row r="965773" spans="1:1">
      <c r="A965773" s="16">
        <v>42590</v>
      </c>
    </row>
    <row r="965774" spans="1:1">
      <c r="A965774" s="16">
        <v>42591</v>
      </c>
    </row>
    <row r="965775" spans="1:1">
      <c r="A965775" s="16">
        <v>42592</v>
      </c>
    </row>
    <row r="965776" spans="1:1">
      <c r="A965776" s="16">
        <v>42593</v>
      </c>
    </row>
    <row r="965777" spans="1:1">
      <c r="A965777" s="16">
        <v>42594</v>
      </c>
    </row>
    <row r="965778" spans="1:1">
      <c r="A965778" s="16">
        <v>42597</v>
      </c>
    </row>
    <row r="965779" spans="1:1">
      <c r="A965779" s="16">
        <v>42598</v>
      </c>
    </row>
    <row r="965780" spans="1:1">
      <c r="A965780" s="16">
        <v>42599</v>
      </c>
    </row>
    <row r="965781" spans="1:1">
      <c r="A965781" s="16">
        <v>42600</v>
      </c>
    </row>
    <row r="965782" spans="1:1">
      <c r="A965782" s="16">
        <v>42601</v>
      </c>
    </row>
    <row r="965783" spans="1:1">
      <c r="A965783" s="16">
        <v>42604</v>
      </c>
    </row>
    <row r="965784" spans="1:1">
      <c r="A965784" s="16">
        <v>42605</v>
      </c>
    </row>
    <row r="965785" spans="1:1">
      <c r="A965785" s="16">
        <v>42606</v>
      </c>
    </row>
    <row r="965786" spans="1:1">
      <c r="A965786" s="16">
        <v>42607</v>
      </c>
    </row>
    <row r="965787" spans="1:1">
      <c r="A965787" s="16">
        <v>42608</v>
      </c>
    </row>
    <row r="965788" spans="1:1">
      <c r="A965788" s="16">
        <v>42611</v>
      </c>
    </row>
    <row r="965789" spans="1:1">
      <c r="A965789" s="16">
        <v>42612</v>
      </c>
    </row>
    <row r="965790" spans="1:1">
      <c r="A965790" s="16">
        <v>42613</v>
      </c>
    </row>
    <row r="965791" spans="1:1">
      <c r="A965791" s="16">
        <v>42614</v>
      </c>
    </row>
    <row r="965792" spans="1:1">
      <c r="A965792" s="16">
        <v>42615</v>
      </c>
    </row>
    <row r="965793" spans="1:1">
      <c r="A965793" s="16">
        <v>42618</v>
      </c>
    </row>
    <row r="965794" spans="1:1">
      <c r="A965794" s="16">
        <v>42619</v>
      </c>
    </row>
    <row r="965795" spans="1:1">
      <c r="A965795" s="16">
        <v>42620</v>
      </c>
    </row>
    <row r="965796" spans="1:1">
      <c r="A965796" s="16">
        <v>42621</v>
      </c>
    </row>
    <row r="965797" spans="1:1">
      <c r="A965797" s="16">
        <v>42622</v>
      </c>
    </row>
    <row r="965798" spans="1:1">
      <c r="A965798" s="16">
        <v>42625</v>
      </c>
    </row>
    <row r="965799" spans="1:1">
      <c r="A965799" s="16">
        <v>42626</v>
      </c>
    </row>
    <row r="965800" spans="1:1">
      <c r="A965800" s="16">
        <v>42627</v>
      </c>
    </row>
    <row r="965801" spans="1:1">
      <c r="A965801" s="16">
        <v>42632</v>
      </c>
    </row>
    <row r="965802" spans="1:1">
      <c r="A965802" s="16">
        <v>42633</v>
      </c>
    </row>
    <row r="965803" spans="1:1">
      <c r="A965803" s="16">
        <v>42634</v>
      </c>
    </row>
    <row r="965804" spans="1:1">
      <c r="A965804" s="16">
        <v>42635</v>
      </c>
    </row>
    <row r="965805" spans="1:1">
      <c r="A965805" s="16">
        <v>42636</v>
      </c>
    </row>
    <row r="965806" spans="1:1">
      <c r="A965806" s="16">
        <v>42639</v>
      </c>
    </row>
    <row r="965807" spans="1:1">
      <c r="A965807" s="16">
        <v>42640</v>
      </c>
    </row>
    <row r="965808" spans="1:1">
      <c r="A965808" s="16">
        <v>42641</v>
      </c>
    </row>
    <row r="965809" spans="1:1">
      <c r="A965809" s="16">
        <v>42642</v>
      </c>
    </row>
    <row r="965810" spans="1:1">
      <c r="A965810" s="16">
        <v>42643</v>
      </c>
    </row>
    <row r="965811" spans="1:1">
      <c r="A965811" s="16">
        <v>42653</v>
      </c>
    </row>
    <row r="965812" spans="1:1">
      <c r="A965812" s="16">
        <v>42654</v>
      </c>
    </row>
    <row r="965813" spans="1:1">
      <c r="A965813" s="16">
        <v>42655</v>
      </c>
    </row>
    <row r="965814" spans="1:1">
      <c r="A965814" s="16">
        <v>42656</v>
      </c>
    </row>
    <row r="965815" spans="1:1">
      <c r="A965815" s="16">
        <v>42657</v>
      </c>
    </row>
    <row r="965816" spans="1:1">
      <c r="A965816" s="16">
        <v>42660</v>
      </c>
    </row>
    <row r="965817" spans="1:1">
      <c r="A965817" s="16">
        <v>42661</v>
      </c>
    </row>
    <row r="965818" spans="1:1">
      <c r="A965818" s="16">
        <v>42662</v>
      </c>
    </row>
    <row r="965819" spans="1:1">
      <c r="A965819" s="16">
        <v>42663</v>
      </c>
    </row>
    <row r="965820" spans="1:1">
      <c r="A965820" s="16">
        <v>42664</v>
      </c>
    </row>
    <row r="965821" spans="1:1">
      <c r="A965821" s="16">
        <v>42667</v>
      </c>
    </row>
    <row r="965822" spans="1:1">
      <c r="A965822" s="16">
        <v>42668</v>
      </c>
    </row>
    <row r="965823" spans="1:1">
      <c r="A965823" s="16">
        <v>42669</v>
      </c>
    </row>
    <row r="965824" spans="1:1">
      <c r="A965824" s="16">
        <v>42670</v>
      </c>
    </row>
    <row r="965825" spans="1:1">
      <c r="A965825" s="16">
        <v>42671</v>
      </c>
    </row>
    <row r="965826" spans="1:1">
      <c r="A965826" s="16">
        <v>42674</v>
      </c>
    </row>
    <row r="965827" spans="1:1">
      <c r="A965827" s="16">
        <v>42675</v>
      </c>
    </row>
    <row r="965828" spans="1:1">
      <c r="A965828" s="16">
        <v>42676</v>
      </c>
    </row>
    <row r="965829" spans="1:1">
      <c r="A965829" s="16">
        <v>42677</v>
      </c>
    </row>
    <row r="965830" spans="1:1">
      <c r="A965830" s="16">
        <v>42678</v>
      </c>
    </row>
    <row r="982128" spans="1:1">
      <c r="A982128" s="16" t="s">
        <v>0</v>
      </c>
    </row>
    <row r="982129" spans="1:1">
      <c r="A982129" s="16" t="s">
        <v>1</v>
      </c>
    </row>
    <row r="982130" spans="1:1">
      <c r="A982130" s="16">
        <v>42551</v>
      </c>
    </row>
    <row r="982131" spans="1:1">
      <c r="A982131" s="16">
        <v>42552</v>
      </c>
    </row>
    <row r="982132" spans="1:1">
      <c r="A982132" s="16">
        <v>42555</v>
      </c>
    </row>
    <row r="982133" spans="1:1">
      <c r="A982133" s="16">
        <v>42556</v>
      </c>
    </row>
    <row r="982134" spans="1:1">
      <c r="A982134" s="16">
        <v>42557</v>
      </c>
    </row>
    <row r="982135" spans="1:1">
      <c r="A982135" s="16">
        <v>42558</v>
      </c>
    </row>
    <row r="982136" spans="1:1">
      <c r="A982136" s="16">
        <v>42559</v>
      </c>
    </row>
    <row r="982137" spans="1:1">
      <c r="A982137" s="16">
        <v>42562</v>
      </c>
    </row>
    <row r="982138" spans="1:1">
      <c r="A982138" s="16">
        <v>42563</v>
      </c>
    </row>
    <row r="982139" spans="1:1">
      <c r="A982139" s="16">
        <v>42564</v>
      </c>
    </row>
    <row r="982140" spans="1:1">
      <c r="A982140" s="16">
        <v>42565</v>
      </c>
    </row>
    <row r="982141" spans="1:1">
      <c r="A982141" s="16">
        <v>42566</v>
      </c>
    </row>
    <row r="982142" spans="1:1">
      <c r="A982142" s="16">
        <v>42569</v>
      </c>
    </row>
    <row r="982143" spans="1:1">
      <c r="A982143" s="16">
        <v>42570</v>
      </c>
    </row>
    <row r="982144" spans="1:1">
      <c r="A982144" s="16">
        <v>42571</v>
      </c>
    </row>
    <row r="982145" spans="1:1">
      <c r="A982145" s="16">
        <v>42572</v>
      </c>
    </row>
    <row r="982146" spans="1:1">
      <c r="A982146" s="16">
        <v>42573</v>
      </c>
    </row>
    <row r="982147" spans="1:1">
      <c r="A982147" s="16">
        <v>42576</v>
      </c>
    </row>
    <row r="982148" spans="1:1">
      <c r="A982148" s="16">
        <v>42577</v>
      </c>
    </row>
    <row r="982149" spans="1:1">
      <c r="A982149" s="16">
        <v>42578</v>
      </c>
    </row>
    <row r="982150" spans="1:1">
      <c r="A982150" s="16">
        <v>42579</v>
      </c>
    </row>
    <row r="982151" spans="1:1">
      <c r="A982151" s="16">
        <v>42580</v>
      </c>
    </row>
    <row r="982152" spans="1:1">
      <c r="A982152" s="16">
        <v>42583</v>
      </c>
    </row>
    <row r="982153" spans="1:1">
      <c r="A982153" s="16">
        <v>42584</v>
      </c>
    </row>
    <row r="982154" spans="1:1">
      <c r="A982154" s="16">
        <v>42585</v>
      </c>
    </row>
    <row r="982155" spans="1:1">
      <c r="A982155" s="16">
        <v>42586</v>
      </c>
    </row>
    <row r="982156" spans="1:1">
      <c r="A982156" s="16">
        <v>42587</v>
      </c>
    </row>
    <row r="982157" spans="1:1">
      <c r="A982157" s="16">
        <v>42590</v>
      </c>
    </row>
    <row r="982158" spans="1:1">
      <c r="A982158" s="16">
        <v>42591</v>
      </c>
    </row>
    <row r="982159" spans="1:1">
      <c r="A982159" s="16">
        <v>42592</v>
      </c>
    </row>
    <row r="982160" spans="1:1">
      <c r="A982160" s="16">
        <v>42593</v>
      </c>
    </row>
    <row r="982161" spans="1:1">
      <c r="A982161" s="16">
        <v>42594</v>
      </c>
    </row>
    <row r="982162" spans="1:1">
      <c r="A982162" s="16">
        <v>42597</v>
      </c>
    </row>
    <row r="982163" spans="1:1">
      <c r="A982163" s="16">
        <v>42598</v>
      </c>
    </row>
    <row r="982164" spans="1:1">
      <c r="A982164" s="16">
        <v>42599</v>
      </c>
    </row>
    <row r="982165" spans="1:1">
      <c r="A982165" s="16">
        <v>42600</v>
      </c>
    </row>
    <row r="982166" spans="1:1">
      <c r="A982166" s="16">
        <v>42601</v>
      </c>
    </row>
    <row r="982167" spans="1:1">
      <c r="A982167" s="16">
        <v>42604</v>
      </c>
    </row>
    <row r="982168" spans="1:1">
      <c r="A982168" s="16">
        <v>42605</v>
      </c>
    </row>
    <row r="982169" spans="1:1">
      <c r="A982169" s="16">
        <v>42606</v>
      </c>
    </row>
    <row r="982170" spans="1:1">
      <c r="A982170" s="16">
        <v>42607</v>
      </c>
    </row>
    <row r="982171" spans="1:1">
      <c r="A982171" s="16">
        <v>42608</v>
      </c>
    </row>
    <row r="982172" spans="1:1">
      <c r="A982172" s="16">
        <v>42611</v>
      </c>
    </row>
    <row r="982173" spans="1:1">
      <c r="A982173" s="16">
        <v>42612</v>
      </c>
    </row>
    <row r="982174" spans="1:1">
      <c r="A982174" s="16">
        <v>42613</v>
      </c>
    </row>
    <row r="982175" spans="1:1">
      <c r="A982175" s="16">
        <v>42614</v>
      </c>
    </row>
    <row r="982176" spans="1:1">
      <c r="A982176" s="16">
        <v>42615</v>
      </c>
    </row>
    <row r="982177" spans="1:1">
      <c r="A982177" s="16">
        <v>42618</v>
      </c>
    </row>
    <row r="982178" spans="1:1">
      <c r="A982178" s="16">
        <v>42619</v>
      </c>
    </row>
    <row r="982179" spans="1:1">
      <c r="A982179" s="16">
        <v>42620</v>
      </c>
    </row>
    <row r="982180" spans="1:1">
      <c r="A982180" s="16">
        <v>42621</v>
      </c>
    </row>
    <row r="982181" spans="1:1">
      <c r="A982181" s="16">
        <v>42622</v>
      </c>
    </row>
    <row r="982182" spans="1:1">
      <c r="A982182" s="16">
        <v>42625</v>
      </c>
    </row>
    <row r="982183" spans="1:1">
      <c r="A982183" s="16">
        <v>42626</v>
      </c>
    </row>
    <row r="982184" spans="1:1">
      <c r="A982184" s="16">
        <v>42627</v>
      </c>
    </row>
    <row r="982185" spans="1:1">
      <c r="A982185" s="16">
        <v>42632</v>
      </c>
    </row>
    <row r="982186" spans="1:1">
      <c r="A982186" s="16">
        <v>42633</v>
      </c>
    </row>
    <row r="982187" spans="1:1">
      <c r="A982187" s="16">
        <v>42634</v>
      </c>
    </row>
    <row r="982188" spans="1:1">
      <c r="A982188" s="16">
        <v>42635</v>
      </c>
    </row>
    <row r="982189" spans="1:1">
      <c r="A982189" s="16">
        <v>42636</v>
      </c>
    </row>
    <row r="982190" spans="1:1">
      <c r="A982190" s="16">
        <v>42639</v>
      </c>
    </row>
    <row r="982191" spans="1:1">
      <c r="A982191" s="16">
        <v>42640</v>
      </c>
    </row>
    <row r="982192" spans="1:1">
      <c r="A982192" s="16">
        <v>42641</v>
      </c>
    </row>
    <row r="982193" spans="1:1">
      <c r="A982193" s="16">
        <v>42642</v>
      </c>
    </row>
    <row r="982194" spans="1:1">
      <c r="A982194" s="16">
        <v>42643</v>
      </c>
    </row>
    <row r="982195" spans="1:1">
      <c r="A982195" s="16">
        <v>42653</v>
      </c>
    </row>
    <row r="982196" spans="1:1">
      <c r="A982196" s="16">
        <v>42654</v>
      </c>
    </row>
    <row r="982197" spans="1:1">
      <c r="A982197" s="16">
        <v>42655</v>
      </c>
    </row>
    <row r="982198" spans="1:1">
      <c r="A982198" s="16">
        <v>42656</v>
      </c>
    </row>
    <row r="982199" spans="1:1">
      <c r="A982199" s="16">
        <v>42657</v>
      </c>
    </row>
    <row r="982200" spans="1:1">
      <c r="A982200" s="16">
        <v>42660</v>
      </c>
    </row>
    <row r="982201" spans="1:1">
      <c r="A982201" s="16">
        <v>42661</v>
      </c>
    </row>
    <row r="982202" spans="1:1">
      <c r="A982202" s="16">
        <v>42662</v>
      </c>
    </row>
    <row r="982203" spans="1:1">
      <c r="A982203" s="16">
        <v>42663</v>
      </c>
    </row>
    <row r="982204" spans="1:1">
      <c r="A982204" s="16">
        <v>42664</v>
      </c>
    </row>
    <row r="982205" spans="1:1">
      <c r="A982205" s="16">
        <v>42667</v>
      </c>
    </row>
    <row r="982206" spans="1:1">
      <c r="A982206" s="16">
        <v>42668</v>
      </c>
    </row>
    <row r="982207" spans="1:1">
      <c r="A982207" s="16">
        <v>42669</v>
      </c>
    </row>
    <row r="982208" spans="1:1">
      <c r="A982208" s="16">
        <v>42670</v>
      </c>
    </row>
    <row r="982209" spans="1:1">
      <c r="A982209" s="16">
        <v>42671</v>
      </c>
    </row>
    <row r="982210" spans="1:1">
      <c r="A982210" s="16">
        <v>42674</v>
      </c>
    </row>
    <row r="982211" spans="1:1">
      <c r="A982211" s="16">
        <v>42675</v>
      </c>
    </row>
    <row r="982212" spans="1:1">
      <c r="A982212" s="16">
        <v>42676</v>
      </c>
    </row>
    <row r="982213" spans="1:1">
      <c r="A982213" s="16">
        <v>42677</v>
      </c>
    </row>
    <row r="982214" spans="1:1">
      <c r="A982214" s="16">
        <v>42678</v>
      </c>
    </row>
    <row r="998512" spans="1:1">
      <c r="A998512" s="16" t="s">
        <v>0</v>
      </c>
    </row>
    <row r="998513" spans="1:1">
      <c r="A998513" s="16" t="s">
        <v>1</v>
      </c>
    </row>
    <row r="998514" spans="1:1">
      <c r="A998514" s="16">
        <v>42551</v>
      </c>
    </row>
    <row r="998515" spans="1:1">
      <c r="A998515" s="16">
        <v>42552</v>
      </c>
    </row>
    <row r="998516" spans="1:1">
      <c r="A998516" s="16">
        <v>42555</v>
      </c>
    </row>
    <row r="998517" spans="1:1">
      <c r="A998517" s="16">
        <v>42556</v>
      </c>
    </row>
    <row r="998518" spans="1:1">
      <c r="A998518" s="16">
        <v>42557</v>
      </c>
    </row>
    <row r="998519" spans="1:1">
      <c r="A998519" s="16">
        <v>42558</v>
      </c>
    </row>
    <row r="998520" spans="1:1">
      <c r="A998520" s="16">
        <v>42559</v>
      </c>
    </row>
    <row r="998521" spans="1:1">
      <c r="A998521" s="16">
        <v>42562</v>
      </c>
    </row>
    <row r="998522" spans="1:1">
      <c r="A998522" s="16">
        <v>42563</v>
      </c>
    </row>
    <row r="998523" spans="1:1">
      <c r="A998523" s="16">
        <v>42564</v>
      </c>
    </row>
    <row r="998524" spans="1:1">
      <c r="A998524" s="16">
        <v>42565</v>
      </c>
    </row>
    <row r="998525" spans="1:1">
      <c r="A998525" s="16">
        <v>42566</v>
      </c>
    </row>
    <row r="998526" spans="1:1">
      <c r="A998526" s="16">
        <v>42569</v>
      </c>
    </row>
    <row r="998527" spans="1:1">
      <c r="A998527" s="16">
        <v>42570</v>
      </c>
    </row>
    <row r="998528" spans="1:1">
      <c r="A998528" s="16">
        <v>42571</v>
      </c>
    </row>
    <row r="998529" spans="1:1">
      <c r="A998529" s="16">
        <v>42572</v>
      </c>
    </row>
    <row r="998530" spans="1:1">
      <c r="A998530" s="16">
        <v>42573</v>
      </c>
    </row>
    <row r="998531" spans="1:1">
      <c r="A998531" s="16">
        <v>42576</v>
      </c>
    </row>
    <row r="998532" spans="1:1">
      <c r="A998532" s="16">
        <v>42577</v>
      </c>
    </row>
    <row r="998533" spans="1:1">
      <c r="A998533" s="16">
        <v>42578</v>
      </c>
    </row>
    <row r="998534" spans="1:1">
      <c r="A998534" s="16">
        <v>42579</v>
      </c>
    </row>
    <row r="998535" spans="1:1">
      <c r="A998535" s="16">
        <v>42580</v>
      </c>
    </row>
    <row r="998536" spans="1:1">
      <c r="A998536" s="16">
        <v>42583</v>
      </c>
    </row>
    <row r="998537" spans="1:1">
      <c r="A998537" s="16">
        <v>42584</v>
      </c>
    </row>
    <row r="998538" spans="1:1">
      <c r="A998538" s="16">
        <v>42585</v>
      </c>
    </row>
    <row r="998539" spans="1:1">
      <c r="A998539" s="16">
        <v>42586</v>
      </c>
    </row>
    <row r="998540" spans="1:1">
      <c r="A998540" s="16">
        <v>42587</v>
      </c>
    </row>
    <row r="998541" spans="1:1">
      <c r="A998541" s="16">
        <v>42590</v>
      </c>
    </row>
    <row r="998542" spans="1:1">
      <c r="A998542" s="16">
        <v>42591</v>
      </c>
    </row>
    <row r="998543" spans="1:1">
      <c r="A998543" s="16">
        <v>42592</v>
      </c>
    </row>
    <row r="998544" spans="1:1">
      <c r="A998544" s="16">
        <v>42593</v>
      </c>
    </row>
    <row r="998545" spans="1:1">
      <c r="A998545" s="16">
        <v>42594</v>
      </c>
    </row>
    <row r="998546" spans="1:1">
      <c r="A998546" s="16">
        <v>42597</v>
      </c>
    </row>
    <row r="998547" spans="1:1">
      <c r="A998547" s="16">
        <v>42598</v>
      </c>
    </row>
    <row r="998548" spans="1:1">
      <c r="A998548" s="16">
        <v>42599</v>
      </c>
    </row>
    <row r="998549" spans="1:1">
      <c r="A998549" s="16">
        <v>42600</v>
      </c>
    </row>
    <row r="998550" spans="1:1">
      <c r="A998550" s="16">
        <v>42601</v>
      </c>
    </row>
    <row r="998551" spans="1:1">
      <c r="A998551" s="16">
        <v>42604</v>
      </c>
    </row>
    <row r="998552" spans="1:1">
      <c r="A998552" s="16">
        <v>42605</v>
      </c>
    </row>
    <row r="998553" spans="1:1">
      <c r="A998553" s="16">
        <v>42606</v>
      </c>
    </row>
    <row r="998554" spans="1:1">
      <c r="A998554" s="16">
        <v>42607</v>
      </c>
    </row>
    <row r="998555" spans="1:1">
      <c r="A998555" s="16">
        <v>42608</v>
      </c>
    </row>
    <row r="998556" spans="1:1">
      <c r="A998556" s="16">
        <v>42611</v>
      </c>
    </row>
    <row r="998557" spans="1:1">
      <c r="A998557" s="16">
        <v>42612</v>
      </c>
    </row>
    <row r="998558" spans="1:1">
      <c r="A998558" s="16">
        <v>42613</v>
      </c>
    </row>
    <row r="998559" spans="1:1">
      <c r="A998559" s="16">
        <v>42614</v>
      </c>
    </row>
    <row r="998560" spans="1:1">
      <c r="A998560" s="16">
        <v>42615</v>
      </c>
    </row>
    <row r="998561" spans="1:1">
      <c r="A998561" s="16">
        <v>42618</v>
      </c>
    </row>
    <row r="998562" spans="1:1">
      <c r="A998562" s="16">
        <v>42619</v>
      </c>
    </row>
    <row r="998563" spans="1:1">
      <c r="A998563" s="16">
        <v>42620</v>
      </c>
    </row>
    <row r="998564" spans="1:1">
      <c r="A998564" s="16">
        <v>42621</v>
      </c>
    </row>
    <row r="998565" spans="1:1">
      <c r="A998565" s="16">
        <v>42622</v>
      </c>
    </row>
    <row r="998566" spans="1:1">
      <c r="A998566" s="16">
        <v>42625</v>
      </c>
    </row>
    <row r="998567" spans="1:1">
      <c r="A998567" s="16">
        <v>42626</v>
      </c>
    </row>
    <row r="998568" spans="1:1">
      <c r="A998568" s="16">
        <v>42627</v>
      </c>
    </row>
    <row r="998569" spans="1:1">
      <c r="A998569" s="16">
        <v>42632</v>
      </c>
    </row>
    <row r="998570" spans="1:1">
      <c r="A998570" s="16">
        <v>42633</v>
      </c>
    </row>
    <row r="998571" spans="1:1">
      <c r="A998571" s="16">
        <v>42634</v>
      </c>
    </row>
    <row r="998572" spans="1:1">
      <c r="A998572" s="16">
        <v>42635</v>
      </c>
    </row>
    <row r="998573" spans="1:1">
      <c r="A998573" s="16">
        <v>42636</v>
      </c>
    </row>
    <row r="998574" spans="1:1">
      <c r="A998574" s="16">
        <v>42639</v>
      </c>
    </row>
    <row r="998575" spans="1:1">
      <c r="A998575" s="16">
        <v>42640</v>
      </c>
    </row>
    <row r="998576" spans="1:1">
      <c r="A998576" s="16">
        <v>42641</v>
      </c>
    </row>
    <row r="998577" spans="1:1">
      <c r="A998577" s="16">
        <v>42642</v>
      </c>
    </row>
    <row r="998578" spans="1:1">
      <c r="A998578" s="16">
        <v>42643</v>
      </c>
    </row>
    <row r="998579" spans="1:1">
      <c r="A998579" s="16">
        <v>42653</v>
      </c>
    </row>
    <row r="998580" spans="1:1">
      <c r="A998580" s="16">
        <v>42654</v>
      </c>
    </row>
    <row r="998581" spans="1:1">
      <c r="A998581" s="16">
        <v>42655</v>
      </c>
    </row>
    <row r="998582" spans="1:1">
      <c r="A998582" s="16">
        <v>42656</v>
      </c>
    </row>
    <row r="998583" spans="1:1">
      <c r="A998583" s="16">
        <v>42657</v>
      </c>
    </row>
    <row r="998584" spans="1:1">
      <c r="A998584" s="16">
        <v>42660</v>
      </c>
    </row>
    <row r="998585" spans="1:1">
      <c r="A998585" s="16">
        <v>42661</v>
      </c>
    </row>
    <row r="998586" spans="1:1">
      <c r="A998586" s="16">
        <v>42662</v>
      </c>
    </row>
    <row r="998587" spans="1:1">
      <c r="A998587" s="16">
        <v>42663</v>
      </c>
    </row>
    <row r="998588" spans="1:1">
      <c r="A998588" s="16">
        <v>42664</v>
      </c>
    </row>
    <row r="998589" spans="1:1">
      <c r="A998589" s="16">
        <v>42667</v>
      </c>
    </row>
    <row r="998590" spans="1:1">
      <c r="A998590" s="16">
        <v>42668</v>
      </c>
    </row>
    <row r="998591" spans="1:1">
      <c r="A998591" s="16">
        <v>42669</v>
      </c>
    </row>
    <row r="998592" spans="1:1">
      <c r="A998592" s="16">
        <v>42670</v>
      </c>
    </row>
    <row r="998593" spans="1:1">
      <c r="A998593" s="16">
        <v>42671</v>
      </c>
    </row>
    <row r="998594" spans="1:1">
      <c r="A998594" s="16">
        <v>42674</v>
      </c>
    </row>
    <row r="998595" spans="1:1">
      <c r="A998595" s="16">
        <v>42675</v>
      </c>
    </row>
    <row r="998596" spans="1:1">
      <c r="A998596" s="16">
        <v>42676</v>
      </c>
    </row>
    <row r="998597" spans="1:1">
      <c r="A998597" s="16">
        <v>42677</v>
      </c>
    </row>
    <row r="998598" spans="1:1">
      <c r="A998598" s="16">
        <v>42678</v>
      </c>
    </row>
    <row r="1014896" spans="1:1">
      <c r="A1014896" s="16" t="s">
        <v>0</v>
      </c>
    </row>
    <row r="1014897" spans="1:1">
      <c r="A1014897" s="16" t="s">
        <v>1</v>
      </c>
    </row>
    <row r="1014898" spans="1:1">
      <c r="A1014898" s="16">
        <v>42551</v>
      </c>
    </row>
    <row r="1014899" spans="1:1">
      <c r="A1014899" s="16">
        <v>42552</v>
      </c>
    </row>
    <row r="1014900" spans="1:1">
      <c r="A1014900" s="16">
        <v>42555</v>
      </c>
    </row>
    <row r="1014901" spans="1:1">
      <c r="A1014901" s="16">
        <v>42556</v>
      </c>
    </row>
    <row r="1014902" spans="1:1">
      <c r="A1014902" s="16">
        <v>42557</v>
      </c>
    </row>
    <row r="1014903" spans="1:1">
      <c r="A1014903" s="16">
        <v>42558</v>
      </c>
    </row>
    <row r="1014904" spans="1:1">
      <c r="A1014904" s="16">
        <v>42559</v>
      </c>
    </row>
    <row r="1014905" spans="1:1">
      <c r="A1014905" s="16">
        <v>42562</v>
      </c>
    </row>
    <row r="1014906" spans="1:1">
      <c r="A1014906" s="16">
        <v>42563</v>
      </c>
    </row>
    <row r="1014907" spans="1:1">
      <c r="A1014907" s="16">
        <v>42564</v>
      </c>
    </row>
    <row r="1014908" spans="1:1">
      <c r="A1014908" s="16">
        <v>42565</v>
      </c>
    </row>
    <row r="1014909" spans="1:1">
      <c r="A1014909" s="16">
        <v>42566</v>
      </c>
    </row>
    <row r="1014910" spans="1:1">
      <c r="A1014910" s="16">
        <v>42569</v>
      </c>
    </row>
    <row r="1014911" spans="1:1">
      <c r="A1014911" s="16">
        <v>42570</v>
      </c>
    </row>
    <row r="1014912" spans="1:1">
      <c r="A1014912" s="16">
        <v>42571</v>
      </c>
    </row>
    <row r="1014913" spans="1:1">
      <c r="A1014913" s="16">
        <v>42572</v>
      </c>
    </row>
    <row r="1014914" spans="1:1">
      <c r="A1014914" s="16">
        <v>42573</v>
      </c>
    </row>
    <row r="1014915" spans="1:1">
      <c r="A1014915" s="16">
        <v>42576</v>
      </c>
    </row>
    <row r="1014916" spans="1:1">
      <c r="A1014916" s="16">
        <v>42577</v>
      </c>
    </row>
    <row r="1014917" spans="1:1">
      <c r="A1014917" s="16">
        <v>42578</v>
      </c>
    </row>
    <row r="1014918" spans="1:1">
      <c r="A1014918" s="16">
        <v>42579</v>
      </c>
    </row>
    <row r="1014919" spans="1:1">
      <c r="A1014919" s="16">
        <v>42580</v>
      </c>
    </row>
    <row r="1014920" spans="1:1">
      <c r="A1014920" s="16">
        <v>42583</v>
      </c>
    </row>
    <row r="1014921" spans="1:1">
      <c r="A1014921" s="16">
        <v>42584</v>
      </c>
    </row>
    <row r="1014922" spans="1:1">
      <c r="A1014922" s="16">
        <v>42585</v>
      </c>
    </row>
    <row r="1014923" spans="1:1">
      <c r="A1014923" s="16">
        <v>42586</v>
      </c>
    </row>
    <row r="1014924" spans="1:1">
      <c r="A1014924" s="16">
        <v>42587</v>
      </c>
    </row>
    <row r="1014925" spans="1:1">
      <c r="A1014925" s="16">
        <v>42590</v>
      </c>
    </row>
    <row r="1014926" spans="1:1">
      <c r="A1014926" s="16">
        <v>42591</v>
      </c>
    </row>
    <row r="1014927" spans="1:1">
      <c r="A1014927" s="16">
        <v>42592</v>
      </c>
    </row>
    <row r="1014928" spans="1:1">
      <c r="A1014928" s="16">
        <v>42593</v>
      </c>
    </row>
    <row r="1014929" spans="1:1">
      <c r="A1014929" s="16">
        <v>42594</v>
      </c>
    </row>
    <row r="1014930" spans="1:1">
      <c r="A1014930" s="16">
        <v>42597</v>
      </c>
    </row>
    <row r="1014931" spans="1:1">
      <c r="A1014931" s="16">
        <v>42598</v>
      </c>
    </row>
    <row r="1014932" spans="1:1">
      <c r="A1014932" s="16">
        <v>42599</v>
      </c>
    </row>
    <row r="1014933" spans="1:1">
      <c r="A1014933" s="16">
        <v>42600</v>
      </c>
    </row>
    <row r="1014934" spans="1:1">
      <c r="A1014934" s="16">
        <v>42601</v>
      </c>
    </row>
    <row r="1014935" spans="1:1">
      <c r="A1014935" s="16">
        <v>42604</v>
      </c>
    </row>
    <row r="1014936" spans="1:1">
      <c r="A1014936" s="16">
        <v>42605</v>
      </c>
    </row>
    <row r="1014937" spans="1:1">
      <c r="A1014937" s="16">
        <v>42606</v>
      </c>
    </row>
    <row r="1014938" spans="1:1">
      <c r="A1014938" s="16">
        <v>42607</v>
      </c>
    </row>
    <row r="1014939" spans="1:1">
      <c r="A1014939" s="16">
        <v>42608</v>
      </c>
    </row>
    <row r="1014940" spans="1:1">
      <c r="A1014940" s="16">
        <v>42611</v>
      </c>
    </row>
    <row r="1014941" spans="1:1">
      <c r="A1014941" s="16">
        <v>42612</v>
      </c>
    </row>
    <row r="1014942" spans="1:1">
      <c r="A1014942" s="16">
        <v>42613</v>
      </c>
    </row>
    <row r="1014943" spans="1:1">
      <c r="A1014943" s="16">
        <v>42614</v>
      </c>
    </row>
    <row r="1014944" spans="1:1">
      <c r="A1014944" s="16">
        <v>42615</v>
      </c>
    </row>
    <row r="1014945" spans="1:1">
      <c r="A1014945" s="16">
        <v>42618</v>
      </c>
    </row>
    <row r="1014946" spans="1:1">
      <c r="A1014946" s="16">
        <v>42619</v>
      </c>
    </row>
    <row r="1014947" spans="1:1">
      <c r="A1014947" s="16">
        <v>42620</v>
      </c>
    </row>
    <row r="1014948" spans="1:1">
      <c r="A1014948" s="16">
        <v>42621</v>
      </c>
    </row>
    <row r="1014949" spans="1:1">
      <c r="A1014949" s="16">
        <v>42622</v>
      </c>
    </row>
    <row r="1014950" spans="1:1">
      <c r="A1014950" s="16">
        <v>42625</v>
      </c>
    </row>
    <row r="1014951" spans="1:1">
      <c r="A1014951" s="16">
        <v>42626</v>
      </c>
    </row>
    <row r="1014952" spans="1:1">
      <c r="A1014952" s="16">
        <v>42627</v>
      </c>
    </row>
    <row r="1014953" spans="1:1">
      <c r="A1014953" s="16">
        <v>42632</v>
      </c>
    </row>
    <row r="1014954" spans="1:1">
      <c r="A1014954" s="16">
        <v>42633</v>
      </c>
    </row>
    <row r="1014955" spans="1:1">
      <c r="A1014955" s="16">
        <v>42634</v>
      </c>
    </row>
    <row r="1014956" spans="1:1">
      <c r="A1014956" s="16">
        <v>42635</v>
      </c>
    </row>
    <row r="1014957" spans="1:1">
      <c r="A1014957" s="16">
        <v>42636</v>
      </c>
    </row>
    <row r="1014958" spans="1:1">
      <c r="A1014958" s="16">
        <v>42639</v>
      </c>
    </row>
    <row r="1014959" spans="1:1">
      <c r="A1014959" s="16">
        <v>42640</v>
      </c>
    </row>
    <row r="1014960" spans="1:1">
      <c r="A1014960" s="16">
        <v>42641</v>
      </c>
    </row>
    <row r="1014961" spans="1:1">
      <c r="A1014961" s="16">
        <v>42642</v>
      </c>
    </row>
    <row r="1014962" spans="1:1">
      <c r="A1014962" s="16">
        <v>42643</v>
      </c>
    </row>
    <row r="1014963" spans="1:1">
      <c r="A1014963" s="16">
        <v>42653</v>
      </c>
    </row>
    <row r="1014964" spans="1:1">
      <c r="A1014964" s="16">
        <v>42654</v>
      </c>
    </row>
    <row r="1014965" spans="1:1">
      <c r="A1014965" s="16">
        <v>42655</v>
      </c>
    </row>
    <row r="1014966" spans="1:1">
      <c r="A1014966" s="16">
        <v>42656</v>
      </c>
    </row>
    <row r="1014967" spans="1:1">
      <c r="A1014967" s="16">
        <v>42657</v>
      </c>
    </row>
    <row r="1014968" spans="1:1">
      <c r="A1014968" s="16">
        <v>42660</v>
      </c>
    </row>
    <row r="1014969" spans="1:1">
      <c r="A1014969" s="16">
        <v>42661</v>
      </c>
    </row>
    <row r="1014970" spans="1:1">
      <c r="A1014970" s="16">
        <v>42662</v>
      </c>
    </row>
    <row r="1014971" spans="1:1">
      <c r="A1014971" s="16">
        <v>42663</v>
      </c>
    </row>
    <row r="1014972" spans="1:1">
      <c r="A1014972" s="16">
        <v>42664</v>
      </c>
    </row>
    <row r="1014973" spans="1:1">
      <c r="A1014973" s="16">
        <v>42667</v>
      </c>
    </row>
    <row r="1014974" spans="1:1">
      <c r="A1014974" s="16">
        <v>42668</v>
      </c>
    </row>
    <row r="1014975" spans="1:1">
      <c r="A1014975" s="16">
        <v>42669</v>
      </c>
    </row>
    <row r="1014976" spans="1:1">
      <c r="A1014976" s="16">
        <v>42670</v>
      </c>
    </row>
    <row r="1014977" spans="1:1">
      <c r="A1014977" s="16">
        <v>42671</v>
      </c>
    </row>
    <row r="1014978" spans="1:1">
      <c r="A1014978" s="16">
        <v>42674</v>
      </c>
    </row>
    <row r="1014979" spans="1:1">
      <c r="A1014979" s="16">
        <v>42675</v>
      </c>
    </row>
    <row r="1014980" spans="1:1">
      <c r="A1014980" s="16">
        <v>42676</v>
      </c>
    </row>
    <row r="1014981" spans="1:1">
      <c r="A1014981" s="16">
        <v>42677</v>
      </c>
    </row>
    <row r="1014982" spans="1:1">
      <c r="A1014982" s="16">
        <v>42678</v>
      </c>
    </row>
    <row r="1031280" spans="1:1">
      <c r="A1031280" s="16" t="s">
        <v>0</v>
      </c>
    </row>
    <row r="1031281" spans="1:1">
      <c r="A1031281" s="16" t="s">
        <v>1</v>
      </c>
    </row>
    <row r="1031282" spans="1:1">
      <c r="A1031282" s="16">
        <v>42551</v>
      </c>
    </row>
    <row r="1031283" spans="1:1">
      <c r="A1031283" s="16">
        <v>42552</v>
      </c>
    </row>
    <row r="1031284" spans="1:1">
      <c r="A1031284" s="16">
        <v>42555</v>
      </c>
    </row>
    <row r="1031285" spans="1:1">
      <c r="A1031285" s="16">
        <v>42556</v>
      </c>
    </row>
    <row r="1031286" spans="1:1">
      <c r="A1031286" s="16">
        <v>42557</v>
      </c>
    </row>
    <row r="1031287" spans="1:1">
      <c r="A1031287" s="16">
        <v>42558</v>
      </c>
    </row>
    <row r="1031288" spans="1:1">
      <c r="A1031288" s="16">
        <v>42559</v>
      </c>
    </row>
    <row r="1031289" spans="1:1">
      <c r="A1031289" s="16">
        <v>42562</v>
      </c>
    </row>
    <row r="1031290" spans="1:1">
      <c r="A1031290" s="16">
        <v>42563</v>
      </c>
    </row>
    <row r="1031291" spans="1:1">
      <c r="A1031291" s="16">
        <v>42564</v>
      </c>
    </row>
    <row r="1031292" spans="1:1">
      <c r="A1031292" s="16">
        <v>42565</v>
      </c>
    </row>
    <row r="1031293" spans="1:1">
      <c r="A1031293" s="16">
        <v>42566</v>
      </c>
    </row>
    <row r="1031294" spans="1:1">
      <c r="A1031294" s="16">
        <v>42569</v>
      </c>
    </row>
    <row r="1031295" spans="1:1">
      <c r="A1031295" s="16">
        <v>42570</v>
      </c>
    </row>
    <row r="1031296" spans="1:1">
      <c r="A1031296" s="16">
        <v>42571</v>
      </c>
    </row>
    <row r="1031297" spans="1:1">
      <c r="A1031297" s="16">
        <v>42572</v>
      </c>
    </row>
    <row r="1031298" spans="1:1">
      <c r="A1031298" s="16">
        <v>42573</v>
      </c>
    </row>
    <row r="1031299" spans="1:1">
      <c r="A1031299" s="16">
        <v>42576</v>
      </c>
    </row>
    <row r="1031300" spans="1:1">
      <c r="A1031300" s="16">
        <v>42577</v>
      </c>
    </row>
    <row r="1031301" spans="1:1">
      <c r="A1031301" s="16">
        <v>42578</v>
      </c>
    </row>
    <row r="1031302" spans="1:1">
      <c r="A1031302" s="16">
        <v>42579</v>
      </c>
    </row>
    <row r="1031303" spans="1:1">
      <c r="A1031303" s="16">
        <v>42580</v>
      </c>
    </row>
    <row r="1031304" spans="1:1">
      <c r="A1031304" s="16">
        <v>42583</v>
      </c>
    </row>
    <row r="1031305" spans="1:1">
      <c r="A1031305" s="16">
        <v>42584</v>
      </c>
    </row>
    <row r="1031306" spans="1:1">
      <c r="A1031306" s="16">
        <v>42585</v>
      </c>
    </row>
    <row r="1031307" spans="1:1">
      <c r="A1031307" s="16">
        <v>42586</v>
      </c>
    </row>
    <row r="1031308" spans="1:1">
      <c r="A1031308" s="16">
        <v>42587</v>
      </c>
    </row>
    <row r="1031309" spans="1:1">
      <c r="A1031309" s="16">
        <v>42590</v>
      </c>
    </row>
    <row r="1031310" spans="1:1">
      <c r="A1031310" s="16">
        <v>42591</v>
      </c>
    </row>
    <row r="1031311" spans="1:1">
      <c r="A1031311" s="16">
        <v>42592</v>
      </c>
    </row>
    <row r="1031312" spans="1:1">
      <c r="A1031312" s="16">
        <v>42593</v>
      </c>
    </row>
    <row r="1031313" spans="1:1">
      <c r="A1031313" s="16">
        <v>42594</v>
      </c>
    </row>
    <row r="1031314" spans="1:1">
      <c r="A1031314" s="16">
        <v>42597</v>
      </c>
    </row>
    <row r="1031315" spans="1:1">
      <c r="A1031315" s="16">
        <v>42598</v>
      </c>
    </row>
    <row r="1031316" spans="1:1">
      <c r="A1031316" s="16">
        <v>42599</v>
      </c>
    </row>
    <row r="1031317" spans="1:1">
      <c r="A1031317" s="16">
        <v>42600</v>
      </c>
    </row>
    <row r="1031318" spans="1:1">
      <c r="A1031318" s="16">
        <v>42601</v>
      </c>
    </row>
    <row r="1031319" spans="1:1">
      <c r="A1031319" s="16">
        <v>42604</v>
      </c>
    </row>
    <row r="1031320" spans="1:1">
      <c r="A1031320" s="16">
        <v>42605</v>
      </c>
    </row>
    <row r="1031321" spans="1:1">
      <c r="A1031321" s="16">
        <v>42606</v>
      </c>
    </row>
    <row r="1031322" spans="1:1">
      <c r="A1031322" s="16">
        <v>42607</v>
      </c>
    </row>
    <row r="1031323" spans="1:1">
      <c r="A1031323" s="16">
        <v>42608</v>
      </c>
    </row>
    <row r="1031324" spans="1:1">
      <c r="A1031324" s="16">
        <v>42611</v>
      </c>
    </row>
    <row r="1031325" spans="1:1">
      <c r="A1031325" s="16">
        <v>42612</v>
      </c>
    </row>
    <row r="1031326" spans="1:1">
      <c r="A1031326" s="16">
        <v>42613</v>
      </c>
    </row>
    <row r="1031327" spans="1:1">
      <c r="A1031327" s="16">
        <v>42614</v>
      </c>
    </row>
    <row r="1031328" spans="1:1">
      <c r="A1031328" s="16">
        <v>42615</v>
      </c>
    </row>
    <row r="1031329" spans="1:1">
      <c r="A1031329" s="16">
        <v>42618</v>
      </c>
    </row>
    <row r="1031330" spans="1:1">
      <c r="A1031330" s="16">
        <v>42619</v>
      </c>
    </row>
    <row r="1031331" spans="1:1">
      <c r="A1031331" s="16">
        <v>42620</v>
      </c>
    </row>
    <row r="1031332" spans="1:1">
      <c r="A1031332" s="16">
        <v>42621</v>
      </c>
    </row>
    <row r="1031333" spans="1:1">
      <c r="A1031333" s="16">
        <v>42622</v>
      </c>
    </row>
    <row r="1031334" spans="1:1">
      <c r="A1031334" s="16">
        <v>42625</v>
      </c>
    </row>
    <row r="1031335" spans="1:1">
      <c r="A1031335" s="16">
        <v>42626</v>
      </c>
    </row>
    <row r="1031336" spans="1:1">
      <c r="A1031336" s="16">
        <v>42627</v>
      </c>
    </row>
    <row r="1031337" spans="1:1">
      <c r="A1031337" s="16">
        <v>42632</v>
      </c>
    </row>
    <row r="1031338" spans="1:1">
      <c r="A1031338" s="16">
        <v>42633</v>
      </c>
    </row>
    <row r="1031339" spans="1:1">
      <c r="A1031339" s="16">
        <v>42634</v>
      </c>
    </row>
    <row r="1031340" spans="1:1">
      <c r="A1031340" s="16">
        <v>42635</v>
      </c>
    </row>
    <row r="1031341" spans="1:1">
      <c r="A1031341" s="16">
        <v>42636</v>
      </c>
    </row>
    <row r="1031342" spans="1:1">
      <c r="A1031342" s="16">
        <v>42639</v>
      </c>
    </row>
    <row r="1031343" spans="1:1">
      <c r="A1031343" s="16">
        <v>42640</v>
      </c>
    </row>
    <row r="1031344" spans="1:1">
      <c r="A1031344" s="16">
        <v>42641</v>
      </c>
    </row>
    <row r="1031345" spans="1:1">
      <c r="A1031345" s="16">
        <v>42642</v>
      </c>
    </row>
    <row r="1031346" spans="1:1">
      <c r="A1031346" s="16">
        <v>42643</v>
      </c>
    </row>
    <row r="1031347" spans="1:1">
      <c r="A1031347" s="16">
        <v>42653</v>
      </c>
    </row>
    <row r="1031348" spans="1:1">
      <c r="A1031348" s="16">
        <v>42654</v>
      </c>
    </row>
    <row r="1031349" spans="1:1">
      <c r="A1031349" s="16">
        <v>42655</v>
      </c>
    </row>
    <row r="1031350" spans="1:1">
      <c r="A1031350" s="16">
        <v>42656</v>
      </c>
    </row>
    <row r="1031351" spans="1:1">
      <c r="A1031351" s="16">
        <v>42657</v>
      </c>
    </row>
    <row r="1031352" spans="1:1">
      <c r="A1031352" s="16">
        <v>42660</v>
      </c>
    </row>
    <row r="1031353" spans="1:1">
      <c r="A1031353" s="16">
        <v>42661</v>
      </c>
    </row>
    <row r="1031354" spans="1:1">
      <c r="A1031354" s="16">
        <v>42662</v>
      </c>
    </row>
    <row r="1031355" spans="1:1">
      <c r="A1031355" s="16">
        <v>42663</v>
      </c>
    </row>
    <row r="1031356" spans="1:1">
      <c r="A1031356" s="16">
        <v>42664</v>
      </c>
    </row>
    <row r="1031357" spans="1:1">
      <c r="A1031357" s="16">
        <v>42667</v>
      </c>
    </row>
    <row r="1031358" spans="1:1">
      <c r="A1031358" s="16">
        <v>42668</v>
      </c>
    </row>
    <row r="1031359" spans="1:1">
      <c r="A1031359" s="16">
        <v>42669</v>
      </c>
    </row>
    <row r="1031360" spans="1:1">
      <c r="A1031360" s="16">
        <v>42670</v>
      </c>
    </row>
    <row r="1031361" spans="1:1">
      <c r="A1031361" s="16">
        <v>42671</v>
      </c>
    </row>
    <row r="1031362" spans="1:1">
      <c r="A1031362" s="16">
        <v>42674</v>
      </c>
    </row>
    <row r="1031363" spans="1:1">
      <c r="A1031363" s="16">
        <v>42675</v>
      </c>
    </row>
    <row r="1031364" spans="1:1">
      <c r="A1031364" s="16">
        <v>42676</v>
      </c>
    </row>
    <row r="1031365" spans="1:1">
      <c r="A1031365" s="16">
        <v>42677</v>
      </c>
    </row>
    <row r="1031366" spans="1:1">
      <c r="A1031366" s="16">
        <v>42678</v>
      </c>
    </row>
  </sheetData>
  <phoneticPr fontId="18" type="noConversion"/>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sheetPr codeName="Sheet5">
    <tabColor indexed="62"/>
  </sheetPr>
  <dimension ref="A1:L70"/>
  <sheetViews>
    <sheetView workbookViewId="0">
      <pane xSplit="2" ySplit="2" topLeftCell="C54" activePane="bottomRight" state="frozen"/>
      <selection pane="topRight" activeCell="C1" sqref="C1"/>
      <selection pane="bottomLeft" activeCell="A3" sqref="A3"/>
      <selection pane="bottomRight" activeCell="H54" sqref="H54:L70"/>
    </sheetView>
  </sheetViews>
  <sheetFormatPr defaultColWidth="9" defaultRowHeight="15.6"/>
  <cols>
    <col min="1" max="1" width="10" style="2" customWidth="1"/>
    <col min="2" max="2" width="26" style="84" customWidth="1"/>
    <col min="3" max="3" width="10.44140625" style="15" bestFit="1" customWidth="1"/>
    <col min="4" max="4" width="9.44140625" style="12" bestFit="1" customWidth="1"/>
    <col min="5" max="5" width="9" style="12"/>
    <col min="6" max="6" width="9" style="37"/>
    <col min="7" max="7" width="13.77734375" style="42" customWidth="1"/>
    <col min="8" max="8" width="9" style="84"/>
    <col min="9" max="9" width="9.44140625" style="50" bestFit="1" customWidth="1"/>
    <col min="10" max="10" width="9" style="2"/>
    <col min="11" max="11" width="11" style="2" customWidth="1"/>
    <col min="12" max="12" width="9.33203125" style="2" bestFit="1" customWidth="1"/>
    <col min="13" max="16384" width="9" style="2"/>
  </cols>
  <sheetData>
    <row r="1" spans="1:12" ht="28.5" customHeight="1">
      <c r="A1" s="6" t="s">
        <v>0</v>
      </c>
      <c r="B1" s="135" t="s">
        <v>1</v>
      </c>
      <c r="C1" s="13" t="s">
        <v>12</v>
      </c>
      <c r="D1" s="10" t="s">
        <v>9</v>
      </c>
      <c r="E1" s="9" t="s">
        <v>10</v>
      </c>
      <c r="F1" s="36" t="s">
        <v>3</v>
      </c>
      <c r="G1" s="41" t="s">
        <v>11</v>
      </c>
      <c r="H1" s="83" t="s">
        <v>17</v>
      </c>
      <c r="I1" s="49" t="s">
        <v>18</v>
      </c>
      <c r="J1" s="3" t="s">
        <v>19</v>
      </c>
      <c r="K1" s="3" t="s">
        <v>20</v>
      </c>
    </row>
    <row r="2" spans="1:12" ht="15" customHeight="1">
      <c r="A2" s="4" t="s">
        <v>13</v>
      </c>
      <c r="B2" s="72" t="s">
        <v>225</v>
      </c>
      <c r="C2" s="14">
        <v>1.224</v>
      </c>
      <c r="D2" s="11">
        <v>1.33</v>
      </c>
      <c r="E2" s="11">
        <v>1.224</v>
      </c>
      <c r="F2" s="178">
        <v>0</v>
      </c>
      <c r="G2" s="7">
        <v>43980</v>
      </c>
      <c r="H2" s="83">
        <f t="shared" ref="H2:H33" si="0">RIGHT(A2,6)+0</f>
        <v>16</v>
      </c>
      <c r="I2" s="49">
        <f t="shared" ref="I2:I33" si="1">C2</f>
        <v>1.224</v>
      </c>
      <c r="J2" s="8">
        <f t="shared" ref="J2:J33" si="2">F2</f>
        <v>0</v>
      </c>
      <c r="K2" s="7">
        <f t="shared" ref="K2:K33" si="3">G2</f>
        <v>43980</v>
      </c>
      <c r="L2" s="14">
        <f t="shared" ref="L2:L33" si="4">C2/(1+F2)</f>
        <v>1.224</v>
      </c>
    </row>
    <row r="3" spans="1:12">
      <c r="A3" s="3" t="s">
        <v>745</v>
      </c>
      <c r="B3" s="83" t="s">
        <v>772</v>
      </c>
      <c r="C3" s="14">
        <v>2.2427000000000001</v>
      </c>
      <c r="D3" s="11">
        <v>2.2427000000000001</v>
      </c>
      <c r="E3" s="11">
        <v>2.2103000000000002</v>
      </c>
      <c r="F3" s="173">
        <v>1.47E-2</v>
      </c>
      <c r="G3" s="7">
        <v>43980</v>
      </c>
      <c r="H3" s="83">
        <f t="shared" si="0"/>
        <v>248</v>
      </c>
      <c r="I3" s="49">
        <f t="shared" si="1"/>
        <v>2.2427000000000001</v>
      </c>
      <c r="J3" s="8">
        <f t="shared" si="2"/>
        <v>1.47E-2</v>
      </c>
      <c r="K3" s="7">
        <f t="shared" si="3"/>
        <v>43980</v>
      </c>
      <c r="L3" s="14">
        <f t="shared" si="4"/>
        <v>2.2102099142603726</v>
      </c>
    </row>
    <row r="4" spans="1:12">
      <c r="A4" s="3" t="s">
        <v>15</v>
      </c>
      <c r="B4" s="83" t="s">
        <v>226</v>
      </c>
      <c r="C4" s="14">
        <v>1.9</v>
      </c>
      <c r="D4" s="11">
        <v>2.5710000000000002</v>
      </c>
      <c r="E4" s="11">
        <v>1.885</v>
      </c>
      <c r="F4" s="173">
        <v>8.0000000000000002E-3</v>
      </c>
      <c r="G4" s="7">
        <v>43980</v>
      </c>
      <c r="H4" s="83">
        <f t="shared" si="0"/>
        <v>663</v>
      </c>
      <c r="I4" s="49">
        <f t="shared" si="1"/>
        <v>1.9</v>
      </c>
      <c r="J4" s="8">
        <f t="shared" si="2"/>
        <v>8.0000000000000002E-3</v>
      </c>
      <c r="K4" s="7">
        <f t="shared" si="3"/>
        <v>43980</v>
      </c>
      <c r="L4" s="14">
        <f t="shared" si="4"/>
        <v>1.8849206349206349</v>
      </c>
    </row>
    <row r="5" spans="1:12">
      <c r="A5" s="3" t="s">
        <v>746</v>
      </c>
      <c r="B5" s="83" t="s">
        <v>773</v>
      </c>
      <c r="C5" s="14">
        <v>1.0232000000000001</v>
      </c>
      <c r="D5" s="11">
        <v>1.0232000000000001</v>
      </c>
      <c r="E5" s="11">
        <v>1.0038</v>
      </c>
      <c r="F5" s="173">
        <v>1.9300000000000001E-2</v>
      </c>
      <c r="G5" s="7">
        <v>43980</v>
      </c>
      <c r="H5" s="83">
        <f t="shared" si="0"/>
        <v>1180</v>
      </c>
      <c r="I5" s="49">
        <f t="shared" si="1"/>
        <v>1.0232000000000001</v>
      </c>
      <c r="J5" s="8">
        <f t="shared" si="2"/>
        <v>1.9300000000000001E-2</v>
      </c>
      <c r="K5" s="7">
        <f t="shared" si="3"/>
        <v>43980</v>
      </c>
      <c r="L5" s="14">
        <f t="shared" si="4"/>
        <v>1.0038261552045522</v>
      </c>
    </row>
    <row r="6" spans="1:12">
      <c r="A6" s="3" t="s">
        <v>747</v>
      </c>
      <c r="B6" s="83" t="s">
        <v>774</v>
      </c>
      <c r="C6" s="14">
        <v>2.1640000000000001</v>
      </c>
      <c r="D6" s="11">
        <v>2.2421000000000002</v>
      </c>
      <c r="E6" s="11">
        <v>2.1318999999999999</v>
      </c>
      <c r="F6" s="173">
        <v>1.5100000000000001E-2</v>
      </c>
      <c r="G6" s="7">
        <v>43980</v>
      </c>
      <c r="H6" s="83">
        <f t="shared" si="0"/>
        <v>1631</v>
      </c>
      <c r="I6" s="49">
        <f t="shared" si="1"/>
        <v>2.1640000000000001</v>
      </c>
      <c r="J6" s="8">
        <f t="shared" si="2"/>
        <v>1.5100000000000001E-2</v>
      </c>
      <c r="K6" s="7">
        <f t="shared" si="3"/>
        <v>43980</v>
      </c>
      <c r="L6" s="14">
        <f t="shared" si="4"/>
        <v>2.1318096739237515</v>
      </c>
    </row>
    <row r="7" spans="1:12">
      <c r="A7" s="3" t="s">
        <v>748</v>
      </c>
      <c r="B7" s="83" t="s">
        <v>775</v>
      </c>
      <c r="C7" s="14">
        <v>1.6577</v>
      </c>
      <c r="D7" s="11">
        <v>2.2244999999999999</v>
      </c>
      <c r="E7" s="11">
        <v>1.6251</v>
      </c>
      <c r="F7" s="173">
        <v>2.01E-2</v>
      </c>
      <c r="G7" s="7">
        <v>43980</v>
      </c>
      <c r="H7" s="83">
        <f t="shared" si="0"/>
        <v>1938</v>
      </c>
      <c r="I7" s="49">
        <f t="shared" si="1"/>
        <v>1.6577</v>
      </c>
      <c r="J7" s="8">
        <f t="shared" si="2"/>
        <v>2.01E-2</v>
      </c>
      <c r="K7" s="7">
        <f t="shared" si="3"/>
        <v>43980</v>
      </c>
      <c r="L7" s="14">
        <f t="shared" si="4"/>
        <v>1.6250367611018528</v>
      </c>
    </row>
    <row r="8" spans="1:12">
      <c r="A8" s="3" t="s">
        <v>749</v>
      </c>
      <c r="B8" s="83" t="s">
        <v>776</v>
      </c>
      <c r="C8" s="14">
        <v>1.0656000000000001</v>
      </c>
      <c r="D8" s="11">
        <v>1.0656000000000001</v>
      </c>
      <c r="E8" s="11">
        <v>1.0516000000000001</v>
      </c>
      <c r="F8" s="173">
        <v>1.3299999999999999E-2</v>
      </c>
      <c r="G8" s="7">
        <v>43980</v>
      </c>
      <c r="H8" s="83">
        <f t="shared" si="0"/>
        <v>5063</v>
      </c>
      <c r="I8" s="49">
        <f t="shared" si="1"/>
        <v>1.0656000000000001</v>
      </c>
      <c r="J8" s="8">
        <f t="shared" si="2"/>
        <v>1.3299999999999999E-2</v>
      </c>
      <c r="K8" s="7">
        <f t="shared" si="3"/>
        <v>43980</v>
      </c>
      <c r="L8" s="14">
        <f t="shared" si="4"/>
        <v>1.0516135399190762</v>
      </c>
    </row>
    <row r="9" spans="1:12">
      <c r="A9" s="3" t="s">
        <v>730</v>
      </c>
      <c r="B9" s="83" t="s">
        <v>777</v>
      </c>
      <c r="C9" s="14">
        <v>1.7766999999999999</v>
      </c>
      <c r="D9" s="11">
        <v>3.6766999999999999</v>
      </c>
      <c r="E9" s="11">
        <v>1.7692000000000001</v>
      </c>
      <c r="F9" s="173">
        <v>4.1999999999999997E-3</v>
      </c>
      <c r="G9" s="7">
        <v>43980</v>
      </c>
      <c r="H9" s="83">
        <f t="shared" si="0"/>
        <v>110003</v>
      </c>
      <c r="I9" s="49">
        <f t="shared" si="1"/>
        <v>1.7766999999999999</v>
      </c>
      <c r="J9" s="8">
        <f t="shared" si="2"/>
        <v>4.1999999999999997E-3</v>
      </c>
      <c r="K9" s="7">
        <f t="shared" si="3"/>
        <v>43980</v>
      </c>
      <c r="L9" s="14">
        <f t="shared" si="4"/>
        <v>1.7692690699063931</v>
      </c>
    </row>
    <row r="10" spans="1:12">
      <c r="A10" s="2" t="s">
        <v>731</v>
      </c>
      <c r="B10" s="83" t="s">
        <v>778</v>
      </c>
      <c r="C10" s="15">
        <v>1.1184000000000001</v>
      </c>
      <c r="D10" s="12">
        <v>1.1184000000000001</v>
      </c>
      <c r="E10" s="12">
        <v>1.1167</v>
      </c>
      <c r="F10" s="166">
        <v>1.5E-3</v>
      </c>
      <c r="G10" s="42">
        <v>43980</v>
      </c>
      <c r="H10" s="83">
        <f t="shared" si="0"/>
        <v>110031</v>
      </c>
      <c r="I10" s="49">
        <f t="shared" si="1"/>
        <v>1.1184000000000001</v>
      </c>
      <c r="J10" s="8">
        <f t="shared" si="2"/>
        <v>1.5E-3</v>
      </c>
      <c r="K10" s="7">
        <f t="shared" si="3"/>
        <v>43980</v>
      </c>
      <c r="L10" s="14">
        <f t="shared" si="4"/>
        <v>1.1167249126310534</v>
      </c>
    </row>
    <row r="11" spans="1:12">
      <c r="A11" s="2" t="s">
        <v>751</v>
      </c>
      <c r="B11" s="83" t="s">
        <v>815</v>
      </c>
      <c r="C11" s="15">
        <v>3.3807</v>
      </c>
      <c r="D11" s="12">
        <v>3.3807</v>
      </c>
      <c r="E11" s="12">
        <v>3.3292000000000002</v>
      </c>
      <c r="F11" s="166">
        <v>1.55E-2</v>
      </c>
      <c r="G11" s="42">
        <v>43980</v>
      </c>
      <c r="H11" s="83">
        <f t="shared" si="0"/>
        <v>159928</v>
      </c>
      <c r="I11" s="49">
        <f t="shared" si="1"/>
        <v>3.3807</v>
      </c>
      <c r="J11" s="8">
        <f t="shared" si="2"/>
        <v>1.55E-2</v>
      </c>
      <c r="K11" s="7">
        <f t="shared" si="3"/>
        <v>43980</v>
      </c>
      <c r="L11" s="14">
        <f t="shared" si="4"/>
        <v>3.3290989660265877</v>
      </c>
    </row>
    <row r="12" spans="1:12">
      <c r="A12" s="2" t="s">
        <v>732</v>
      </c>
      <c r="B12" s="83" t="s">
        <v>779</v>
      </c>
      <c r="C12" s="15">
        <v>4.0629999999999997</v>
      </c>
      <c r="D12" s="12">
        <v>4.5629999999999997</v>
      </c>
      <c r="E12" s="12">
        <v>4.0640000000000001</v>
      </c>
      <c r="F12" s="169">
        <v>-2.0000000000000001E-4</v>
      </c>
      <c r="G12" s="42">
        <v>43980</v>
      </c>
      <c r="H12" s="83">
        <f t="shared" si="0"/>
        <v>160213</v>
      </c>
      <c r="I12" s="49">
        <f t="shared" si="1"/>
        <v>4.0629999999999997</v>
      </c>
      <c r="J12" s="8">
        <f t="shared" si="2"/>
        <v>-2.0000000000000001E-4</v>
      </c>
      <c r="K12" s="7">
        <f t="shared" si="3"/>
        <v>43980</v>
      </c>
      <c r="L12" s="14">
        <f t="shared" si="4"/>
        <v>4.0638127625525104</v>
      </c>
    </row>
    <row r="13" spans="1:12">
      <c r="A13" s="2" t="s">
        <v>733</v>
      </c>
      <c r="B13" s="84" t="s">
        <v>780</v>
      </c>
      <c r="C13" s="37">
        <v>0.96760000000000002</v>
      </c>
      <c r="D13" s="12">
        <v>1.8232999999999999</v>
      </c>
      <c r="E13" s="12">
        <v>0.97350000000000003</v>
      </c>
      <c r="F13" s="169">
        <v>-6.1000000000000004E-3</v>
      </c>
      <c r="G13" s="42">
        <v>43980</v>
      </c>
      <c r="H13" s="83">
        <f t="shared" si="0"/>
        <v>160218</v>
      </c>
      <c r="I13" s="49">
        <f t="shared" si="1"/>
        <v>0.96760000000000002</v>
      </c>
      <c r="J13" s="8">
        <f t="shared" si="2"/>
        <v>-6.1000000000000004E-3</v>
      </c>
      <c r="K13" s="7">
        <f t="shared" si="3"/>
        <v>43980</v>
      </c>
      <c r="L13" s="14">
        <f t="shared" si="4"/>
        <v>0.97353858537076166</v>
      </c>
    </row>
    <row r="14" spans="1:12">
      <c r="A14" s="2" t="s">
        <v>197</v>
      </c>
      <c r="B14" s="148" t="s">
        <v>249</v>
      </c>
      <c r="C14" s="15">
        <v>1.2293000000000001</v>
      </c>
      <c r="D14" s="12">
        <v>2.4762</v>
      </c>
      <c r="E14" s="12">
        <v>1.2123999999999999</v>
      </c>
      <c r="F14" s="166">
        <v>1.3899999999999999E-2</v>
      </c>
      <c r="G14" s="42">
        <v>43980</v>
      </c>
      <c r="H14" s="83">
        <f t="shared" si="0"/>
        <v>160222</v>
      </c>
      <c r="I14" s="49">
        <f t="shared" si="1"/>
        <v>1.2293000000000001</v>
      </c>
      <c r="J14" s="8">
        <f t="shared" si="2"/>
        <v>1.3899999999999999E-2</v>
      </c>
      <c r="K14" s="7">
        <f t="shared" si="3"/>
        <v>43980</v>
      </c>
      <c r="L14" s="14">
        <f t="shared" si="4"/>
        <v>1.2124469868823355</v>
      </c>
    </row>
    <row r="15" spans="1:12">
      <c r="A15" s="2" t="s">
        <v>734</v>
      </c>
      <c r="B15" s="84" t="s">
        <v>781</v>
      </c>
      <c r="C15" s="15">
        <v>1.4391</v>
      </c>
      <c r="D15" s="12">
        <v>1.4391</v>
      </c>
      <c r="E15" s="12">
        <v>1.4475</v>
      </c>
      <c r="F15" s="169">
        <v>-5.7999999999999996E-3</v>
      </c>
      <c r="G15" s="42">
        <v>43980</v>
      </c>
      <c r="H15" s="83">
        <f t="shared" si="0"/>
        <v>160716</v>
      </c>
      <c r="I15" s="49">
        <f t="shared" si="1"/>
        <v>1.4391</v>
      </c>
      <c r="J15" s="8">
        <f t="shared" si="2"/>
        <v>-5.7999999999999996E-3</v>
      </c>
      <c r="K15" s="7">
        <f t="shared" si="3"/>
        <v>43980</v>
      </c>
      <c r="L15" s="14">
        <f t="shared" si="4"/>
        <v>1.447495473747737</v>
      </c>
    </row>
    <row r="16" spans="1:12">
      <c r="A16" s="2" t="s">
        <v>196</v>
      </c>
      <c r="B16" s="148" t="s">
        <v>248</v>
      </c>
      <c r="C16" s="15">
        <v>1.0652999999999999</v>
      </c>
      <c r="D16" s="12">
        <v>2.1913999999999998</v>
      </c>
      <c r="E16" s="12">
        <v>1.0497000000000001</v>
      </c>
      <c r="F16" s="166">
        <v>1.49E-2</v>
      </c>
      <c r="G16" s="42">
        <v>43980</v>
      </c>
      <c r="H16" s="83">
        <f t="shared" si="0"/>
        <v>161725</v>
      </c>
      <c r="I16" s="49">
        <f t="shared" si="1"/>
        <v>1.0652999999999999</v>
      </c>
      <c r="J16" s="8">
        <f t="shared" si="2"/>
        <v>1.49E-2</v>
      </c>
      <c r="K16" s="7">
        <f t="shared" si="3"/>
        <v>43980</v>
      </c>
      <c r="L16" s="14">
        <f t="shared" si="4"/>
        <v>1.0496600650310375</v>
      </c>
    </row>
    <row r="17" spans="1:12">
      <c r="A17" s="2" t="s">
        <v>752</v>
      </c>
      <c r="B17" s="84" t="s">
        <v>816</v>
      </c>
      <c r="C17" s="15">
        <v>1.4608000000000001</v>
      </c>
      <c r="D17" s="12">
        <v>1.5087999999999999</v>
      </c>
      <c r="E17" s="12">
        <v>1.4401999999999999</v>
      </c>
      <c r="F17" s="166">
        <v>1.43E-2</v>
      </c>
      <c r="G17" s="42">
        <v>43980</v>
      </c>
      <c r="H17" s="83">
        <f t="shared" si="0"/>
        <v>161912</v>
      </c>
      <c r="I17" s="49">
        <f t="shared" si="1"/>
        <v>1.4608000000000001</v>
      </c>
      <c r="J17" s="8">
        <f t="shared" si="2"/>
        <v>1.43E-2</v>
      </c>
      <c r="K17" s="7">
        <f t="shared" si="3"/>
        <v>43980</v>
      </c>
      <c r="L17" s="14">
        <f t="shared" si="4"/>
        <v>1.4402050675342601</v>
      </c>
    </row>
    <row r="18" spans="1:12">
      <c r="A18" s="2" t="s">
        <v>735</v>
      </c>
      <c r="B18" s="84" t="s">
        <v>782</v>
      </c>
      <c r="C18" s="15">
        <v>2.0049000000000001</v>
      </c>
      <c r="D18" s="12">
        <v>2.0049000000000001</v>
      </c>
      <c r="E18" s="12">
        <v>1.9917</v>
      </c>
      <c r="F18" s="166">
        <v>6.6E-3</v>
      </c>
      <c r="G18" s="42">
        <v>43980</v>
      </c>
      <c r="H18" s="83">
        <f t="shared" si="0"/>
        <v>163407</v>
      </c>
      <c r="I18" s="49">
        <f t="shared" si="1"/>
        <v>2.0049000000000001</v>
      </c>
      <c r="J18" s="8">
        <f t="shared" si="2"/>
        <v>6.6E-3</v>
      </c>
      <c r="K18" s="7">
        <f t="shared" si="3"/>
        <v>43980</v>
      </c>
      <c r="L18" s="14">
        <f t="shared" si="4"/>
        <v>1.9917544208225713</v>
      </c>
    </row>
    <row r="19" spans="1:12">
      <c r="A19" s="2" t="s">
        <v>753</v>
      </c>
      <c r="B19" s="84" t="s">
        <v>861</v>
      </c>
      <c r="C19" s="15">
        <v>1.2621</v>
      </c>
      <c r="D19" s="12">
        <v>1.2621</v>
      </c>
      <c r="E19" s="12">
        <v>1.2354000000000001</v>
      </c>
      <c r="F19" s="166">
        <v>2.1600000000000001E-2</v>
      </c>
      <c r="G19" s="42">
        <v>43980</v>
      </c>
      <c r="H19" s="83">
        <f t="shared" si="0"/>
        <v>163417</v>
      </c>
      <c r="I19" s="49">
        <f t="shared" si="1"/>
        <v>1.2621</v>
      </c>
      <c r="J19" s="8">
        <f t="shared" si="2"/>
        <v>2.1600000000000001E-2</v>
      </c>
      <c r="K19" s="7">
        <f t="shared" si="3"/>
        <v>43980</v>
      </c>
      <c r="L19" s="14">
        <f t="shared" si="4"/>
        <v>1.2354150352388409</v>
      </c>
    </row>
    <row r="20" spans="1:12">
      <c r="A20" s="2" t="s">
        <v>736</v>
      </c>
      <c r="B20" s="84" t="s">
        <v>783</v>
      </c>
      <c r="C20" s="15">
        <v>1.4339999999999999</v>
      </c>
      <c r="D20" s="12">
        <v>1.4339999999999999</v>
      </c>
      <c r="E20" s="12">
        <v>1.4510000000000001</v>
      </c>
      <c r="F20" s="169">
        <v>-1.17E-2</v>
      </c>
      <c r="G20" s="42">
        <v>43980</v>
      </c>
      <c r="H20" s="83">
        <f t="shared" si="0"/>
        <v>164906</v>
      </c>
      <c r="I20" s="49">
        <f t="shared" si="1"/>
        <v>1.4339999999999999</v>
      </c>
      <c r="J20" s="8">
        <f t="shared" si="2"/>
        <v>-1.17E-2</v>
      </c>
      <c r="K20" s="7">
        <f t="shared" si="3"/>
        <v>43980</v>
      </c>
      <c r="L20" s="14">
        <f t="shared" si="4"/>
        <v>1.4509764241627037</v>
      </c>
    </row>
    <row r="21" spans="1:12">
      <c r="A21" s="146" t="s">
        <v>74</v>
      </c>
      <c r="B21" s="147" t="s">
        <v>221</v>
      </c>
      <c r="C21" s="149">
        <v>1.5682</v>
      </c>
      <c r="D21" s="150">
        <v>2.6053000000000002</v>
      </c>
      <c r="E21" s="150">
        <v>1.5605</v>
      </c>
      <c r="F21" s="175">
        <v>4.8999999999999998E-3</v>
      </c>
      <c r="G21" s="151">
        <v>43980</v>
      </c>
      <c r="H21" s="83">
        <f t="shared" si="0"/>
        <v>166005</v>
      </c>
      <c r="I21" s="49">
        <f t="shared" si="1"/>
        <v>1.5682</v>
      </c>
      <c r="J21" s="8">
        <f t="shared" si="2"/>
        <v>4.8999999999999998E-3</v>
      </c>
      <c r="K21" s="7">
        <f t="shared" si="3"/>
        <v>43980</v>
      </c>
      <c r="L21" s="14">
        <f t="shared" si="4"/>
        <v>1.5605532888844662</v>
      </c>
    </row>
    <row r="22" spans="1:12">
      <c r="A22" s="2" t="s">
        <v>754</v>
      </c>
      <c r="B22" s="84" t="s">
        <v>817</v>
      </c>
      <c r="C22" s="15">
        <v>1.3938999999999999</v>
      </c>
      <c r="D22" s="12">
        <v>1.3938999999999999</v>
      </c>
      <c r="E22" s="12">
        <v>1.391</v>
      </c>
      <c r="F22" s="166">
        <v>2.0999999999999999E-3</v>
      </c>
      <c r="G22" s="42">
        <v>43980</v>
      </c>
      <c r="H22" s="83">
        <f t="shared" si="0"/>
        <v>166023</v>
      </c>
      <c r="I22" s="49">
        <f t="shared" si="1"/>
        <v>1.3938999999999999</v>
      </c>
      <c r="J22" s="8">
        <f t="shared" si="2"/>
        <v>2.0999999999999999E-3</v>
      </c>
      <c r="K22" s="7">
        <f t="shared" si="3"/>
        <v>43980</v>
      </c>
      <c r="L22" s="14">
        <f t="shared" si="4"/>
        <v>1.3909789442171439</v>
      </c>
    </row>
    <row r="23" spans="1:12">
      <c r="A23" s="2" t="s">
        <v>755</v>
      </c>
      <c r="B23" s="84" t="s">
        <v>818</v>
      </c>
      <c r="C23" s="15">
        <v>0.92079999999999995</v>
      </c>
      <c r="D23" s="12">
        <v>0.92079999999999995</v>
      </c>
      <c r="E23" s="12">
        <v>0.91620000000000001</v>
      </c>
      <c r="F23" s="166">
        <v>5.0000000000000001E-3</v>
      </c>
      <c r="G23" s="42">
        <v>43980</v>
      </c>
      <c r="H23" s="83">
        <f t="shared" si="0"/>
        <v>166024</v>
      </c>
      <c r="I23" s="49">
        <f t="shared" si="1"/>
        <v>0.92079999999999995</v>
      </c>
      <c r="J23" s="8">
        <f t="shared" si="2"/>
        <v>5.0000000000000001E-3</v>
      </c>
      <c r="K23" s="7">
        <f t="shared" si="3"/>
        <v>43980</v>
      </c>
      <c r="L23" s="14">
        <f t="shared" si="4"/>
        <v>0.91621890547263685</v>
      </c>
    </row>
    <row r="24" spans="1:12">
      <c r="A24" s="2" t="s">
        <v>756</v>
      </c>
      <c r="B24" s="84" t="s">
        <v>819</v>
      </c>
      <c r="C24" s="15">
        <v>1.1779999999999999</v>
      </c>
      <c r="D24" s="12">
        <v>1.1779999999999999</v>
      </c>
      <c r="E24" s="12">
        <v>1.161</v>
      </c>
      <c r="F24" s="166">
        <v>1.46E-2</v>
      </c>
      <c r="G24" s="42">
        <v>43980</v>
      </c>
      <c r="H24" s="83">
        <f t="shared" si="0"/>
        <v>168103</v>
      </c>
      <c r="I24" s="49">
        <f t="shared" si="1"/>
        <v>1.1779999999999999</v>
      </c>
      <c r="J24" s="8">
        <f t="shared" si="2"/>
        <v>1.46E-2</v>
      </c>
      <c r="K24" s="7">
        <f t="shared" si="3"/>
        <v>43980</v>
      </c>
      <c r="L24" s="14">
        <f t="shared" si="4"/>
        <v>1.1610486891385767</v>
      </c>
    </row>
    <row r="25" spans="1:12">
      <c r="A25" s="2" t="s">
        <v>737</v>
      </c>
      <c r="B25" s="84" t="s">
        <v>784</v>
      </c>
      <c r="C25" s="15">
        <v>1.675</v>
      </c>
      <c r="D25" s="12">
        <v>1.675</v>
      </c>
      <c r="E25" s="12">
        <v>1.675</v>
      </c>
      <c r="F25" s="177">
        <v>0</v>
      </c>
      <c r="G25" s="42">
        <v>43980</v>
      </c>
      <c r="H25" s="83">
        <f t="shared" si="0"/>
        <v>213010</v>
      </c>
      <c r="I25" s="49">
        <f t="shared" si="1"/>
        <v>1.675</v>
      </c>
      <c r="J25" s="8">
        <f t="shared" si="2"/>
        <v>0</v>
      </c>
      <c r="K25" s="7">
        <f t="shared" si="3"/>
        <v>43980</v>
      </c>
      <c r="L25" s="14">
        <f t="shared" si="4"/>
        <v>1.675</v>
      </c>
    </row>
    <row r="26" spans="1:12">
      <c r="A26" s="2" t="s">
        <v>738</v>
      </c>
      <c r="B26" s="84" t="s">
        <v>785</v>
      </c>
      <c r="C26" s="15">
        <v>1.506</v>
      </c>
      <c r="D26" s="12">
        <v>1.746</v>
      </c>
      <c r="E26" s="12">
        <v>1.506</v>
      </c>
      <c r="F26" s="177">
        <v>0</v>
      </c>
      <c r="G26" s="42">
        <v>43980</v>
      </c>
      <c r="H26" s="83">
        <f t="shared" si="0"/>
        <v>217022</v>
      </c>
      <c r="I26" s="49">
        <f t="shared" si="1"/>
        <v>1.506</v>
      </c>
      <c r="J26" s="8">
        <f t="shared" si="2"/>
        <v>0</v>
      </c>
      <c r="K26" s="7">
        <f t="shared" si="3"/>
        <v>43980</v>
      </c>
      <c r="L26" s="14">
        <f t="shared" si="4"/>
        <v>1.506</v>
      </c>
    </row>
    <row r="27" spans="1:12">
      <c r="A27" s="2" t="s">
        <v>739</v>
      </c>
      <c r="B27" s="84" t="s">
        <v>786</v>
      </c>
      <c r="C27" s="15">
        <v>2.2521</v>
      </c>
      <c r="D27" s="12">
        <v>2.2521</v>
      </c>
      <c r="E27" s="12">
        <v>2.2530000000000001</v>
      </c>
      <c r="F27" s="169">
        <v>-4.0000000000000002E-4</v>
      </c>
      <c r="G27" s="42">
        <v>43980</v>
      </c>
      <c r="H27" s="83">
        <f t="shared" si="0"/>
        <v>217027</v>
      </c>
      <c r="I27" s="49">
        <f t="shared" si="1"/>
        <v>2.2521</v>
      </c>
      <c r="J27" s="8">
        <f t="shared" si="2"/>
        <v>-4.0000000000000002E-4</v>
      </c>
      <c r="K27" s="7">
        <f t="shared" si="3"/>
        <v>43980</v>
      </c>
      <c r="L27" s="14">
        <f t="shared" si="4"/>
        <v>2.2530012004801918</v>
      </c>
    </row>
    <row r="28" spans="1:12">
      <c r="A28" s="2" t="s">
        <v>740</v>
      </c>
      <c r="B28" s="84" t="s">
        <v>787</v>
      </c>
      <c r="C28" s="15">
        <v>1.0301</v>
      </c>
      <c r="D28" s="12">
        <v>1.5949</v>
      </c>
      <c r="E28" s="12">
        <v>1.0362</v>
      </c>
      <c r="F28" s="169">
        <v>-5.8999999999999999E-3</v>
      </c>
      <c r="G28" s="42">
        <v>43980</v>
      </c>
      <c r="H28" s="83">
        <f t="shared" si="0"/>
        <v>240019</v>
      </c>
      <c r="I28" s="49">
        <f t="shared" si="1"/>
        <v>1.0301</v>
      </c>
      <c r="J28" s="8">
        <f t="shared" si="2"/>
        <v>-5.8999999999999999E-3</v>
      </c>
      <c r="K28" s="7">
        <f t="shared" si="3"/>
        <v>43980</v>
      </c>
      <c r="L28" s="14">
        <f t="shared" si="4"/>
        <v>1.0362136605975254</v>
      </c>
    </row>
    <row r="29" spans="1:12">
      <c r="A29" s="2" t="s">
        <v>741</v>
      </c>
      <c r="B29" s="84" t="s">
        <v>788</v>
      </c>
      <c r="C29" s="15">
        <v>2.9619</v>
      </c>
      <c r="D29" s="12">
        <v>3.2319</v>
      </c>
      <c r="E29" s="12">
        <v>2.9613999999999998</v>
      </c>
      <c r="F29" s="166">
        <v>2.0000000000000001E-4</v>
      </c>
      <c r="G29" s="42">
        <v>43980</v>
      </c>
      <c r="H29" s="83">
        <f t="shared" si="0"/>
        <v>270042</v>
      </c>
      <c r="I29" s="49">
        <f t="shared" si="1"/>
        <v>2.9619</v>
      </c>
      <c r="J29" s="8">
        <f t="shared" si="2"/>
        <v>2.0000000000000001E-4</v>
      </c>
      <c r="K29" s="7">
        <f t="shared" si="3"/>
        <v>43980</v>
      </c>
      <c r="L29" s="14">
        <f t="shared" si="4"/>
        <v>2.9613077384523097</v>
      </c>
    </row>
    <row r="30" spans="1:12">
      <c r="A30" s="2" t="s">
        <v>742</v>
      </c>
      <c r="B30" s="84" t="s">
        <v>789</v>
      </c>
      <c r="C30" s="15">
        <v>1.2458</v>
      </c>
      <c r="D30" s="12">
        <v>1.5629999999999999</v>
      </c>
      <c r="E30" s="12">
        <v>1.2519</v>
      </c>
      <c r="F30" s="169">
        <v>-4.8999999999999998E-3</v>
      </c>
      <c r="G30" s="42">
        <v>43980</v>
      </c>
      <c r="H30" s="83">
        <f t="shared" si="0"/>
        <v>310398</v>
      </c>
      <c r="I30" s="49">
        <f t="shared" si="1"/>
        <v>1.2458</v>
      </c>
      <c r="J30" s="8">
        <f t="shared" si="2"/>
        <v>-4.8999999999999998E-3</v>
      </c>
      <c r="K30" s="7">
        <f t="shared" si="3"/>
        <v>43980</v>
      </c>
      <c r="L30" s="14">
        <f t="shared" si="4"/>
        <v>1.2519344789468396</v>
      </c>
    </row>
    <row r="31" spans="1:12">
      <c r="A31" s="146" t="s">
        <v>73</v>
      </c>
      <c r="B31" s="147" t="s">
        <v>227</v>
      </c>
      <c r="C31" s="149">
        <v>2.5099999999999998</v>
      </c>
      <c r="D31" s="150">
        <v>3.09</v>
      </c>
      <c r="E31" s="150">
        <v>2.4289999999999998</v>
      </c>
      <c r="F31" s="175">
        <v>3.3300000000000003E-2</v>
      </c>
      <c r="G31" s="151">
        <v>43980</v>
      </c>
      <c r="H31" s="83">
        <f t="shared" si="0"/>
        <v>320006</v>
      </c>
      <c r="I31" s="49">
        <f t="shared" si="1"/>
        <v>2.5099999999999998</v>
      </c>
      <c r="J31" s="8">
        <f t="shared" si="2"/>
        <v>3.3300000000000003E-2</v>
      </c>
      <c r="K31" s="7">
        <f t="shared" si="3"/>
        <v>43980</v>
      </c>
      <c r="L31" s="14">
        <f t="shared" si="4"/>
        <v>2.4291106164714988</v>
      </c>
    </row>
    <row r="32" spans="1:12">
      <c r="A32" s="2" t="s">
        <v>743</v>
      </c>
      <c r="B32" s="84" t="s">
        <v>790</v>
      </c>
      <c r="C32" s="15">
        <v>1.2105999999999999</v>
      </c>
      <c r="D32" s="12">
        <v>3.8565999999999998</v>
      </c>
      <c r="E32" s="12">
        <v>1.2010000000000001</v>
      </c>
      <c r="F32" s="166">
        <v>8.0000000000000002E-3</v>
      </c>
      <c r="G32" s="42">
        <v>43980</v>
      </c>
      <c r="H32" s="83">
        <f t="shared" si="0"/>
        <v>340001</v>
      </c>
      <c r="I32" s="49">
        <f t="shared" si="1"/>
        <v>1.2105999999999999</v>
      </c>
      <c r="J32" s="8">
        <f t="shared" si="2"/>
        <v>8.0000000000000002E-3</v>
      </c>
      <c r="K32" s="7">
        <f t="shared" si="3"/>
        <v>43980</v>
      </c>
      <c r="L32" s="14">
        <f t="shared" si="4"/>
        <v>1.2009920634920634</v>
      </c>
    </row>
    <row r="33" spans="1:12">
      <c r="A33" s="2" t="s">
        <v>198</v>
      </c>
      <c r="B33" s="148" t="s">
        <v>228</v>
      </c>
      <c r="C33" s="15">
        <v>1.83</v>
      </c>
      <c r="D33" s="12">
        <v>2.9180000000000001</v>
      </c>
      <c r="E33" s="12">
        <v>1.7949999999999999</v>
      </c>
      <c r="F33" s="166">
        <v>1.95E-2</v>
      </c>
      <c r="G33" s="42">
        <v>43980</v>
      </c>
      <c r="H33" s="83">
        <f t="shared" si="0"/>
        <v>399011</v>
      </c>
      <c r="I33" s="49">
        <f t="shared" si="1"/>
        <v>1.83</v>
      </c>
      <c r="J33" s="8">
        <f t="shared" si="2"/>
        <v>1.95E-2</v>
      </c>
      <c r="K33" s="7">
        <f t="shared" si="3"/>
        <v>43980</v>
      </c>
      <c r="L33" s="14">
        <f t="shared" si="4"/>
        <v>1.7949975478175575</v>
      </c>
    </row>
    <row r="34" spans="1:12">
      <c r="A34" s="2" t="s">
        <v>744</v>
      </c>
      <c r="B34" s="84" t="s">
        <v>791</v>
      </c>
      <c r="C34" s="15">
        <v>1.5289999999999999</v>
      </c>
      <c r="D34" s="12">
        <v>1.7072000000000001</v>
      </c>
      <c r="E34" s="12">
        <v>1.5233000000000001</v>
      </c>
      <c r="F34" s="166">
        <v>3.7000000000000002E-3</v>
      </c>
      <c r="G34" s="42">
        <v>43980</v>
      </c>
      <c r="H34" s="83">
        <f t="shared" ref="H34:H54" si="5">RIGHT(A34,6)+0</f>
        <v>481012</v>
      </c>
      <c r="I34" s="49">
        <f t="shared" ref="I34:I53" si="6">C34</f>
        <v>1.5289999999999999</v>
      </c>
      <c r="J34" s="8">
        <f t="shared" ref="J34:J53" si="7">F34</f>
        <v>3.7000000000000002E-3</v>
      </c>
      <c r="K34" s="7">
        <f t="shared" ref="K34:K53" si="8">G34</f>
        <v>43980</v>
      </c>
      <c r="L34" s="14">
        <f t="shared" ref="L34:L53" si="9">C34/(1+F34)</f>
        <v>1.5233635548470656</v>
      </c>
    </row>
    <row r="35" spans="1:12">
      <c r="A35" s="146" t="s">
        <v>90</v>
      </c>
      <c r="B35" s="147" t="s">
        <v>220</v>
      </c>
      <c r="C35" s="149">
        <v>0.93</v>
      </c>
      <c r="D35" s="150">
        <v>0.93</v>
      </c>
      <c r="E35" s="150">
        <v>0.92800000000000005</v>
      </c>
      <c r="F35" s="175">
        <v>2.2000000000000001E-3</v>
      </c>
      <c r="G35" s="151">
        <v>43980</v>
      </c>
      <c r="H35" s="83">
        <f t="shared" si="5"/>
        <v>501015</v>
      </c>
      <c r="I35" s="49">
        <f t="shared" si="6"/>
        <v>0.93</v>
      </c>
      <c r="J35" s="8">
        <f t="shared" si="7"/>
        <v>2.2000000000000001E-3</v>
      </c>
      <c r="K35" s="7">
        <f t="shared" si="8"/>
        <v>43980</v>
      </c>
      <c r="L35" s="14">
        <f t="shared" si="9"/>
        <v>0.92795849131909802</v>
      </c>
    </row>
    <row r="36" spans="1:12">
      <c r="A36" s="2" t="s">
        <v>757</v>
      </c>
      <c r="B36" s="84" t="s">
        <v>431</v>
      </c>
      <c r="C36" s="15">
        <v>1.5697000000000001</v>
      </c>
      <c r="D36" s="12">
        <v>1.5697000000000001</v>
      </c>
      <c r="E36" s="12">
        <v>1.5401</v>
      </c>
      <c r="F36" s="166">
        <v>1.9199999999999998E-2</v>
      </c>
      <c r="G36" s="42">
        <v>43980</v>
      </c>
      <c r="H36" s="83">
        <f t="shared" si="5"/>
        <v>501038</v>
      </c>
      <c r="I36" s="49">
        <f t="shared" si="6"/>
        <v>1.5697000000000001</v>
      </c>
      <c r="J36" s="8">
        <f t="shared" si="7"/>
        <v>1.9199999999999998E-2</v>
      </c>
      <c r="K36" s="7">
        <f t="shared" si="8"/>
        <v>43980</v>
      </c>
      <c r="L36" s="14">
        <f t="shared" si="9"/>
        <v>1.5401295133437989</v>
      </c>
    </row>
    <row r="37" spans="1:12">
      <c r="A37" s="2" t="s">
        <v>758</v>
      </c>
      <c r="B37" s="84" t="s">
        <v>820</v>
      </c>
      <c r="C37" s="15">
        <v>1.6492</v>
      </c>
      <c r="D37" s="12">
        <v>1.6492</v>
      </c>
      <c r="E37" s="12">
        <v>1.6484000000000001</v>
      </c>
      <c r="F37" s="166">
        <v>5.0000000000000001E-4</v>
      </c>
      <c r="G37" s="42">
        <v>43980</v>
      </c>
      <c r="H37" s="83">
        <f t="shared" si="5"/>
        <v>501046</v>
      </c>
      <c r="I37" s="49">
        <f t="shared" si="6"/>
        <v>1.6492</v>
      </c>
      <c r="J37" s="8">
        <f t="shared" si="7"/>
        <v>5.0000000000000001E-4</v>
      </c>
      <c r="K37" s="7">
        <f t="shared" si="8"/>
        <v>43980</v>
      </c>
      <c r="L37" s="14">
        <f t="shared" si="9"/>
        <v>1.6483758120939531</v>
      </c>
    </row>
    <row r="38" spans="1:12">
      <c r="A38" s="2" t="s">
        <v>759</v>
      </c>
      <c r="B38" s="84" t="s">
        <v>821</v>
      </c>
      <c r="C38" s="15">
        <v>1.1289</v>
      </c>
      <c r="D38" s="12">
        <v>1.1289</v>
      </c>
      <c r="E38" s="12">
        <v>1.1172</v>
      </c>
      <c r="F38" s="166">
        <v>1.0500000000000001E-2</v>
      </c>
      <c r="G38" s="42">
        <v>43980</v>
      </c>
      <c r="H38" s="83">
        <f t="shared" si="5"/>
        <v>501063</v>
      </c>
      <c r="I38" s="49">
        <f t="shared" si="6"/>
        <v>1.1289</v>
      </c>
      <c r="J38" s="8">
        <f t="shared" si="7"/>
        <v>1.0500000000000001E-2</v>
      </c>
      <c r="K38" s="7">
        <f t="shared" si="8"/>
        <v>43980</v>
      </c>
      <c r="L38" s="14">
        <f t="shared" si="9"/>
        <v>1.1171697179614053</v>
      </c>
    </row>
    <row r="39" spans="1:12">
      <c r="A39" s="2" t="s">
        <v>760</v>
      </c>
      <c r="B39" s="84" t="s">
        <v>822</v>
      </c>
      <c r="C39" s="15">
        <v>1.2892999999999999</v>
      </c>
      <c r="D39" s="12">
        <v>1.2892999999999999</v>
      </c>
      <c r="E39" s="12">
        <v>1.2693000000000001</v>
      </c>
      <c r="F39" s="166">
        <v>1.5800000000000002E-2</v>
      </c>
      <c r="G39" s="42">
        <v>43980</v>
      </c>
      <c r="H39" s="83">
        <f t="shared" si="5"/>
        <v>501075</v>
      </c>
      <c r="I39" s="49">
        <f t="shared" si="6"/>
        <v>1.2892999999999999</v>
      </c>
      <c r="J39" s="8">
        <f t="shared" si="7"/>
        <v>1.5800000000000002E-2</v>
      </c>
      <c r="K39" s="7">
        <f t="shared" si="8"/>
        <v>43980</v>
      </c>
      <c r="L39" s="14">
        <f t="shared" si="9"/>
        <v>1.269245914550108</v>
      </c>
    </row>
    <row r="40" spans="1:12">
      <c r="A40" s="2" t="s">
        <v>761</v>
      </c>
      <c r="B40" s="84" t="s">
        <v>823</v>
      </c>
      <c r="C40" s="15">
        <v>1.4300999999999999</v>
      </c>
      <c r="D40" s="12">
        <v>1.4300999999999999</v>
      </c>
      <c r="E40" s="12">
        <v>1.4048</v>
      </c>
      <c r="F40" s="166">
        <v>1.7999999999999999E-2</v>
      </c>
      <c r="G40" s="42">
        <v>43980</v>
      </c>
      <c r="H40" s="83">
        <f t="shared" si="5"/>
        <v>501078</v>
      </c>
      <c r="I40" s="49">
        <f t="shared" si="6"/>
        <v>1.4300999999999999</v>
      </c>
      <c r="J40" s="8">
        <f t="shared" si="7"/>
        <v>1.7999999999999999E-2</v>
      </c>
      <c r="K40" s="7">
        <f t="shared" si="8"/>
        <v>43980</v>
      </c>
      <c r="L40" s="14">
        <f t="shared" si="9"/>
        <v>1.4048133595284871</v>
      </c>
    </row>
    <row r="41" spans="1:12">
      <c r="A41" s="2" t="s">
        <v>762</v>
      </c>
      <c r="B41" s="84" t="s">
        <v>824</v>
      </c>
      <c r="C41" s="15">
        <v>1.2739</v>
      </c>
      <c r="D41" s="12">
        <v>1.2739</v>
      </c>
      <c r="E41" s="12">
        <v>1.2528999999999999</v>
      </c>
      <c r="F41" s="166">
        <v>1.6799999999999999E-2</v>
      </c>
      <c r="G41" s="42">
        <v>43980</v>
      </c>
      <c r="H41" s="83">
        <f t="shared" si="5"/>
        <v>501082</v>
      </c>
      <c r="I41" s="49">
        <f t="shared" si="6"/>
        <v>1.2739</v>
      </c>
      <c r="J41" s="8">
        <f t="shared" si="7"/>
        <v>1.6799999999999999E-2</v>
      </c>
      <c r="K41" s="7">
        <f t="shared" si="8"/>
        <v>43980</v>
      </c>
      <c r="L41" s="14">
        <f t="shared" si="9"/>
        <v>1.2528520849724627</v>
      </c>
    </row>
    <row r="42" spans="1:12">
      <c r="A42" s="2" t="s">
        <v>763</v>
      </c>
      <c r="B42" s="84" t="s">
        <v>416</v>
      </c>
      <c r="C42" s="15">
        <v>2.8039999999999998</v>
      </c>
      <c r="D42" s="12">
        <v>3.9039999999999999</v>
      </c>
      <c r="E42" s="12">
        <v>2.8039999999999998</v>
      </c>
      <c r="F42" s="177">
        <v>0</v>
      </c>
      <c r="G42" s="42">
        <v>43980</v>
      </c>
      <c r="H42" s="83">
        <f t="shared" si="5"/>
        <v>510050</v>
      </c>
      <c r="I42" s="49">
        <f t="shared" si="6"/>
        <v>2.8039999999999998</v>
      </c>
      <c r="J42" s="8">
        <f t="shared" si="7"/>
        <v>0</v>
      </c>
      <c r="K42" s="7">
        <f t="shared" si="8"/>
        <v>43980</v>
      </c>
      <c r="L42" s="14">
        <f t="shared" si="9"/>
        <v>2.8039999999999998</v>
      </c>
    </row>
    <row r="43" spans="1:12">
      <c r="A43" s="2" t="s">
        <v>764</v>
      </c>
      <c r="B43" s="84" t="s">
        <v>419</v>
      </c>
      <c r="C43" s="15">
        <v>3.8664000000000001</v>
      </c>
      <c r="D43" s="12">
        <v>1.5785</v>
      </c>
      <c r="E43" s="12">
        <v>3.8532999999999999</v>
      </c>
      <c r="F43" s="166">
        <v>3.3999999999999998E-3</v>
      </c>
      <c r="G43" s="42">
        <v>43980</v>
      </c>
      <c r="H43" s="83">
        <f t="shared" si="5"/>
        <v>510300</v>
      </c>
      <c r="I43" s="49">
        <f t="shared" si="6"/>
        <v>3.8664000000000001</v>
      </c>
      <c r="J43" s="8">
        <f t="shared" si="7"/>
        <v>3.3999999999999998E-3</v>
      </c>
      <c r="K43" s="7">
        <f t="shared" si="8"/>
        <v>43980</v>
      </c>
      <c r="L43" s="14">
        <f t="shared" si="9"/>
        <v>3.8532987841339446</v>
      </c>
    </row>
    <row r="44" spans="1:12">
      <c r="A44" s="2" t="s">
        <v>765</v>
      </c>
      <c r="B44" s="84" t="s">
        <v>825</v>
      </c>
      <c r="C44" s="15">
        <v>1.1203000000000001</v>
      </c>
      <c r="D44" s="12">
        <v>1.1702999999999999</v>
      </c>
      <c r="E44" s="12">
        <v>1.1186</v>
      </c>
      <c r="F44" s="166">
        <v>1.5E-3</v>
      </c>
      <c r="G44" s="42">
        <v>43980</v>
      </c>
      <c r="H44" s="83">
        <f t="shared" si="5"/>
        <v>510900</v>
      </c>
      <c r="I44" s="49">
        <f t="shared" si="6"/>
        <v>1.1203000000000001</v>
      </c>
      <c r="J44" s="8">
        <f t="shared" si="7"/>
        <v>1.5E-3</v>
      </c>
      <c r="K44" s="7">
        <f t="shared" si="8"/>
        <v>43980</v>
      </c>
      <c r="L44" s="14">
        <f t="shared" si="9"/>
        <v>1.1186220668996505</v>
      </c>
    </row>
    <row r="45" spans="1:12">
      <c r="A45" s="2" t="s">
        <v>766</v>
      </c>
      <c r="B45" s="84" t="s">
        <v>826</v>
      </c>
      <c r="C45" s="15">
        <v>2.1652999999999998</v>
      </c>
      <c r="D45" s="12">
        <v>2.1652999999999998</v>
      </c>
      <c r="E45" s="12">
        <v>2.1341999999999999</v>
      </c>
      <c r="F45" s="166">
        <v>1.46E-2</v>
      </c>
      <c r="G45" s="42">
        <v>43980</v>
      </c>
      <c r="H45" s="83">
        <f t="shared" si="5"/>
        <v>512010</v>
      </c>
      <c r="I45" s="49">
        <f t="shared" si="6"/>
        <v>2.1652999999999998</v>
      </c>
      <c r="J45" s="8">
        <f t="shared" si="7"/>
        <v>1.46E-2</v>
      </c>
      <c r="K45" s="7">
        <f t="shared" si="8"/>
        <v>43980</v>
      </c>
      <c r="L45" s="14">
        <f t="shared" si="9"/>
        <v>2.1341415336093039</v>
      </c>
    </row>
    <row r="46" spans="1:12">
      <c r="A46" s="2" t="s">
        <v>767</v>
      </c>
      <c r="B46" s="84" t="s">
        <v>827</v>
      </c>
      <c r="C46" s="15">
        <v>0.81089999999999995</v>
      </c>
      <c r="D46" s="12">
        <v>0.81089999999999995</v>
      </c>
      <c r="E46" s="12">
        <v>0.81389999999999996</v>
      </c>
      <c r="F46" s="169">
        <v>-3.7000000000000002E-3</v>
      </c>
      <c r="G46" s="42">
        <v>43980</v>
      </c>
      <c r="H46" s="83">
        <f t="shared" si="5"/>
        <v>512200</v>
      </c>
      <c r="I46" s="49">
        <f t="shared" si="6"/>
        <v>0.81089999999999995</v>
      </c>
      <c r="J46" s="8">
        <f t="shared" si="7"/>
        <v>-3.7000000000000002E-3</v>
      </c>
      <c r="K46" s="7">
        <f t="shared" si="8"/>
        <v>43980</v>
      </c>
      <c r="L46" s="14">
        <f t="shared" si="9"/>
        <v>0.81391147244805784</v>
      </c>
    </row>
    <row r="47" spans="1:12">
      <c r="A47" s="2" t="s">
        <v>768</v>
      </c>
      <c r="B47" s="84" t="s">
        <v>828</v>
      </c>
      <c r="C47" s="15">
        <v>1.0047999999999999</v>
      </c>
      <c r="D47" s="12">
        <v>1.1048</v>
      </c>
      <c r="E47" s="12">
        <v>1.0109999999999999</v>
      </c>
      <c r="F47" s="169">
        <v>-6.1000000000000004E-3</v>
      </c>
      <c r="G47" s="42">
        <v>43980</v>
      </c>
      <c r="H47" s="83">
        <f t="shared" si="5"/>
        <v>512700</v>
      </c>
      <c r="I47" s="49">
        <f t="shared" si="6"/>
        <v>1.0047999999999999</v>
      </c>
      <c r="J47" s="8">
        <f t="shared" si="7"/>
        <v>-6.1000000000000004E-3</v>
      </c>
      <c r="K47" s="7">
        <f t="shared" si="8"/>
        <v>43980</v>
      </c>
      <c r="L47" s="14">
        <f t="shared" si="9"/>
        <v>1.0109668980782773</v>
      </c>
    </row>
    <row r="48" spans="1:12">
      <c r="A48" s="2" t="s">
        <v>769</v>
      </c>
      <c r="B48" s="84" t="s">
        <v>424</v>
      </c>
      <c r="C48" s="15">
        <v>1.9774</v>
      </c>
      <c r="D48" s="12">
        <v>1.9774</v>
      </c>
      <c r="E48" s="12">
        <v>1.9810000000000001</v>
      </c>
      <c r="F48" s="169">
        <v>-1.8E-3</v>
      </c>
      <c r="G48" s="42">
        <v>43980</v>
      </c>
      <c r="H48" s="83">
        <f t="shared" si="5"/>
        <v>512760</v>
      </c>
      <c r="I48" s="49">
        <f t="shared" si="6"/>
        <v>1.9774</v>
      </c>
      <c r="J48" s="8">
        <f t="shared" si="7"/>
        <v>-1.8E-3</v>
      </c>
      <c r="K48" s="7">
        <f t="shared" si="8"/>
        <v>43980</v>
      </c>
      <c r="L48" s="14">
        <f t="shared" si="9"/>
        <v>1.9809657383289923</v>
      </c>
    </row>
    <row r="49" spans="1:12">
      <c r="A49" s="146" t="s">
        <v>64</v>
      </c>
      <c r="B49" s="147" t="s">
        <v>223</v>
      </c>
      <c r="C49" s="149">
        <v>1.5286</v>
      </c>
      <c r="D49" s="150">
        <v>1.5286</v>
      </c>
      <c r="E49" s="150">
        <v>1.5494000000000001</v>
      </c>
      <c r="F49" s="176">
        <v>-1.34E-2</v>
      </c>
      <c r="G49" s="151">
        <v>43980</v>
      </c>
      <c r="H49" s="83">
        <f t="shared" si="5"/>
        <v>513050</v>
      </c>
      <c r="I49" s="49">
        <f t="shared" si="6"/>
        <v>1.5286</v>
      </c>
      <c r="J49" s="8">
        <f t="shared" si="7"/>
        <v>-1.34E-2</v>
      </c>
      <c r="K49" s="7">
        <f t="shared" si="8"/>
        <v>43980</v>
      </c>
      <c r="L49" s="14">
        <f t="shared" si="9"/>
        <v>1.5493614433407661</v>
      </c>
    </row>
    <row r="50" spans="1:12">
      <c r="A50" s="2" t="s">
        <v>770</v>
      </c>
      <c r="B50" s="84" t="s">
        <v>829</v>
      </c>
      <c r="C50" s="15">
        <v>3.4590000000000001</v>
      </c>
      <c r="D50" s="12">
        <v>3.4590000000000001</v>
      </c>
      <c r="E50" s="12">
        <v>3.46</v>
      </c>
      <c r="F50" s="169">
        <v>-2.9999999999999997E-4</v>
      </c>
      <c r="G50" s="42">
        <v>43980</v>
      </c>
      <c r="H50" s="83">
        <f t="shared" si="5"/>
        <v>513100</v>
      </c>
      <c r="I50" s="49">
        <f t="shared" si="6"/>
        <v>3.4590000000000001</v>
      </c>
      <c r="J50" s="8">
        <f t="shared" si="7"/>
        <v>-2.9999999999999997E-4</v>
      </c>
      <c r="K50" s="7">
        <f t="shared" si="8"/>
        <v>43980</v>
      </c>
      <c r="L50" s="14">
        <f t="shared" si="9"/>
        <v>3.4600380114034208</v>
      </c>
    </row>
    <row r="51" spans="1:12">
      <c r="A51" s="2" t="s">
        <v>771</v>
      </c>
      <c r="B51" s="84" t="s">
        <v>422</v>
      </c>
      <c r="C51" s="15">
        <v>1.3940999999999999</v>
      </c>
      <c r="D51" s="12">
        <v>1.3940999999999999</v>
      </c>
      <c r="E51" s="12">
        <v>1.3848</v>
      </c>
      <c r="F51" s="166">
        <v>6.7000000000000002E-3</v>
      </c>
      <c r="G51" s="42">
        <v>43980</v>
      </c>
      <c r="H51" s="83">
        <f t="shared" si="5"/>
        <v>515000</v>
      </c>
      <c r="I51" s="49">
        <f t="shared" si="6"/>
        <v>1.3940999999999999</v>
      </c>
      <c r="J51" s="8">
        <f t="shared" si="7"/>
        <v>6.7000000000000002E-3</v>
      </c>
      <c r="K51" s="7">
        <f t="shared" si="8"/>
        <v>43980</v>
      </c>
      <c r="L51" s="14">
        <f t="shared" si="9"/>
        <v>1.3848216946458727</v>
      </c>
    </row>
    <row r="52" spans="1:12">
      <c r="A52" s="146" t="s">
        <v>58</v>
      </c>
      <c r="B52" s="147" t="s">
        <v>247</v>
      </c>
      <c r="C52" s="149">
        <v>4.3520000000000003</v>
      </c>
      <c r="D52" s="150">
        <v>4.758</v>
      </c>
      <c r="E52" s="150">
        <v>4.3230000000000004</v>
      </c>
      <c r="F52" s="175">
        <v>6.7000000000000002E-3</v>
      </c>
      <c r="G52" s="151">
        <v>43980</v>
      </c>
      <c r="H52" s="83">
        <f t="shared" si="5"/>
        <v>519697</v>
      </c>
      <c r="I52" s="49">
        <f t="shared" si="6"/>
        <v>4.3520000000000003</v>
      </c>
      <c r="J52" s="8">
        <f t="shared" si="7"/>
        <v>6.7000000000000002E-3</v>
      </c>
      <c r="K52" s="7">
        <f t="shared" si="8"/>
        <v>43980</v>
      </c>
      <c r="L52" s="14">
        <f t="shared" si="9"/>
        <v>4.3230356610708265</v>
      </c>
    </row>
    <row r="53" spans="1:12">
      <c r="A53" s="146" t="s">
        <v>57</v>
      </c>
      <c r="B53" s="147" t="s">
        <v>219</v>
      </c>
      <c r="C53" s="149">
        <v>1.5389999999999999</v>
      </c>
      <c r="D53" s="150">
        <v>2.3889999999999998</v>
      </c>
      <c r="E53" s="150">
        <v>1.5229999999999999</v>
      </c>
      <c r="F53" s="175">
        <v>1.0500000000000001E-2</v>
      </c>
      <c r="G53" s="151">
        <v>43980</v>
      </c>
      <c r="H53" s="83">
        <f t="shared" si="5"/>
        <v>519983</v>
      </c>
      <c r="I53" s="49">
        <f t="shared" si="6"/>
        <v>1.5389999999999999</v>
      </c>
      <c r="J53" s="8">
        <f t="shared" si="7"/>
        <v>1.0500000000000001E-2</v>
      </c>
      <c r="K53" s="7">
        <f t="shared" si="8"/>
        <v>43980</v>
      </c>
      <c r="L53" s="14">
        <f t="shared" si="9"/>
        <v>1.5230084116773874</v>
      </c>
    </row>
    <row r="54" spans="1:12">
      <c r="A54" s="2" t="s">
        <v>852</v>
      </c>
      <c r="B54" s="84" t="s">
        <v>853</v>
      </c>
      <c r="C54" s="15">
        <v>2.1023000000000001</v>
      </c>
      <c r="D54" s="12">
        <v>2.1023000000000001</v>
      </c>
      <c r="E54" s="12">
        <v>2.1021999999999998</v>
      </c>
      <c r="F54" s="166">
        <v>0</v>
      </c>
      <c r="G54" s="42">
        <v>43980</v>
      </c>
      <c r="H54" s="84">
        <f t="shared" si="5"/>
        <v>159941</v>
      </c>
      <c r="I54" s="49">
        <f t="shared" ref="I54" si="10">C54</f>
        <v>2.1023000000000001</v>
      </c>
      <c r="J54" s="8">
        <f t="shared" ref="J54" si="11">F54</f>
        <v>0</v>
      </c>
      <c r="K54" s="7">
        <f t="shared" ref="K54" si="12">G54</f>
        <v>43980</v>
      </c>
      <c r="L54" s="14">
        <f t="shared" ref="L54" si="13">C54/(1+F54)</f>
        <v>2.1023000000000001</v>
      </c>
    </row>
    <row r="55" spans="1:12">
      <c r="A55" s="2" t="s">
        <v>948</v>
      </c>
      <c r="B55" s="84" t="s">
        <v>1613</v>
      </c>
      <c r="C55" s="15">
        <v>1.9452</v>
      </c>
      <c r="D55" s="12">
        <v>1.9452</v>
      </c>
      <c r="E55" s="12">
        <v>1.9437</v>
      </c>
      <c r="F55" s="166">
        <v>8.0000000000000004E-4</v>
      </c>
      <c r="G55" s="42">
        <v>43980</v>
      </c>
      <c r="H55" s="84">
        <f t="shared" ref="H55:H70" si="14">RIGHT(A55,6)+0</f>
        <v>161128</v>
      </c>
      <c r="I55" s="49">
        <f t="shared" ref="I55:I70" si="15">C55</f>
        <v>1.9452</v>
      </c>
      <c r="J55" s="8">
        <f t="shared" ref="J55:J70" si="16">F55</f>
        <v>8.0000000000000004E-4</v>
      </c>
      <c r="K55" s="7">
        <f t="shared" ref="K55:K70" si="17">G55</f>
        <v>43980</v>
      </c>
      <c r="L55" s="14">
        <f t="shared" ref="L55:L70" si="18">C55/(1+F55)</f>
        <v>1.9436450839328538</v>
      </c>
    </row>
    <row r="56" spans="1:12">
      <c r="A56" s="2" t="s">
        <v>1074</v>
      </c>
      <c r="B56" s="117" t="s">
        <v>1614</v>
      </c>
      <c r="C56" s="15">
        <v>1.6054999999999999</v>
      </c>
      <c r="D56" s="12">
        <v>4.5640999999999998</v>
      </c>
      <c r="E56" s="12">
        <v>1.5907</v>
      </c>
      <c r="F56" s="166">
        <v>9.2999999999999992E-3</v>
      </c>
      <c r="G56" s="42">
        <v>43980</v>
      </c>
      <c r="H56" s="84">
        <f t="shared" si="14"/>
        <v>270002</v>
      </c>
      <c r="I56" s="49">
        <f t="shared" si="15"/>
        <v>1.6054999999999999</v>
      </c>
      <c r="J56" s="8">
        <f t="shared" si="16"/>
        <v>9.2999999999999992E-3</v>
      </c>
      <c r="K56" s="7">
        <f t="shared" si="17"/>
        <v>43980</v>
      </c>
      <c r="L56" s="14">
        <f t="shared" si="18"/>
        <v>1.5907064301991478</v>
      </c>
    </row>
    <row r="57" spans="1:12">
      <c r="A57" s="2" t="s">
        <v>1075</v>
      </c>
      <c r="B57" s="117" t="s">
        <v>1615</v>
      </c>
      <c r="C57" s="15">
        <v>3.5720000000000001</v>
      </c>
      <c r="D57" s="12">
        <v>3.5720000000000001</v>
      </c>
      <c r="E57" s="12">
        <v>3.5070000000000001</v>
      </c>
      <c r="F57" s="166">
        <v>1.8499999999999999E-2</v>
      </c>
      <c r="G57" s="42">
        <v>43980</v>
      </c>
      <c r="H57" s="84">
        <f t="shared" si="14"/>
        <v>202023</v>
      </c>
      <c r="I57" s="49">
        <f t="shared" si="15"/>
        <v>3.5720000000000001</v>
      </c>
      <c r="J57" s="8">
        <f t="shared" si="16"/>
        <v>1.8499999999999999E-2</v>
      </c>
      <c r="K57" s="7">
        <f t="shared" si="17"/>
        <v>43980</v>
      </c>
      <c r="L57" s="14">
        <f t="shared" si="18"/>
        <v>3.507118311242023</v>
      </c>
    </row>
    <row r="58" spans="1:12">
      <c r="A58" s="73" t="s">
        <v>1093</v>
      </c>
      <c r="B58" s="84" t="s">
        <v>1616</v>
      </c>
      <c r="C58" s="15">
        <v>1.3125</v>
      </c>
      <c r="D58" s="12">
        <v>1.3125</v>
      </c>
      <c r="E58" s="12">
        <v>1.2833000000000001</v>
      </c>
      <c r="F58" s="166">
        <v>2.2800000000000001E-2</v>
      </c>
      <c r="G58" s="42">
        <v>43980</v>
      </c>
      <c r="H58" s="84">
        <f t="shared" si="14"/>
        <v>160645</v>
      </c>
      <c r="I58" s="49">
        <f t="shared" si="15"/>
        <v>1.3125</v>
      </c>
      <c r="J58" s="8">
        <f t="shared" si="16"/>
        <v>2.2800000000000001E-2</v>
      </c>
      <c r="K58" s="7">
        <f t="shared" si="17"/>
        <v>43980</v>
      </c>
      <c r="L58" s="14">
        <f t="shared" si="18"/>
        <v>1.2832420805631601</v>
      </c>
    </row>
    <row r="59" spans="1:12">
      <c r="A59" s="73" t="s">
        <v>1094</v>
      </c>
      <c r="B59" s="84" t="s">
        <v>1617</v>
      </c>
      <c r="C59" s="15">
        <v>1.4507000000000001</v>
      </c>
      <c r="D59" s="12">
        <v>1.4507000000000001</v>
      </c>
      <c r="E59" s="12">
        <v>1.4359</v>
      </c>
      <c r="F59" s="166">
        <v>1.03E-2</v>
      </c>
      <c r="G59" s="42">
        <v>43980</v>
      </c>
      <c r="H59" s="84">
        <f t="shared" si="14"/>
        <v>160726</v>
      </c>
      <c r="I59" s="49">
        <f t="shared" si="15"/>
        <v>1.4507000000000001</v>
      </c>
      <c r="J59" s="8">
        <f t="shared" si="16"/>
        <v>1.03E-2</v>
      </c>
      <c r="K59" s="7">
        <f t="shared" si="17"/>
        <v>43980</v>
      </c>
      <c r="L59" s="14">
        <f t="shared" si="18"/>
        <v>1.4359101257052362</v>
      </c>
    </row>
    <row r="60" spans="1:12">
      <c r="A60" s="73" t="s">
        <v>1095</v>
      </c>
      <c r="B60" s="84" t="s">
        <v>1618</v>
      </c>
      <c r="C60" s="15">
        <v>1.4085000000000001</v>
      </c>
      <c r="D60" s="12">
        <v>1.4085000000000001</v>
      </c>
      <c r="E60" s="12">
        <v>1.3917999999999999</v>
      </c>
      <c r="F60" s="166">
        <v>1.2E-2</v>
      </c>
      <c r="G60" s="42">
        <v>43980</v>
      </c>
      <c r="H60" s="84">
        <f t="shared" si="14"/>
        <v>161132</v>
      </c>
      <c r="I60" s="49">
        <f t="shared" si="15"/>
        <v>1.4085000000000001</v>
      </c>
      <c r="J60" s="8">
        <f t="shared" si="16"/>
        <v>1.2E-2</v>
      </c>
      <c r="K60" s="7">
        <f t="shared" si="17"/>
        <v>43980</v>
      </c>
      <c r="L60" s="14">
        <f t="shared" si="18"/>
        <v>1.391798418972332</v>
      </c>
    </row>
    <row r="61" spans="1:12">
      <c r="A61" s="73" t="s">
        <v>1096</v>
      </c>
      <c r="B61" s="84" t="s">
        <v>1619</v>
      </c>
      <c r="C61" s="15">
        <v>1.5194000000000001</v>
      </c>
      <c r="D61" s="12">
        <v>1.5893999999999999</v>
      </c>
      <c r="E61" s="12">
        <v>1.4944999999999999</v>
      </c>
      <c r="F61" s="166">
        <v>1.67E-2</v>
      </c>
      <c r="G61" s="42">
        <v>43980</v>
      </c>
      <c r="H61" s="84">
        <f t="shared" si="14"/>
        <v>501070</v>
      </c>
      <c r="I61" s="49">
        <f t="shared" si="15"/>
        <v>1.5194000000000001</v>
      </c>
      <c r="J61" s="8">
        <f t="shared" si="16"/>
        <v>1.67E-2</v>
      </c>
      <c r="K61" s="7">
        <f t="shared" si="17"/>
        <v>43980</v>
      </c>
      <c r="L61" s="14">
        <f t="shared" si="18"/>
        <v>1.4944428051539296</v>
      </c>
    </row>
    <row r="62" spans="1:12">
      <c r="A62" s="73" t="s">
        <v>1097</v>
      </c>
      <c r="B62" s="84" t="s">
        <v>1620</v>
      </c>
      <c r="C62" s="15">
        <v>1.1073</v>
      </c>
      <c r="D62" s="12">
        <v>1.1073</v>
      </c>
      <c r="E62" s="12">
        <v>1.1022000000000001</v>
      </c>
      <c r="F62" s="166">
        <v>4.5999999999999999E-3</v>
      </c>
      <c r="G62" s="42">
        <v>43980</v>
      </c>
      <c r="H62" s="84">
        <f t="shared" si="14"/>
        <v>501188</v>
      </c>
      <c r="I62" s="49">
        <f t="shared" si="15"/>
        <v>1.1073</v>
      </c>
      <c r="J62" s="8">
        <f t="shared" si="16"/>
        <v>4.5999999999999999E-3</v>
      </c>
      <c r="K62" s="7">
        <f t="shared" si="17"/>
        <v>43980</v>
      </c>
      <c r="L62" s="14">
        <f t="shared" si="18"/>
        <v>1.1022297431813657</v>
      </c>
    </row>
    <row r="63" spans="1:12">
      <c r="A63" s="2" t="s">
        <v>1179</v>
      </c>
      <c r="B63" s="84" t="s">
        <v>1165</v>
      </c>
      <c r="C63" s="15">
        <v>0.80930000000000002</v>
      </c>
      <c r="D63" s="12">
        <v>10.1243</v>
      </c>
      <c r="E63" s="12">
        <v>0.80230000000000001</v>
      </c>
      <c r="F63" s="166">
        <v>8.6999999999999994E-3</v>
      </c>
      <c r="G63" s="42">
        <v>43980</v>
      </c>
      <c r="H63" s="84">
        <f t="shared" si="14"/>
        <v>163402</v>
      </c>
      <c r="I63" s="49">
        <f t="shared" si="15"/>
        <v>0.80930000000000002</v>
      </c>
      <c r="J63" s="8">
        <f t="shared" si="16"/>
        <v>8.6999999999999994E-3</v>
      </c>
      <c r="K63" s="7">
        <f t="shared" si="17"/>
        <v>43980</v>
      </c>
      <c r="L63" s="14">
        <f t="shared" si="18"/>
        <v>0.80231981758699322</v>
      </c>
    </row>
    <row r="64" spans="1:12">
      <c r="A64" s="2" t="s">
        <v>1180</v>
      </c>
      <c r="B64" s="84" t="s">
        <v>1166</v>
      </c>
      <c r="C64" s="15">
        <v>5.4989999999999997</v>
      </c>
      <c r="D64" s="12">
        <v>6.3890000000000002</v>
      </c>
      <c r="E64" s="12">
        <v>5.3855000000000004</v>
      </c>
      <c r="F64" s="166">
        <v>2.1100000000000001E-2</v>
      </c>
      <c r="G64" s="42">
        <v>43980</v>
      </c>
      <c r="H64" s="84">
        <f t="shared" si="14"/>
        <v>110011</v>
      </c>
      <c r="I64" s="49">
        <f t="shared" si="15"/>
        <v>5.4989999999999997</v>
      </c>
      <c r="J64" s="8">
        <f t="shared" si="16"/>
        <v>2.1100000000000001E-2</v>
      </c>
      <c r="K64" s="7">
        <f t="shared" si="17"/>
        <v>43980</v>
      </c>
      <c r="L64" s="14">
        <f t="shared" si="18"/>
        <v>5.3853687200078353</v>
      </c>
    </row>
    <row r="65" spans="1:12">
      <c r="A65" s="2" t="s">
        <v>1181</v>
      </c>
      <c r="B65" s="84" t="s">
        <v>1621</v>
      </c>
      <c r="C65" s="15">
        <v>1.61</v>
      </c>
      <c r="D65" s="12">
        <v>2.032</v>
      </c>
      <c r="E65" s="12">
        <v>1.6080000000000001</v>
      </c>
      <c r="F65" s="166">
        <v>1.1999999999999999E-3</v>
      </c>
      <c r="G65" s="42">
        <v>43980</v>
      </c>
      <c r="H65" s="84">
        <f t="shared" si="14"/>
        <v>485111</v>
      </c>
      <c r="I65" s="49">
        <f t="shared" si="15"/>
        <v>1.61</v>
      </c>
      <c r="J65" s="8">
        <f t="shared" si="16"/>
        <v>1.1999999999999999E-3</v>
      </c>
      <c r="K65" s="7">
        <f t="shared" si="17"/>
        <v>43980</v>
      </c>
      <c r="L65" s="14">
        <f t="shared" si="18"/>
        <v>1.6080703156212544</v>
      </c>
    </row>
    <row r="66" spans="1:12">
      <c r="A66" s="2" t="s">
        <v>1182</v>
      </c>
      <c r="B66" s="84" t="s">
        <v>1622</v>
      </c>
      <c r="C66" s="15">
        <v>2.5099999999999998</v>
      </c>
      <c r="D66" s="12">
        <v>2.625</v>
      </c>
      <c r="E66" s="12">
        <v>2.5019999999999998</v>
      </c>
      <c r="F66" s="166">
        <v>3.2000000000000002E-3</v>
      </c>
      <c r="G66" s="42">
        <v>43980</v>
      </c>
      <c r="H66" s="84">
        <f t="shared" si="14"/>
        <v>50011</v>
      </c>
      <c r="I66" s="49">
        <f t="shared" si="15"/>
        <v>2.5099999999999998</v>
      </c>
      <c r="J66" s="8">
        <f t="shared" si="16"/>
        <v>3.2000000000000002E-3</v>
      </c>
      <c r="K66" s="7">
        <f t="shared" si="17"/>
        <v>43980</v>
      </c>
      <c r="L66" s="14">
        <f t="shared" si="18"/>
        <v>2.5019936204146727</v>
      </c>
    </row>
    <row r="67" spans="1:12">
      <c r="A67" s="2" t="s">
        <v>1183</v>
      </c>
      <c r="B67" s="84" t="s">
        <v>1612</v>
      </c>
      <c r="C67" s="15">
        <v>1.506</v>
      </c>
      <c r="D67" s="12">
        <v>1.746</v>
      </c>
      <c r="E67" s="12">
        <v>1.506</v>
      </c>
      <c r="F67" s="177">
        <v>0</v>
      </c>
      <c r="G67" s="42">
        <v>43980</v>
      </c>
      <c r="H67" s="84">
        <f t="shared" si="14"/>
        <v>217022</v>
      </c>
      <c r="I67" s="49">
        <f t="shared" si="15"/>
        <v>1.506</v>
      </c>
      <c r="J67" s="8">
        <f t="shared" si="16"/>
        <v>0</v>
      </c>
      <c r="K67" s="7">
        <f t="shared" si="17"/>
        <v>43980</v>
      </c>
      <c r="L67" s="14">
        <f t="shared" si="18"/>
        <v>1.506</v>
      </c>
    </row>
    <row r="68" spans="1:12">
      <c r="A68" s="2" t="s">
        <v>1184</v>
      </c>
      <c r="B68" s="84" t="s">
        <v>1156</v>
      </c>
      <c r="C68" s="15">
        <v>1.149</v>
      </c>
      <c r="D68" s="12">
        <v>1.5469999999999999</v>
      </c>
      <c r="E68" s="12">
        <v>1.1479999999999999</v>
      </c>
      <c r="F68" s="166">
        <v>8.9999999999999998E-4</v>
      </c>
      <c r="G68" s="42">
        <v>43980</v>
      </c>
      <c r="H68" s="84">
        <f t="shared" si="14"/>
        <v>206018</v>
      </c>
      <c r="I68" s="49">
        <f t="shared" si="15"/>
        <v>1.149</v>
      </c>
      <c r="J68" s="8">
        <f t="shared" si="16"/>
        <v>8.9999999999999998E-4</v>
      </c>
      <c r="K68" s="7">
        <f t="shared" si="17"/>
        <v>43980</v>
      </c>
      <c r="L68" s="14">
        <f t="shared" si="18"/>
        <v>1.1479668298531323</v>
      </c>
    </row>
    <row r="69" spans="1:12">
      <c r="A69" s="2" t="s">
        <v>1185</v>
      </c>
      <c r="B69" s="84" t="s">
        <v>1623</v>
      </c>
      <c r="C69" s="15">
        <v>1.123</v>
      </c>
      <c r="D69" s="12">
        <v>1.423</v>
      </c>
      <c r="E69" s="12">
        <v>1.123</v>
      </c>
      <c r="F69" s="177">
        <v>0</v>
      </c>
      <c r="G69" s="42">
        <v>43980</v>
      </c>
      <c r="H69" s="84">
        <f t="shared" si="14"/>
        <v>32</v>
      </c>
      <c r="I69" s="49">
        <f t="shared" si="15"/>
        <v>1.123</v>
      </c>
      <c r="J69" s="8">
        <f t="shared" si="16"/>
        <v>0</v>
      </c>
      <c r="K69" s="7">
        <f t="shared" si="17"/>
        <v>43980</v>
      </c>
      <c r="L69" s="14">
        <f t="shared" si="18"/>
        <v>1.123</v>
      </c>
    </row>
    <row r="70" spans="1:12">
      <c r="A70" s="2" t="s">
        <v>1186</v>
      </c>
      <c r="B70" s="84" t="s">
        <v>1624</v>
      </c>
      <c r="C70" s="15">
        <v>1.1116999999999999</v>
      </c>
      <c r="D70" s="12">
        <v>1.4021999999999999</v>
      </c>
      <c r="E70" s="12">
        <v>1.1119000000000001</v>
      </c>
      <c r="F70" s="169">
        <v>-2.0000000000000001E-4</v>
      </c>
      <c r="G70" s="42">
        <v>43980</v>
      </c>
      <c r="H70" s="84">
        <f t="shared" si="14"/>
        <v>191</v>
      </c>
      <c r="I70" s="49">
        <f t="shared" si="15"/>
        <v>1.1116999999999999</v>
      </c>
      <c r="J70" s="8">
        <f t="shared" si="16"/>
        <v>-2.0000000000000001E-4</v>
      </c>
      <c r="K70" s="7">
        <f t="shared" si="17"/>
        <v>43980</v>
      </c>
      <c r="L70" s="14">
        <f t="shared" si="18"/>
        <v>1.1119223844768953</v>
      </c>
    </row>
  </sheetData>
  <autoFilter ref="A1:K55"/>
  <sortState ref="A2:L53">
    <sortCondition ref="A2:A53"/>
  </sortState>
  <phoneticPr fontId="18" type="noConversion"/>
  <pageMargins left="0.69930555555555596" right="0.69930555555555596" top="0.75" bottom="0.75" header="0.3" footer="0.3"/>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sheetPr codeName="Sheet1">
    <tabColor indexed="10"/>
  </sheetPr>
  <dimension ref="A1:Q322"/>
  <sheetViews>
    <sheetView workbookViewId="0">
      <pane xSplit="1" ySplit="3" topLeftCell="B311" activePane="bottomRight" state="frozen"/>
      <selection pane="topRight" activeCell="B1" sqref="B1"/>
      <selection pane="bottomLeft" activeCell="A4" sqref="A4"/>
      <selection pane="bottomRight" activeCell="J320" sqref="J320"/>
    </sheetView>
  </sheetViews>
  <sheetFormatPr defaultColWidth="9" defaultRowHeight="15.6"/>
  <cols>
    <col min="1" max="1" width="10.33203125" style="73" customWidth="1"/>
    <col min="2" max="2" width="11.77734375" style="73" customWidth="1"/>
    <col min="3" max="3" width="10.33203125" style="88" customWidth="1"/>
    <col min="4" max="4" width="9.21875" style="76" customWidth="1"/>
    <col min="5" max="5" width="7.6640625" style="76" bestFit="1" customWidth="1"/>
    <col min="6" max="7" width="10.21875" style="88" customWidth="1"/>
    <col min="8" max="8" width="9.77734375" style="75" customWidth="1"/>
    <col min="9" max="9" width="12.88671875" style="45" customWidth="1"/>
    <col min="10" max="10" width="8.44140625" style="75" customWidth="1"/>
    <col min="11" max="11" width="10.109375" style="88" customWidth="1"/>
    <col min="12" max="12" width="8.6640625" style="82" customWidth="1"/>
    <col min="13" max="13" width="10.109375" style="75" customWidth="1"/>
    <col min="14" max="15" width="9.109375" style="93" bestFit="1" customWidth="1"/>
    <col min="16" max="16" width="9.44140625" style="93" bestFit="1" customWidth="1"/>
    <col min="17" max="16384" width="9" style="73"/>
  </cols>
  <sheetData>
    <row r="1" spans="1:17" ht="31.2">
      <c r="A1" s="68" t="s">
        <v>0</v>
      </c>
      <c r="B1" s="69" t="s">
        <v>1</v>
      </c>
      <c r="C1" s="86" t="s">
        <v>2</v>
      </c>
      <c r="D1" s="71" t="s">
        <v>3</v>
      </c>
      <c r="E1" s="71" t="s">
        <v>4</v>
      </c>
      <c r="F1" s="86" t="s">
        <v>5</v>
      </c>
      <c r="G1" s="86" t="s">
        <v>6</v>
      </c>
      <c r="H1" s="70" t="s">
        <v>7</v>
      </c>
      <c r="I1" s="44" t="s">
        <v>8</v>
      </c>
      <c r="J1" s="70" t="s">
        <v>16</v>
      </c>
      <c r="K1" s="86" t="s">
        <v>21</v>
      </c>
      <c r="L1" s="91" t="s">
        <v>19</v>
      </c>
      <c r="M1" s="70" t="s">
        <v>22</v>
      </c>
      <c r="N1" s="86" t="s">
        <v>23</v>
      </c>
      <c r="O1" s="86" t="s">
        <v>24</v>
      </c>
      <c r="P1" s="86" t="s">
        <v>25</v>
      </c>
    </row>
    <row r="2" spans="1:17">
      <c r="A2" s="72" t="s">
        <v>59</v>
      </c>
      <c r="B2" s="72" t="s">
        <v>1306</v>
      </c>
      <c r="C2" s="87">
        <v>2852.3512000000001</v>
      </c>
      <c r="D2" s="79">
        <v>2.2000000000000001E-3</v>
      </c>
      <c r="E2" s="81">
        <v>8.9999999999999993E-3</v>
      </c>
      <c r="F2" s="89">
        <v>2855.3755999999998</v>
      </c>
      <c r="G2" s="90">
        <v>2829.6271000000002</v>
      </c>
      <c r="H2" s="74">
        <v>23379899</v>
      </c>
      <c r="I2" s="1">
        <v>0.62650462962962961</v>
      </c>
      <c r="J2" s="74">
        <f t="shared" ref="J2:J3" si="0">RIGHT(A2,6)+0</f>
        <v>1</v>
      </c>
      <c r="K2" s="87">
        <f>C2+0</f>
        <v>2852.3512000000001</v>
      </c>
      <c r="L2" s="81">
        <f t="shared" ref="L2:L3" si="1">D2</f>
        <v>2.2000000000000001E-3</v>
      </c>
      <c r="M2" s="74">
        <f t="shared" ref="M2:M3" si="2">H2</f>
        <v>23379899</v>
      </c>
      <c r="N2" s="92">
        <v>0</v>
      </c>
      <c r="O2" s="92">
        <v>0</v>
      </c>
      <c r="P2" s="92">
        <v>2835.5839999999998</v>
      </c>
      <c r="Q2" s="73">
        <f>C2/(1+D2)</f>
        <v>2846.0898024346438</v>
      </c>
    </row>
    <row r="3" spans="1:17">
      <c r="A3" s="65" t="s">
        <v>13</v>
      </c>
      <c r="B3" s="72" t="s">
        <v>222</v>
      </c>
      <c r="C3" s="87">
        <v>2806.6642999999999</v>
      </c>
      <c r="D3" s="80">
        <v>-1.1000000000000001E-3</v>
      </c>
      <c r="E3" s="81">
        <v>8.8999999999999999E-3</v>
      </c>
      <c r="F3" s="89">
        <v>2813.8249000000001</v>
      </c>
      <c r="G3" s="90">
        <v>2788.8670000000002</v>
      </c>
      <c r="H3" s="74">
        <v>3626770</v>
      </c>
      <c r="I3" s="1">
        <v>0.62650462962962961</v>
      </c>
      <c r="J3" s="74">
        <f t="shared" si="0"/>
        <v>16</v>
      </c>
      <c r="K3" s="87">
        <f>C3</f>
        <v>2806.6642999999999</v>
      </c>
      <c r="L3" s="81">
        <f t="shared" si="1"/>
        <v>-1.1000000000000001E-3</v>
      </c>
      <c r="M3" s="74">
        <f t="shared" si="2"/>
        <v>3626770</v>
      </c>
      <c r="N3" s="92">
        <v>0</v>
      </c>
      <c r="O3" s="92">
        <v>0</v>
      </c>
      <c r="P3" s="92">
        <v>2791.6226000000001</v>
      </c>
      <c r="Q3" s="73">
        <f t="shared" ref="Q3" si="3">C3/(1+D3)</f>
        <v>2809.7550305335867</v>
      </c>
    </row>
    <row r="4" spans="1:17">
      <c r="A4" s="65" t="s">
        <v>14</v>
      </c>
      <c r="B4" s="72" t="s">
        <v>255</v>
      </c>
      <c r="C4" s="87">
        <v>3867.0232000000001</v>
      </c>
      <c r="D4" s="79">
        <v>2.7000000000000001E-3</v>
      </c>
      <c r="E4" s="81">
        <v>1.09E-2</v>
      </c>
      <c r="F4" s="89">
        <v>3872.3031000000001</v>
      </c>
      <c r="G4" s="90">
        <v>3830.4185000000002</v>
      </c>
      <c r="H4" s="74">
        <v>13565813</v>
      </c>
      <c r="I4" s="1">
        <v>0.62650462962962961</v>
      </c>
      <c r="J4" s="74">
        <f t="shared" ref="J4:J35" si="4">RIGHT(A4,6)+0</f>
        <v>300</v>
      </c>
      <c r="K4" s="87">
        <f>C4</f>
        <v>3867.0232000000001</v>
      </c>
      <c r="L4" s="81">
        <f t="shared" ref="L4:L35" si="5">D4</f>
        <v>2.7000000000000001E-3</v>
      </c>
      <c r="M4" s="74">
        <f t="shared" ref="M4:M35" si="6">H4</f>
        <v>13565813</v>
      </c>
      <c r="N4" s="92">
        <v>0</v>
      </c>
      <c r="O4" s="92">
        <v>0</v>
      </c>
      <c r="P4" s="92">
        <v>3838.3769000000002</v>
      </c>
      <c r="Q4" s="73" t="b">
        <f>A4=A5</f>
        <v>0</v>
      </c>
    </row>
    <row r="5" spans="1:17">
      <c r="A5" s="72" t="s">
        <v>66</v>
      </c>
      <c r="B5" s="72" t="s">
        <v>256</v>
      </c>
      <c r="C5" s="87">
        <v>5406.3402999999998</v>
      </c>
      <c r="D5" s="79">
        <v>8.3999999999999995E-3</v>
      </c>
      <c r="E5" s="81">
        <v>1.4999999999999999E-2</v>
      </c>
      <c r="F5" s="89">
        <v>5416.6598999999997</v>
      </c>
      <c r="G5" s="90">
        <v>5336.0668999999998</v>
      </c>
      <c r="H5" s="74">
        <v>11002321</v>
      </c>
      <c r="I5" s="1">
        <v>0.62650462962962961</v>
      </c>
      <c r="J5" s="74">
        <f t="shared" si="4"/>
        <v>905</v>
      </c>
      <c r="K5" s="87">
        <f t="shared" ref="K5:K36" si="7">C5+0</f>
        <v>5406.3402999999998</v>
      </c>
      <c r="L5" s="81">
        <f t="shared" si="5"/>
        <v>8.3999999999999995E-3</v>
      </c>
      <c r="M5" s="74">
        <f t="shared" si="6"/>
        <v>11002321</v>
      </c>
      <c r="N5" s="92">
        <v>0</v>
      </c>
      <c r="O5" s="92">
        <v>0</v>
      </c>
      <c r="P5" s="92">
        <v>5349.5677999999998</v>
      </c>
      <c r="Q5" s="73" t="b">
        <f t="shared" ref="Q5:Q66" si="8">A5=A6</f>
        <v>0</v>
      </c>
    </row>
    <row r="6" spans="1:17">
      <c r="A6" s="72" t="s">
        <v>304</v>
      </c>
      <c r="B6" s="72" t="s">
        <v>849</v>
      </c>
      <c r="C6" s="87">
        <v>118</v>
      </c>
      <c r="D6" s="79">
        <v>2.41E-2</v>
      </c>
      <c r="E6" s="81">
        <v>3.2800000000000003E-2</v>
      </c>
      <c r="F6" s="89">
        <v>118.01</v>
      </c>
      <c r="G6" s="90">
        <v>114.23</v>
      </c>
      <c r="H6" s="74">
        <v>2233</v>
      </c>
      <c r="I6" s="1">
        <v>0.62532407407407409</v>
      </c>
      <c r="J6" s="74">
        <f t="shared" si="4"/>
        <v>110034</v>
      </c>
      <c r="K6" s="87">
        <f t="shared" si="7"/>
        <v>118</v>
      </c>
      <c r="L6" s="81">
        <f t="shared" si="5"/>
        <v>2.41E-2</v>
      </c>
      <c r="M6" s="74">
        <f t="shared" si="6"/>
        <v>2233</v>
      </c>
      <c r="N6" s="92">
        <v>117.85</v>
      </c>
      <c r="O6" s="92">
        <v>117.99</v>
      </c>
      <c r="P6" s="92">
        <v>114.23</v>
      </c>
      <c r="Q6" s="73" t="b">
        <f t="shared" si="8"/>
        <v>0</v>
      </c>
    </row>
    <row r="7" spans="1:17">
      <c r="A7" s="72" t="s">
        <v>305</v>
      </c>
      <c r="B7" s="72" t="s">
        <v>1307</v>
      </c>
      <c r="C7" s="87">
        <v>111.85</v>
      </c>
      <c r="D7" s="79">
        <v>1.6999999999999999E-3</v>
      </c>
      <c r="E7" s="81">
        <v>1.11E-2</v>
      </c>
      <c r="F7" s="89">
        <v>112.25</v>
      </c>
      <c r="G7" s="90">
        <v>111.01</v>
      </c>
      <c r="H7" s="74">
        <v>38</v>
      </c>
      <c r="I7" s="1">
        <v>0.62532407407407409</v>
      </c>
      <c r="J7" s="74">
        <f t="shared" si="4"/>
        <v>110038</v>
      </c>
      <c r="K7" s="87">
        <f t="shared" si="7"/>
        <v>111.85</v>
      </c>
      <c r="L7" s="81">
        <f t="shared" si="5"/>
        <v>1.6999999999999999E-3</v>
      </c>
      <c r="M7" s="74">
        <f t="shared" si="6"/>
        <v>38</v>
      </c>
      <c r="N7" s="92">
        <v>111.28</v>
      </c>
      <c r="O7" s="92">
        <v>112.01</v>
      </c>
      <c r="P7" s="92">
        <v>111.48</v>
      </c>
      <c r="Q7" s="73" t="b">
        <f t="shared" si="8"/>
        <v>0</v>
      </c>
    </row>
    <row r="8" spans="1:17">
      <c r="A8" s="72" t="s">
        <v>262</v>
      </c>
      <c r="B8" s="72" t="s">
        <v>1308</v>
      </c>
      <c r="C8" s="87">
        <v>103.01</v>
      </c>
      <c r="D8" s="79">
        <v>1.47E-2</v>
      </c>
      <c r="E8" s="81">
        <v>1.7399999999999999E-2</v>
      </c>
      <c r="F8" s="89">
        <v>103.14</v>
      </c>
      <c r="G8" s="90">
        <v>101.37</v>
      </c>
      <c r="H8" s="74">
        <v>1224</v>
      </c>
      <c r="I8" s="1">
        <v>0.62532407407407409</v>
      </c>
      <c r="J8" s="74">
        <f t="shared" si="4"/>
        <v>110058</v>
      </c>
      <c r="K8" s="87">
        <f t="shared" si="7"/>
        <v>103.01</v>
      </c>
      <c r="L8" s="81">
        <f t="shared" si="5"/>
        <v>1.47E-2</v>
      </c>
      <c r="M8" s="74">
        <f t="shared" si="6"/>
        <v>1224</v>
      </c>
      <c r="N8" s="92">
        <v>102.84</v>
      </c>
      <c r="O8" s="92">
        <v>103</v>
      </c>
      <c r="P8" s="92">
        <v>101.44</v>
      </c>
      <c r="Q8" s="73" t="b">
        <f t="shared" si="8"/>
        <v>0</v>
      </c>
    </row>
    <row r="9" spans="1:17">
      <c r="A9" s="72" t="s">
        <v>306</v>
      </c>
      <c r="B9" s="72" t="s">
        <v>1309</v>
      </c>
      <c r="C9" s="87">
        <v>103.44</v>
      </c>
      <c r="D9" s="79">
        <v>4.1999999999999997E-3</v>
      </c>
      <c r="E9" s="81">
        <v>5.7999999999999996E-3</v>
      </c>
      <c r="F9" s="89">
        <v>103.48</v>
      </c>
      <c r="G9" s="90">
        <v>102.88</v>
      </c>
      <c r="H9" s="74">
        <v>411</v>
      </c>
      <c r="I9" s="1">
        <v>0.62532407407407409</v>
      </c>
      <c r="J9" s="74">
        <f t="shared" si="4"/>
        <v>113012</v>
      </c>
      <c r="K9" s="87">
        <f t="shared" si="7"/>
        <v>103.44</v>
      </c>
      <c r="L9" s="81">
        <f t="shared" si="5"/>
        <v>4.1999999999999997E-3</v>
      </c>
      <c r="M9" s="74">
        <f t="shared" si="6"/>
        <v>411</v>
      </c>
      <c r="N9" s="92">
        <v>103.44</v>
      </c>
      <c r="O9" s="92">
        <v>103.48</v>
      </c>
      <c r="P9" s="92">
        <v>102.88</v>
      </c>
      <c r="Q9" s="73" t="b">
        <f t="shared" si="8"/>
        <v>0</v>
      </c>
    </row>
    <row r="10" spans="1:17">
      <c r="A10" s="72" t="s">
        <v>263</v>
      </c>
      <c r="B10" s="72" t="s">
        <v>1310</v>
      </c>
      <c r="C10" s="87">
        <v>102.6</v>
      </c>
      <c r="D10" s="79">
        <v>3.8999999999999998E-3</v>
      </c>
      <c r="E10" s="81">
        <v>7.6E-3</v>
      </c>
      <c r="F10" s="89">
        <v>102.99</v>
      </c>
      <c r="G10" s="89">
        <v>102.21</v>
      </c>
      <c r="H10" s="74">
        <v>318</v>
      </c>
      <c r="I10" s="1">
        <v>0.62532407407407409</v>
      </c>
      <c r="J10" s="74">
        <f t="shared" si="4"/>
        <v>113014</v>
      </c>
      <c r="K10" s="87">
        <f t="shared" si="7"/>
        <v>102.6</v>
      </c>
      <c r="L10" s="81">
        <f t="shared" si="5"/>
        <v>3.8999999999999998E-3</v>
      </c>
      <c r="M10" s="74">
        <f t="shared" si="6"/>
        <v>318</v>
      </c>
      <c r="N10" s="92">
        <v>102.6</v>
      </c>
      <c r="O10" s="92">
        <v>102.69</v>
      </c>
      <c r="P10" s="92">
        <v>102.21</v>
      </c>
      <c r="Q10" s="73" t="b">
        <f t="shared" si="8"/>
        <v>0</v>
      </c>
    </row>
    <row r="11" spans="1:17">
      <c r="A11" s="72" t="s">
        <v>264</v>
      </c>
      <c r="B11" s="72" t="s">
        <v>1311</v>
      </c>
      <c r="C11" s="87">
        <v>98.56</v>
      </c>
      <c r="D11" s="79">
        <v>1.0800000000000001E-2</v>
      </c>
      <c r="E11" s="81">
        <v>1.55E-2</v>
      </c>
      <c r="F11" s="89">
        <v>98.91</v>
      </c>
      <c r="G11" s="90">
        <v>97.4</v>
      </c>
      <c r="H11" s="74">
        <v>654</v>
      </c>
      <c r="I11" s="1">
        <v>0.62532407407407409</v>
      </c>
      <c r="J11" s="74">
        <f t="shared" si="4"/>
        <v>113016</v>
      </c>
      <c r="K11" s="87">
        <f t="shared" si="7"/>
        <v>98.56</v>
      </c>
      <c r="L11" s="81">
        <f t="shared" si="5"/>
        <v>1.0800000000000001E-2</v>
      </c>
      <c r="M11" s="74">
        <f t="shared" si="6"/>
        <v>654</v>
      </c>
      <c r="N11" s="92">
        <v>98.56</v>
      </c>
      <c r="O11" s="92">
        <v>98.64</v>
      </c>
      <c r="P11" s="92">
        <v>97.4</v>
      </c>
      <c r="Q11" s="73" t="b">
        <f t="shared" si="8"/>
        <v>0</v>
      </c>
    </row>
    <row r="12" spans="1:17">
      <c r="A12" s="72" t="s">
        <v>265</v>
      </c>
      <c r="B12" s="72" t="s">
        <v>1312</v>
      </c>
      <c r="C12" s="87">
        <v>103.8</v>
      </c>
      <c r="D12" s="79">
        <v>1.29E-2</v>
      </c>
      <c r="E12" s="81">
        <v>2.0500000000000001E-2</v>
      </c>
      <c r="F12" s="89">
        <v>104.22</v>
      </c>
      <c r="G12" s="90">
        <v>102.12</v>
      </c>
      <c r="H12" s="74">
        <v>227</v>
      </c>
      <c r="I12" s="1">
        <v>0.62532407407407409</v>
      </c>
      <c r="J12" s="74">
        <f t="shared" si="4"/>
        <v>113502</v>
      </c>
      <c r="K12" s="87">
        <f t="shared" si="7"/>
        <v>103.8</v>
      </c>
      <c r="L12" s="81">
        <f t="shared" si="5"/>
        <v>1.29E-2</v>
      </c>
      <c r="M12" s="74">
        <f t="shared" si="6"/>
        <v>227</v>
      </c>
      <c r="N12" s="92">
        <v>103.61</v>
      </c>
      <c r="O12" s="92">
        <v>103.9</v>
      </c>
      <c r="P12" s="92">
        <v>102.65</v>
      </c>
      <c r="Q12" s="73" t="b">
        <f t="shared" si="8"/>
        <v>0</v>
      </c>
    </row>
    <row r="13" spans="1:17">
      <c r="A13" s="72" t="s">
        <v>307</v>
      </c>
      <c r="B13" s="72" t="s">
        <v>308</v>
      </c>
      <c r="C13" s="87">
        <v>139.22</v>
      </c>
      <c r="D13" s="80">
        <v>-1.49E-2</v>
      </c>
      <c r="E13" s="81">
        <v>3.8699999999999998E-2</v>
      </c>
      <c r="F13" s="89">
        <v>144.15</v>
      </c>
      <c r="G13" s="90">
        <v>138.68</v>
      </c>
      <c r="H13" s="74">
        <v>20182</v>
      </c>
      <c r="I13" s="1">
        <v>0.625</v>
      </c>
      <c r="J13" s="74">
        <f t="shared" si="4"/>
        <v>113514</v>
      </c>
      <c r="K13" s="87">
        <f t="shared" si="7"/>
        <v>139.22</v>
      </c>
      <c r="L13" s="81">
        <f t="shared" si="5"/>
        <v>-1.49E-2</v>
      </c>
      <c r="M13" s="74">
        <f t="shared" si="6"/>
        <v>20182</v>
      </c>
      <c r="N13" s="92">
        <v>139.1</v>
      </c>
      <c r="O13" s="92">
        <v>139.13</v>
      </c>
      <c r="P13" s="92">
        <v>140</v>
      </c>
      <c r="Q13" s="73" t="b">
        <f t="shared" si="8"/>
        <v>0</v>
      </c>
    </row>
    <row r="14" spans="1:17">
      <c r="A14" s="72" t="s">
        <v>266</v>
      </c>
      <c r="B14" s="72" t="s">
        <v>1237</v>
      </c>
      <c r="C14" s="87">
        <v>92.21</v>
      </c>
      <c r="D14" s="79">
        <v>5.5999999999999999E-3</v>
      </c>
      <c r="E14" s="81">
        <v>1.0500000000000001E-2</v>
      </c>
      <c r="F14" s="89">
        <v>92.72</v>
      </c>
      <c r="G14" s="89">
        <v>91.76</v>
      </c>
      <c r="H14" s="74">
        <v>1291</v>
      </c>
      <c r="I14" s="1">
        <v>0.62532407407407409</v>
      </c>
      <c r="J14" s="74">
        <f t="shared" si="4"/>
        <v>113527</v>
      </c>
      <c r="K14" s="87">
        <f t="shared" si="7"/>
        <v>92.21</v>
      </c>
      <c r="L14" s="81">
        <f t="shared" si="5"/>
        <v>5.5999999999999999E-3</v>
      </c>
      <c r="M14" s="74">
        <f t="shared" si="6"/>
        <v>1291</v>
      </c>
      <c r="N14" s="92">
        <v>92.21</v>
      </c>
      <c r="O14" s="92">
        <v>92.22</v>
      </c>
      <c r="P14" s="92">
        <v>91.8</v>
      </c>
      <c r="Q14" s="73" t="b">
        <f t="shared" si="8"/>
        <v>0</v>
      </c>
    </row>
    <row r="15" spans="1:17">
      <c r="A15" s="72" t="s">
        <v>720</v>
      </c>
      <c r="B15" s="72" t="s">
        <v>1313</v>
      </c>
      <c r="C15" s="87">
        <v>111.05</v>
      </c>
      <c r="D15" s="79">
        <v>9.4999999999999998E-3</v>
      </c>
      <c r="E15" s="81">
        <v>2.2700000000000001E-2</v>
      </c>
      <c r="F15" s="89">
        <v>111.5</v>
      </c>
      <c r="G15" s="90">
        <v>109</v>
      </c>
      <c r="H15" s="74">
        <v>913</v>
      </c>
      <c r="I15" s="1">
        <v>0.62532407407407409</v>
      </c>
      <c r="J15" s="74">
        <f t="shared" si="4"/>
        <v>113534</v>
      </c>
      <c r="K15" s="87">
        <f t="shared" si="7"/>
        <v>111.05</v>
      </c>
      <c r="L15" s="81">
        <f t="shared" si="5"/>
        <v>9.4999999999999998E-3</v>
      </c>
      <c r="M15" s="74">
        <f t="shared" si="6"/>
        <v>913</v>
      </c>
      <c r="N15" s="92">
        <v>111.05</v>
      </c>
      <c r="O15" s="92">
        <v>111.26</v>
      </c>
      <c r="P15" s="92">
        <v>110</v>
      </c>
      <c r="Q15" s="73" t="b">
        <f t="shared" si="8"/>
        <v>0</v>
      </c>
    </row>
    <row r="16" spans="1:17">
      <c r="A16" s="72" t="s">
        <v>721</v>
      </c>
      <c r="B16" s="72" t="s">
        <v>1266</v>
      </c>
      <c r="C16" s="87">
        <v>116.33</v>
      </c>
      <c r="D16" s="79">
        <v>2.7000000000000001E-3</v>
      </c>
      <c r="E16" s="81">
        <v>1.6199999999999999E-2</v>
      </c>
      <c r="F16" s="89">
        <v>117.5</v>
      </c>
      <c r="G16" s="90">
        <v>115.62</v>
      </c>
      <c r="H16" s="74">
        <v>212</v>
      </c>
      <c r="I16" s="1">
        <v>0.62532407407407409</v>
      </c>
      <c r="J16" s="74">
        <f t="shared" si="4"/>
        <v>113536</v>
      </c>
      <c r="K16" s="87">
        <f t="shared" si="7"/>
        <v>116.33</v>
      </c>
      <c r="L16" s="81">
        <f t="shared" si="5"/>
        <v>2.7000000000000001E-3</v>
      </c>
      <c r="M16" s="74">
        <f t="shared" si="6"/>
        <v>212</v>
      </c>
      <c r="N16" s="92">
        <v>116.31</v>
      </c>
      <c r="O16" s="92">
        <v>116.48</v>
      </c>
      <c r="P16" s="92">
        <v>116.01</v>
      </c>
      <c r="Q16" s="73" t="b">
        <f t="shared" si="8"/>
        <v>0</v>
      </c>
    </row>
    <row r="17" spans="1:17">
      <c r="A17" s="72" t="s">
        <v>722</v>
      </c>
      <c r="B17" s="72" t="s">
        <v>1314</v>
      </c>
      <c r="C17" s="87">
        <v>105.85</v>
      </c>
      <c r="D17" s="79">
        <v>9.2999999999999992E-3</v>
      </c>
      <c r="E17" s="81">
        <v>1.47E-2</v>
      </c>
      <c r="F17" s="89">
        <v>106.25</v>
      </c>
      <c r="G17" s="90">
        <v>104.71</v>
      </c>
      <c r="H17" s="74">
        <v>134</v>
      </c>
      <c r="I17" s="1">
        <v>0.62532407407407409</v>
      </c>
      <c r="J17" s="74">
        <f t="shared" si="4"/>
        <v>113541</v>
      </c>
      <c r="K17" s="87">
        <f t="shared" si="7"/>
        <v>105.85</v>
      </c>
      <c r="L17" s="81">
        <f t="shared" si="5"/>
        <v>9.2999999999999992E-3</v>
      </c>
      <c r="M17" s="74">
        <f t="shared" si="6"/>
        <v>134</v>
      </c>
      <c r="N17" s="92">
        <v>105.84</v>
      </c>
      <c r="O17" s="92">
        <v>106.12</v>
      </c>
      <c r="P17" s="92">
        <v>104.88</v>
      </c>
      <c r="Q17" s="73" t="b">
        <f t="shared" si="8"/>
        <v>0</v>
      </c>
    </row>
    <row r="18" spans="1:17">
      <c r="A18" s="72" t="s">
        <v>719</v>
      </c>
      <c r="B18" s="72" t="s">
        <v>1315</v>
      </c>
      <c r="C18" s="87">
        <v>106.58</v>
      </c>
      <c r="D18" s="79">
        <v>1.18E-2</v>
      </c>
      <c r="E18" s="81">
        <v>2.29E-2</v>
      </c>
      <c r="F18" s="89">
        <v>107.5</v>
      </c>
      <c r="G18" s="90">
        <v>105.09</v>
      </c>
      <c r="H18" s="74">
        <v>2329</v>
      </c>
      <c r="I18" s="1">
        <v>0.62532407407407409</v>
      </c>
      <c r="J18" s="74">
        <f t="shared" si="4"/>
        <v>113546</v>
      </c>
      <c r="K18" s="87">
        <f t="shared" si="7"/>
        <v>106.58</v>
      </c>
      <c r="L18" s="81">
        <f t="shared" si="5"/>
        <v>1.18E-2</v>
      </c>
      <c r="M18" s="74">
        <f t="shared" si="6"/>
        <v>2329</v>
      </c>
      <c r="N18" s="92">
        <v>106.45</v>
      </c>
      <c r="O18" s="92">
        <v>106.59</v>
      </c>
      <c r="P18" s="92">
        <v>105.09</v>
      </c>
      <c r="Q18" s="73" t="b">
        <f t="shared" si="8"/>
        <v>0</v>
      </c>
    </row>
    <row r="19" spans="1:17">
      <c r="A19" s="72" t="s">
        <v>284</v>
      </c>
      <c r="B19" s="72" t="s">
        <v>283</v>
      </c>
      <c r="C19" s="87">
        <v>70.8</v>
      </c>
      <c r="D19" s="79">
        <v>6.2100000000000002E-2</v>
      </c>
      <c r="E19" s="81">
        <v>6.2899999999999998E-2</v>
      </c>
      <c r="F19" s="89">
        <v>70.88</v>
      </c>
      <c r="G19" s="89">
        <v>66.69</v>
      </c>
      <c r="H19" s="74">
        <v>10</v>
      </c>
      <c r="I19" s="1">
        <v>0.62532407407407409</v>
      </c>
      <c r="J19" s="74">
        <f t="shared" si="4"/>
        <v>122071</v>
      </c>
      <c r="K19" s="87">
        <f t="shared" si="7"/>
        <v>70.8</v>
      </c>
      <c r="L19" s="81">
        <f t="shared" si="5"/>
        <v>6.2100000000000002E-2</v>
      </c>
      <c r="M19" s="74">
        <f t="shared" si="6"/>
        <v>10</v>
      </c>
      <c r="N19" s="92">
        <v>68</v>
      </c>
      <c r="O19" s="92">
        <v>70.8</v>
      </c>
      <c r="P19" s="92">
        <v>66.69</v>
      </c>
      <c r="Q19" s="73" t="b">
        <f t="shared" si="8"/>
        <v>0</v>
      </c>
    </row>
    <row r="20" spans="1:17">
      <c r="A20" s="72" t="s">
        <v>217</v>
      </c>
      <c r="B20" s="72" t="s">
        <v>1316</v>
      </c>
      <c r="C20" s="87">
        <v>36.69</v>
      </c>
      <c r="D20" s="111">
        <v>0</v>
      </c>
      <c r="E20" s="81">
        <v>0</v>
      </c>
      <c r="F20" s="90">
        <v>0</v>
      </c>
      <c r="G20" s="90">
        <v>0</v>
      </c>
      <c r="H20" s="74">
        <v>0</v>
      </c>
      <c r="I20" s="1">
        <v>0.64582175925925933</v>
      </c>
      <c r="J20" s="74">
        <f t="shared" si="4"/>
        <v>122354</v>
      </c>
      <c r="K20" s="87">
        <f t="shared" si="7"/>
        <v>36.69</v>
      </c>
      <c r="L20" s="81">
        <f t="shared" si="5"/>
        <v>0</v>
      </c>
      <c r="M20" s="74">
        <f t="shared" si="6"/>
        <v>0</v>
      </c>
      <c r="N20" s="92">
        <v>0</v>
      </c>
      <c r="O20" s="92">
        <v>0</v>
      </c>
      <c r="P20" s="92">
        <v>0</v>
      </c>
      <c r="Q20" s="73" t="b">
        <f t="shared" si="8"/>
        <v>0</v>
      </c>
    </row>
    <row r="21" spans="1:17">
      <c r="A21" s="72" t="s">
        <v>185</v>
      </c>
      <c r="B21" s="72" t="s">
        <v>1317</v>
      </c>
      <c r="C21" s="87">
        <v>97.55</v>
      </c>
      <c r="D21" s="111">
        <v>0</v>
      </c>
      <c r="E21" s="81">
        <v>0</v>
      </c>
      <c r="F21" s="90">
        <v>0</v>
      </c>
      <c r="G21" s="90">
        <v>0</v>
      </c>
      <c r="H21" s="74">
        <v>0</v>
      </c>
      <c r="I21" s="1">
        <v>0.375</v>
      </c>
      <c r="J21" s="74">
        <f t="shared" si="4"/>
        <v>122927</v>
      </c>
      <c r="K21" s="87">
        <f t="shared" si="7"/>
        <v>97.55</v>
      </c>
      <c r="L21" s="81">
        <f t="shared" si="5"/>
        <v>0</v>
      </c>
      <c r="M21" s="74">
        <f t="shared" si="6"/>
        <v>0</v>
      </c>
      <c r="N21" s="92">
        <v>0</v>
      </c>
      <c r="O21" s="92">
        <v>0</v>
      </c>
      <c r="P21" s="92">
        <v>0</v>
      </c>
      <c r="Q21" s="73" t="b">
        <f t="shared" si="8"/>
        <v>0</v>
      </c>
    </row>
    <row r="22" spans="1:17">
      <c r="A22" s="72" t="s">
        <v>140</v>
      </c>
      <c r="B22" s="72" t="s">
        <v>1318</v>
      </c>
      <c r="C22" s="87">
        <v>70</v>
      </c>
      <c r="D22" s="111">
        <v>0</v>
      </c>
      <c r="E22" s="81">
        <v>0</v>
      </c>
      <c r="F22" s="90">
        <v>0</v>
      </c>
      <c r="G22" s="90">
        <v>0</v>
      </c>
      <c r="H22" s="74">
        <v>0</v>
      </c>
      <c r="I22" s="1">
        <v>0.64582175925925933</v>
      </c>
      <c r="J22" s="74">
        <f t="shared" si="4"/>
        <v>124286</v>
      </c>
      <c r="K22" s="87">
        <f t="shared" si="7"/>
        <v>70</v>
      </c>
      <c r="L22" s="81">
        <f t="shared" si="5"/>
        <v>0</v>
      </c>
      <c r="M22" s="74">
        <f t="shared" si="6"/>
        <v>0</v>
      </c>
      <c r="N22" s="92">
        <v>0</v>
      </c>
      <c r="O22" s="92">
        <v>0</v>
      </c>
      <c r="P22" s="92">
        <v>0</v>
      </c>
      <c r="Q22" s="73" t="b">
        <f t="shared" si="8"/>
        <v>0</v>
      </c>
    </row>
    <row r="23" spans="1:17">
      <c r="A23" s="72" t="s">
        <v>60</v>
      </c>
      <c r="B23" s="72" t="s">
        <v>257</v>
      </c>
      <c r="C23" s="87">
        <v>95</v>
      </c>
      <c r="D23" s="80">
        <v>-1.03E-2</v>
      </c>
      <c r="E23" s="81">
        <v>0</v>
      </c>
      <c r="F23" s="90">
        <v>95</v>
      </c>
      <c r="G23" s="90">
        <v>95</v>
      </c>
      <c r="H23" s="74">
        <v>1491</v>
      </c>
      <c r="I23" s="1">
        <v>0.62532407407407409</v>
      </c>
      <c r="J23" s="74">
        <f t="shared" si="4"/>
        <v>124977</v>
      </c>
      <c r="K23" s="87">
        <f t="shared" si="7"/>
        <v>95</v>
      </c>
      <c r="L23" s="81">
        <f t="shared" si="5"/>
        <v>-1.03E-2</v>
      </c>
      <c r="M23" s="74">
        <f t="shared" si="6"/>
        <v>1491</v>
      </c>
      <c r="N23" s="92">
        <v>0</v>
      </c>
      <c r="O23" s="92">
        <v>95.99</v>
      </c>
      <c r="P23" s="92">
        <v>95</v>
      </c>
      <c r="Q23" s="73" t="b">
        <f t="shared" si="8"/>
        <v>0</v>
      </c>
    </row>
    <row r="24" spans="1:17">
      <c r="A24" s="72" t="s">
        <v>836</v>
      </c>
      <c r="B24" s="72" t="s">
        <v>1267</v>
      </c>
      <c r="C24" s="87">
        <v>110.60299999999999</v>
      </c>
      <c r="D24" s="80">
        <v>-4.4999999999999997E-3</v>
      </c>
      <c r="E24" s="81">
        <v>7.9000000000000008E-3</v>
      </c>
      <c r="F24" s="89">
        <v>111.33</v>
      </c>
      <c r="G24" s="90">
        <v>110.449</v>
      </c>
      <c r="H24" s="74">
        <v>873</v>
      </c>
      <c r="I24" s="1">
        <v>0.62503472222222223</v>
      </c>
      <c r="J24" s="74">
        <f t="shared" si="4"/>
        <v>127003</v>
      </c>
      <c r="K24" s="87">
        <f t="shared" si="7"/>
        <v>110.60299999999999</v>
      </c>
      <c r="L24" s="81">
        <f t="shared" si="5"/>
        <v>-4.4999999999999997E-3</v>
      </c>
      <c r="M24" s="74">
        <f t="shared" si="6"/>
        <v>873</v>
      </c>
      <c r="N24" s="92">
        <v>110.60299999999999</v>
      </c>
      <c r="O24" s="92">
        <v>110.8</v>
      </c>
      <c r="P24" s="92">
        <v>111.09</v>
      </c>
      <c r="Q24" s="73" t="b">
        <f t="shared" si="8"/>
        <v>0</v>
      </c>
    </row>
    <row r="25" spans="1:17">
      <c r="A25" s="72" t="s">
        <v>290</v>
      </c>
      <c r="B25" s="72" t="s">
        <v>287</v>
      </c>
      <c r="C25" s="87">
        <v>91.98</v>
      </c>
      <c r="D25" s="111">
        <v>0</v>
      </c>
      <c r="E25" s="81">
        <v>6.4000000000000003E-3</v>
      </c>
      <c r="F25" s="160">
        <v>91.98</v>
      </c>
      <c r="G25" s="90">
        <v>91.39</v>
      </c>
      <c r="H25" s="74">
        <v>9</v>
      </c>
      <c r="I25" s="1">
        <v>0.62532407407407409</v>
      </c>
      <c r="J25" s="74">
        <f t="shared" si="4"/>
        <v>136276</v>
      </c>
      <c r="K25" s="87">
        <f t="shared" si="7"/>
        <v>91.98</v>
      </c>
      <c r="L25" s="81">
        <f t="shared" si="5"/>
        <v>0</v>
      </c>
      <c r="M25" s="74">
        <f t="shared" si="6"/>
        <v>9</v>
      </c>
      <c r="N25" s="92">
        <v>91.6</v>
      </c>
      <c r="O25" s="92">
        <v>91.94</v>
      </c>
      <c r="P25" s="92">
        <v>91.39</v>
      </c>
      <c r="Q25" s="73" t="b">
        <f t="shared" si="8"/>
        <v>0</v>
      </c>
    </row>
    <row r="26" spans="1:17">
      <c r="A26" s="72" t="s">
        <v>288</v>
      </c>
      <c r="B26" s="72" t="s">
        <v>285</v>
      </c>
      <c r="C26" s="87">
        <v>97.44</v>
      </c>
      <c r="D26" s="80">
        <v>-1E-4</v>
      </c>
      <c r="E26" s="81">
        <v>0</v>
      </c>
      <c r="F26" s="90">
        <v>97.44</v>
      </c>
      <c r="G26" s="90">
        <v>97.44</v>
      </c>
      <c r="H26" s="74">
        <v>34</v>
      </c>
      <c r="I26" s="1">
        <v>0.62532407407407409</v>
      </c>
      <c r="J26" s="74">
        <f t="shared" si="4"/>
        <v>143913</v>
      </c>
      <c r="K26" s="87">
        <f t="shared" si="7"/>
        <v>97.44</v>
      </c>
      <c r="L26" s="81">
        <f t="shared" si="5"/>
        <v>-1E-4</v>
      </c>
      <c r="M26" s="74">
        <f t="shared" si="6"/>
        <v>34</v>
      </c>
      <c r="N26" s="92">
        <v>97</v>
      </c>
      <c r="O26" s="92">
        <v>97.44</v>
      </c>
      <c r="P26" s="92">
        <v>97.44</v>
      </c>
      <c r="Q26" s="73" t="b">
        <f t="shared" si="8"/>
        <v>0</v>
      </c>
    </row>
    <row r="27" spans="1:17">
      <c r="A27" s="72" t="s">
        <v>125</v>
      </c>
      <c r="B27" s="72" t="s">
        <v>258</v>
      </c>
      <c r="C27" s="87">
        <v>2.2599999999999998</v>
      </c>
      <c r="D27" s="80">
        <v>-8.1299999999999997E-2</v>
      </c>
      <c r="E27" s="81">
        <v>0.61990000000000001</v>
      </c>
      <c r="F27" s="89">
        <v>2.5249999999999999</v>
      </c>
      <c r="G27" s="90">
        <v>1</v>
      </c>
      <c r="H27" s="74">
        <v>82643150</v>
      </c>
      <c r="I27" s="1">
        <v>0.64582175925925933</v>
      </c>
      <c r="J27" s="74">
        <f t="shared" si="4"/>
        <v>204001</v>
      </c>
      <c r="K27" s="87">
        <f t="shared" si="7"/>
        <v>2.2599999999999998</v>
      </c>
      <c r="L27" s="81">
        <f t="shared" si="5"/>
        <v>-8.1299999999999997E-2</v>
      </c>
      <c r="M27" s="74">
        <f t="shared" si="6"/>
        <v>82643150</v>
      </c>
      <c r="N27" s="92">
        <v>1.05</v>
      </c>
      <c r="O27" s="92">
        <v>1.1000000000000001</v>
      </c>
      <c r="P27" s="92">
        <v>2.2999999999999998</v>
      </c>
      <c r="Q27" s="73" t="b">
        <f t="shared" si="8"/>
        <v>0</v>
      </c>
    </row>
    <row r="28" spans="1:17">
      <c r="A28" s="72" t="s">
        <v>129</v>
      </c>
      <c r="B28" s="72" t="s">
        <v>1238</v>
      </c>
      <c r="C28" s="87">
        <v>16.350000000000001</v>
      </c>
      <c r="D28" s="79">
        <v>4.8099999999999997E-2</v>
      </c>
      <c r="E28" s="81">
        <v>7.4999999999999997E-2</v>
      </c>
      <c r="F28" s="89">
        <v>16.59</v>
      </c>
      <c r="G28" s="90">
        <v>15.42</v>
      </c>
      <c r="H28" s="74">
        <v>44426</v>
      </c>
      <c r="I28" s="1">
        <v>0.62532407407407409</v>
      </c>
      <c r="J28" s="74">
        <f t="shared" si="4"/>
        <v>600004</v>
      </c>
      <c r="K28" s="87">
        <f t="shared" si="7"/>
        <v>16.350000000000001</v>
      </c>
      <c r="L28" s="81">
        <f t="shared" si="5"/>
        <v>4.8099999999999997E-2</v>
      </c>
      <c r="M28" s="74">
        <f t="shared" si="6"/>
        <v>44426</v>
      </c>
      <c r="N28" s="92">
        <v>16.34</v>
      </c>
      <c r="O28" s="92">
        <v>16.350000000000001</v>
      </c>
      <c r="P28" s="92">
        <v>15.45</v>
      </c>
      <c r="Q28" s="73" t="b">
        <f t="shared" si="8"/>
        <v>0</v>
      </c>
    </row>
    <row r="29" spans="1:17">
      <c r="A29" s="72" t="s">
        <v>171</v>
      </c>
      <c r="B29" s="72" t="s">
        <v>261</v>
      </c>
      <c r="C29" s="87">
        <v>72.39</v>
      </c>
      <c r="D29" s="79">
        <v>5.6800000000000003E-2</v>
      </c>
      <c r="E29" s="81">
        <v>5.7500000000000002E-2</v>
      </c>
      <c r="F29" s="89">
        <v>72.400000000000006</v>
      </c>
      <c r="G29" s="90">
        <v>68.459999999999994</v>
      </c>
      <c r="H29" s="74">
        <v>134337</v>
      </c>
      <c r="I29" s="1">
        <v>0.62532407407407409</v>
      </c>
      <c r="J29" s="74">
        <f t="shared" si="4"/>
        <v>600009</v>
      </c>
      <c r="K29" s="87">
        <f t="shared" si="7"/>
        <v>72.39</v>
      </c>
      <c r="L29" s="81">
        <f t="shared" si="5"/>
        <v>5.6800000000000003E-2</v>
      </c>
      <c r="M29" s="74">
        <f t="shared" si="6"/>
        <v>134337</v>
      </c>
      <c r="N29" s="92">
        <v>72.38</v>
      </c>
      <c r="O29" s="92">
        <v>72.39</v>
      </c>
      <c r="P29" s="92">
        <v>68.78</v>
      </c>
      <c r="Q29" s="73" t="b">
        <f t="shared" si="8"/>
        <v>0</v>
      </c>
    </row>
    <row r="30" spans="1:17">
      <c r="A30" s="72" t="s">
        <v>144</v>
      </c>
      <c r="B30" s="72" t="s">
        <v>1288</v>
      </c>
      <c r="C30" s="87">
        <v>6.37</v>
      </c>
      <c r="D30" s="80">
        <v>-3.0999999999999999E-3</v>
      </c>
      <c r="E30" s="81">
        <v>9.4000000000000004E-3</v>
      </c>
      <c r="F30" s="90">
        <v>6.38</v>
      </c>
      <c r="G30" s="90">
        <v>6.32</v>
      </c>
      <c r="H30" s="74">
        <v>11062</v>
      </c>
      <c r="I30" s="1">
        <v>0.62532407407407409</v>
      </c>
      <c r="J30" s="74">
        <f t="shared" si="4"/>
        <v>600015</v>
      </c>
      <c r="K30" s="87">
        <f t="shared" si="7"/>
        <v>6.37</v>
      </c>
      <c r="L30" s="81">
        <f t="shared" si="5"/>
        <v>-3.0999999999999999E-3</v>
      </c>
      <c r="M30" s="74">
        <f t="shared" si="6"/>
        <v>11062</v>
      </c>
      <c r="N30" s="92">
        <v>6.36</v>
      </c>
      <c r="O30" s="92">
        <v>6.37</v>
      </c>
      <c r="P30" s="92">
        <v>6.37</v>
      </c>
      <c r="Q30" s="73" t="b">
        <f t="shared" si="8"/>
        <v>0</v>
      </c>
    </row>
    <row r="31" spans="1:17">
      <c r="A31" s="72" t="s">
        <v>75</v>
      </c>
      <c r="B31" s="72" t="s">
        <v>259</v>
      </c>
      <c r="C31" s="87">
        <v>5.69</v>
      </c>
      <c r="D31" s="80">
        <v>-1.2200000000000001E-2</v>
      </c>
      <c r="E31" s="81">
        <v>1.2200000000000001E-2</v>
      </c>
      <c r="F31" s="160">
        <v>5.76</v>
      </c>
      <c r="G31" s="90">
        <v>5.69</v>
      </c>
      <c r="H31" s="74">
        <v>27823</v>
      </c>
      <c r="I31" s="1">
        <v>0.62501157407407404</v>
      </c>
      <c r="J31" s="74">
        <f t="shared" si="4"/>
        <v>600016</v>
      </c>
      <c r="K31" s="87">
        <f t="shared" si="7"/>
        <v>5.69</v>
      </c>
      <c r="L31" s="81">
        <f t="shared" si="5"/>
        <v>-1.2200000000000001E-2</v>
      </c>
      <c r="M31" s="74">
        <f t="shared" si="6"/>
        <v>27823</v>
      </c>
      <c r="N31" s="92">
        <v>5.69</v>
      </c>
      <c r="O31" s="92">
        <v>5.71</v>
      </c>
      <c r="P31" s="92">
        <v>5.74</v>
      </c>
      <c r="Q31" s="73" t="b">
        <f t="shared" si="8"/>
        <v>0</v>
      </c>
    </row>
    <row r="32" spans="1:17">
      <c r="A32" s="72" t="s">
        <v>114</v>
      </c>
      <c r="B32" s="72" t="s">
        <v>1319</v>
      </c>
      <c r="C32" s="87">
        <v>4.8899999999999997</v>
      </c>
      <c r="D32" s="111">
        <v>0</v>
      </c>
      <c r="E32" s="81">
        <v>1.43E-2</v>
      </c>
      <c r="F32" s="89">
        <v>4.9000000000000004</v>
      </c>
      <c r="G32" s="90">
        <v>4.83</v>
      </c>
      <c r="H32" s="74">
        <v>26691</v>
      </c>
      <c r="I32" s="1">
        <v>0.625</v>
      </c>
      <c r="J32" s="74">
        <f t="shared" si="4"/>
        <v>600019</v>
      </c>
      <c r="K32" s="87">
        <f t="shared" si="7"/>
        <v>4.8899999999999997</v>
      </c>
      <c r="L32" s="81">
        <f t="shared" si="5"/>
        <v>0</v>
      </c>
      <c r="M32" s="74">
        <f t="shared" si="6"/>
        <v>26691</v>
      </c>
      <c r="N32" s="92">
        <v>4.88</v>
      </c>
      <c r="O32" s="92">
        <v>4.8899999999999997</v>
      </c>
      <c r="P32" s="92">
        <v>4.9000000000000004</v>
      </c>
      <c r="Q32" s="73" t="b">
        <f t="shared" si="8"/>
        <v>0</v>
      </c>
    </row>
    <row r="33" spans="1:17">
      <c r="A33" s="72" t="s">
        <v>41</v>
      </c>
      <c r="B33" s="72" t="s">
        <v>1320</v>
      </c>
      <c r="C33" s="87">
        <v>4.1399999999999997</v>
      </c>
      <c r="D33" s="80">
        <v>-1.1900000000000001E-2</v>
      </c>
      <c r="E33" s="81">
        <v>1.1900000000000001E-2</v>
      </c>
      <c r="F33" s="160">
        <v>4.1900000000000004</v>
      </c>
      <c r="G33" s="90">
        <v>4.1399999999999997</v>
      </c>
      <c r="H33" s="74">
        <v>33760</v>
      </c>
      <c r="I33" s="1">
        <v>0.625</v>
      </c>
      <c r="J33" s="74">
        <f t="shared" si="4"/>
        <v>600028</v>
      </c>
      <c r="K33" s="87">
        <f t="shared" si="7"/>
        <v>4.1399999999999997</v>
      </c>
      <c r="L33" s="81">
        <f t="shared" si="5"/>
        <v>-1.1900000000000001E-2</v>
      </c>
      <c r="M33" s="74">
        <f t="shared" si="6"/>
        <v>33760</v>
      </c>
      <c r="N33" s="92">
        <v>4.1399999999999997</v>
      </c>
      <c r="O33" s="92">
        <v>4.1500000000000004</v>
      </c>
      <c r="P33" s="92">
        <v>4.18</v>
      </c>
      <c r="Q33" s="73" t="b">
        <f t="shared" si="8"/>
        <v>0</v>
      </c>
    </row>
    <row r="34" spans="1:17">
      <c r="A34" s="72" t="s">
        <v>143</v>
      </c>
      <c r="B34" s="72" t="s">
        <v>237</v>
      </c>
      <c r="C34" s="87">
        <v>33.82</v>
      </c>
      <c r="D34" s="80">
        <v>-1.17E-2</v>
      </c>
      <c r="E34" s="81">
        <v>1.26E-2</v>
      </c>
      <c r="F34" s="90">
        <v>34.130000000000003</v>
      </c>
      <c r="G34" s="90">
        <v>33.700000000000003</v>
      </c>
      <c r="H34" s="74">
        <v>126090</v>
      </c>
      <c r="I34" s="1">
        <v>0.625</v>
      </c>
      <c r="J34" s="74">
        <f t="shared" si="4"/>
        <v>600036</v>
      </c>
      <c r="K34" s="87">
        <f t="shared" si="7"/>
        <v>33.82</v>
      </c>
      <c r="L34" s="81">
        <f t="shared" si="5"/>
        <v>-1.17E-2</v>
      </c>
      <c r="M34" s="74">
        <f t="shared" si="6"/>
        <v>126090</v>
      </c>
      <c r="N34" s="92">
        <v>33.82</v>
      </c>
      <c r="O34" s="92">
        <v>33.85</v>
      </c>
      <c r="P34" s="92">
        <v>33.86</v>
      </c>
      <c r="Q34" s="73" t="b">
        <f t="shared" si="8"/>
        <v>0</v>
      </c>
    </row>
    <row r="35" spans="1:17">
      <c r="A35" s="72" t="s">
        <v>93</v>
      </c>
      <c r="B35" s="72" t="s">
        <v>1449</v>
      </c>
      <c r="C35" s="87">
        <v>14.36</v>
      </c>
      <c r="D35" s="80">
        <v>-2.1100000000000001E-2</v>
      </c>
      <c r="E35" s="81">
        <v>3.27E-2</v>
      </c>
      <c r="F35" s="89">
        <v>14.77</v>
      </c>
      <c r="G35" s="90">
        <v>14.29</v>
      </c>
      <c r="H35" s="74">
        <v>85915</v>
      </c>
      <c r="I35" s="1">
        <v>0.625</v>
      </c>
      <c r="J35" s="74">
        <f t="shared" si="4"/>
        <v>600048</v>
      </c>
      <c r="K35" s="87">
        <f t="shared" si="7"/>
        <v>14.36</v>
      </c>
      <c r="L35" s="81">
        <f t="shared" si="5"/>
        <v>-2.1100000000000001E-2</v>
      </c>
      <c r="M35" s="74">
        <f t="shared" si="6"/>
        <v>85915</v>
      </c>
      <c r="N35" s="92">
        <v>14.36</v>
      </c>
      <c r="O35" s="92">
        <v>14.38</v>
      </c>
      <c r="P35" s="92">
        <v>14.75</v>
      </c>
      <c r="Q35" s="73" t="b">
        <f t="shared" si="8"/>
        <v>0</v>
      </c>
    </row>
    <row r="36" spans="1:17">
      <c r="A36" s="72" t="s">
        <v>43</v>
      </c>
      <c r="B36" s="72" t="s">
        <v>1268</v>
      </c>
      <c r="C36" s="87">
        <v>17.920000000000002</v>
      </c>
      <c r="D36" s="80">
        <v>-1.43E-2</v>
      </c>
      <c r="E36" s="81">
        <v>1.6500000000000001E-2</v>
      </c>
      <c r="F36" s="90">
        <v>18.170000000000002</v>
      </c>
      <c r="G36" s="90">
        <v>17.87</v>
      </c>
      <c r="H36" s="74">
        <v>50537</v>
      </c>
      <c r="I36" s="1">
        <v>0.625</v>
      </c>
      <c r="J36" s="74">
        <f t="shared" ref="J36:J67" si="9">RIGHT(A36,6)+0</f>
        <v>600104</v>
      </c>
      <c r="K36" s="87">
        <f t="shared" si="7"/>
        <v>17.920000000000002</v>
      </c>
      <c r="L36" s="81">
        <f t="shared" ref="L36:L67" si="10">D36</f>
        <v>-1.43E-2</v>
      </c>
      <c r="M36" s="74">
        <f t="shared" ref="M36:M67" si="11">H36</f>
        <v>50537</v>
      </c>
      <c r="N36" s="92">
        <v>17.920000000000002</v>
      </c>
      <c r="O36" s="92">
        <v>17.93</v>
      </c>
      <c r="P36" s="92">
        <v>18.11</v>
      </c>
      <c r="Q36" s="73" t="b">
        <f t="shared" si="8"/>
        <v>0</v>
      </c>
    </row>
    <row r="37" spans="1:17">
      <c r="A37" s="72" t="s">
        <v>172</v>
      </c>
      <c r="B37" s="72" t="s">
        <v>1239</v>
      </c>
      <c r="C37" s="87">
        <v>8.83</v>
      </c>
      <c r="D37" s="79">
        <v>1.15E-2</v>
      </c>
      <c r="E37" s="81">
        <v>2.52E-2</v>
      </c>
      <c r="F37" s="89">
        <v>8.8699999999999992</v>
      </c>
      <c r="G37" s="90">
        <v>8.65</v>
      </c>
      <c r="H37" s="74">
        <v>16486</v>
      </c>
      <c r="I37" s="1">
        <v>0.625</v>
      </c>
      <c r="J37" s="74">
        <f t="shared" si="9"/>
        <v>600176</v>
      </c>
      <c r="K37" s="87">
        <f t="shared" ref="K37:K68" si="12">C37+0</f>
        <v>8.83</v>
      </c>
      <c r="L37" s="81">
        <f t="shared" si="10"/>
        <v>1.15E-2</v>
      </c>
      <c r="M37" s="74">
        <f t="shared" si="11"/>
        <v>16486</v>
      </c>
      <c r="N37" s="92">
        <v>8.81</v>
      </c>
      <c r="O37" s="92">
        <v>8.83</v>
      </c>
      <c r="P37" s="92">
        <v>8.73</v>
      </c>
      <c r="Q37" s="73" t="b">
        <f t="shared" si="8"/>
        <v>0</v>
      </c>
    </row>
    <row r="38" spans="1:17">
      <c r="A38" s="72" t="s">
        <v>173</v>
      </c>
      <c r="B38" s="72" t="s">
        <v>1321</v>
      </c>
      <c r="C38" s="87">
        <v>78.7</v>
      </c>
      <c r="D38" s="79">
        <v>2.5000000000000001E-3</v>
      </c>
      <c r="E38" s="81">
        <v>1.9699999999999999E-2</v>
      </c>
      <c r="F38" s="89">
        <v>79.349999999999994</v>
      </c>
      <c r="G38" s="90">
        <v>77.8</v>
      </c>
      <c r="H38" s="74">
        <v>136491</v>
      </c>
      <c r="I38" s="1">
        <v>0.62501157407407404</v>
      </c>
      <c r="J38" s="74">
        <f t="shared" si="9"/>
        <v>600276</v>
      </c>
      <c r="K38" s="87">
        <f t="shared" si="12"/>
        <v>78.7</v>
      </c>
      <c r="L38" s="81">
        <f t="shared" si="10"/>
        <v>2.5000000000000001E-3</v>
      </c>
      <c r="M38" s="74">
        <f t="shared" si="11"/>
        <v>136491</v>
      </c>
      <c r="N38" s="92">
        <v>78.7</v>
      </c>
      <c r="O38" s="92">
        <v>78.709999999999994</v>
      </c>
      <c r="P38" s="92">
        <v>78.099999999999994</v>
      </c>
      <c r="Q38" s="73" t="b">
        <f t="shared" si="8"/>
        <v>0</v>
      </c>
    </row>
    <row r="39" spans="1:17">
      <c r="A39" s="72" t="s">
        <v>126</v>
      </c>
      <c r="B39" s="72" t="s">
        <v>1289</v>
      </c>
      <c r="C39" s="87">
        <v>42.28</v>
      </c>
      <c r="D39" s="79">
        <v>2.6700000000000002E-2</v>
      </c>
      <c r="E39" s="81">
        <v>2.9600000000000001E-2</v>
      </c>
      <c r="F39" s="89">
        <v>42.33</v>
      </c>
      <c r="G39" s="90">
        <v>41.11</v>
      </c>
      <c r="H39" s="74">
        <v>35377</v>
      </c>
      <c r="I39" s="1">
        <v>0.62501157407407404</v>
      </c>
      <c r="J39" s="74">
        <f t="shared" si="9"/>
        <v>600298</v>
      </c>
      <c r="K39" s="87">
        <f t="shared" si="12"/>
        <v>42.28</v>
      </c>
      <c r="L39" s="81">
        <f t="shared" si="10"/>
        <v>2.6700000000000002E-2</v>
      </c>
      <c r="M39" s="74">
        <f t="shared" si="11"/>
        <v>35377</v>
      </c>
      <c r="N39" s="92">
        <v>42.18</v>
      </c>
      <c r="O39" s="92">
        <v>42.28</v>
      </c>
      <c r="P39" s="92">
        <v>41.29</v>
      </c>
      <c r="Q39" s="73" t="b">
        <f t="shared" si="8"/>
        <v>0</v>
      </c>
    </row>
    <row r="40" spans="1:17">
      <c r="A40" s="72" t="s">
        <v>81</v>
      </c>
      <c r="B40" s="72" t="s">
        <v>1322</v>
      </c>
      <c r="C40" s="87">
        <v>46.48</v>
      </c>
      <c r="D40" s="79">
        <v>3.1699999999999999E-2</v>
      </c>
      <c r="E40" s="81">
        <v>3.8399999999999997E-2</v>
      </c>
      <c r="F40" s="89">
        <v>47.61</v>
      </c>
      <c r="G40" s="89">
        <v>45.88</v>
      </c>
      <c r="H40" s="74">
        <v>113368</v>
      </c>
      <c r="I40" s="1">
        <v>0.625</v>
      </c>
      <c r="J40" s="74">
        <f t="shared" si="9"/>
        <v>600309</v>
      </c>
      <c r="K40" s="87">
        <f t="shared" si="12"/>
        <v>46.48</v>
      </c>
      <c r="L40" s="81">
        <f t="shared" si="10"/>
        <v>3.1699999999999999E-2</v>
      </c>
      <c r="M40" s="74">
        <f t="shared" si="11"/>
        <v>113368</v>
      </c>
      <c r="N40" s="92">
        <v>46.47</v>
      </c>
      <c r="O40" s="92">
        <v>46.48</v>
      </c>
      <c r="P40" s="92">
        <v>45.9</v>
      </c>
      <c r="Q40" s="73" t="b">
        <f t="shared" si="8"/>
        <v>0</v>
      </c>
    </row>
    <row r="41" spans="1:17">
      <c r="A41" s="72" t="s">
        <v>82</v>
      </c>
      <c r="B41" s="72" t="s">
        <v>1323</v>
      </c>
      <c r="C41" s="87">
        <v>6.6</v>
      </c>
      <c r="D41" s="79">
        <v>4.5999999999999999E-3</v>
      </c>
      <c r="E41" s="81">
        <v>1.67E-2</v>
      </c>
      <c r="F41" s="89">
        <v>6.62</v>
      </c>
      <c r="G41" s="90">
        <v>6.51</v>
      </c>
      <c r="H41" s="74">
        <v>7812</v>
      </c>
      <c r="I41" s="1">
        <v>0.625</v>
      </c>
      <c r="J41" s="74">
        <f t="shared" si="9"/>
        <v>600325</v>
      </c>
      <c r="K41" s="87">
        <f t="shared" si="12"/>
        <v>6.6</v>
      </c>
      <c r="L41" s="81">
        <f t="shared" si="10"/>
        <v>4.5999999999999999E-3</v>
      </c>
      <c r="M41" s="74">
        <f t="shared" si="11"/>
        <v>7812</v>
      </c>
      <c r="N41" s="92">
        <v>6.59</v>
      </c>
      <c r="O41" s="92">
        <v>6.6</v>
      </c>
      <c r="P41" s="92">
        <v>6.58</v>
      </c>
      <c r="Q41" s="73" t="b">
        <f t="shared" si="8"/>
        <v>0</v>
      </c>
    </row>
    <row r="42" spans="1:17">
      <c r="A42" s="72" t="s">
        <v>37</v>
      </c>
      <c r="B42" s="72" t="s">
        <v>1269</v>
      </c>
      <c r="C42" s="87">
        <v>21.66</v>
      </c>
      <c r="D42" s="80">
        <v>-1.46E-2</v>
      </c>
      <c r="E42" s="81">
        <v>1.6400000000000001E-2</v>
      </c>
      <c r="F42" s="89">
        <v>22</v>
      </c>
      <c r="G42" s="90">
        <v>21.64</v>
      </c>
      <c r="H42" s="74">
        <v>25684</v>
      </c>
      <c r="I42" s="1">
        <v>0.625</v>
      </c>
      <c r="J42" s="74">
        <f t="shared" si="9"/>
        <v>600340</v>
      </c>
      <c r="K42" s="87">
        <f t="shared" si="12"/>
        <v>21.66</v>
      </c>
      <c r="L42" s="81">
        <f t="shared" si="10"/>
        <v>-1.46E-2</v>
      </c>
      <c r="M42" s="74">
        <f t="shared" si="11"/>
        <v>25684</v>
      </c>
      <c r="N42" s="92">
        <v>21.66</v>
      </c>
      <c r="O42" s="92">
        <v>21.7</v>
      </c>
      <c r="P42" s="92">
        <v>22</v>
      </c>
      <c r="Q42" s="73" t="b">
        <f t="shared" si="8"/>
        <v>0</v>
      </c>
    </row>
    <row r="43" spans="1:17">
      <c r="A43" s="72" t="s">
        <v>150</v>
      </c>
      <c r="B43" s="72" t="s">
        <v>1240</v>
      </c>
      <c r="C43" s="87">
        <v>12.75</v>
      </c>
      <c r="D43" s="80">
        <v>-1.01E-2</v>
      </c>
      <c r="E43" s="81">
        <v>2.3300000000000001E-2</v>
      </c>
      <c r="F43" s="89">
        <v>12.99</v>
      </c>
      <c r="G43" s="90">
        <v>12.69</v>
      </c>
      <c r="H43" s="74">
        <v>17895</v>
      </c>
      <c r="I43" s="1">
        <v>0.625</v>
      </c>
      <c r="J43" s="74">
        <f t="shared" si="9"/>
        <v>600383</v>
      </c>
      <c r="K43" s="87">
        <f t="shared" si="12"/>
        <v>12.75</v>
      </c>
      <c r="L43" s="81">
        <f t="shared" si="10"/>
        <v>-1.01E-2</v>
      </c>
      <c r="M43" s="74">
        <f t="shared" si="11"/>
        <v>17895</v>
      </c>
      <c r="N43" s="92">
        <v>12.75</v>
      </c>
      <c r="O43" s="92">
        <v>12.76</v>
      </c>
      <c r="P43" s="92">
        <v>12.87</v>
      </c>
      <c r="Q43" s="73" t="b">
        <f t="shared" si="8"/>
        <v>0</v>
      </c>
    </row>
    <row r="44" spans="1:17">
      <c r="A44" s="72" t="s">
        <v>181</v>
      </c>
      <c r="B44" s="97" t="s">
        <v>1324</v>
      </c>
      <c r="C44" s="87">
        <v>6.09</v>
      </c>
      <c r="D44" s="79">
        <v>3.3E-3</v>
      </c>
      <c r="E44" s="81">
        <v>1.15E-2</v>
      </c>
      <c r="F44" s="89">
        <v>6.1</v>
      </c>
      <c r="G44" s="90">
        <v>6.03</v>
      </c>
      <c r="H44" s="74">
        <v>4186</v>
      </c>
      <c r="I44" s="1">
        <v>0.62532407407407409</v>
      </c>
      <c r="J44" s="74">
        <f t="shared" si="9"/>
        <v>600398</v>
      </c>
      <c r="K44" s="87">
        <f t="shared" si="12"/>
        <v>6.09</v>
      </c>
      <c r="L44" s="81">
        <f t="shared" si="10"/>
        <v>3.3E-3</v>
      </c>
      <c r="M44" s="74">
        <f t="shared" si="11"/>
        <v>4186</v>
      </c>
      <c r="N44" s="92">
        <v>6.08</v>
      </c>
      <c r="O44" s="92">
        <v>6.09</v>
      </c>
      <c r="P44" s="92">
        <v>6.05</v>
      </c>
      <c r="Q44" s="73" t="b">
        <f t="shared" si="8"/>
        <v>0</v>
      </c>
    </row>
    <row r="45" spans="1:17">
      <c r="A45" s="72" t="s">
        <v>137</v>
      </c>
      <c r="B45" s="72" t="s">
        <v>1290</v>
      </c>
      <c r="C45" s="87">
        <v>18.510000000000002</v>
      </c>
      <c r="D45" s="80">
        <v>-1.0200000000000001E-2</v>
      </c>
      <c r="E45" s="81">
        <v>1.55E-2</v>
      </c>
      <c r="F45" s="89">
        <v>18.77</v>
      </c>
      <c r="G45" s="90">
        <v>18.48</v>
      </c>
      <c r="H45" s="74">
        <v>24929</v>
      </c>
      <c r="I45" s="1">
        <v>0.625</v>
      </c>
      <c r="J45" s="74">
        <f t="shared" si="9"/>
        <v>600406</v>
      </c>
      <c r="K45" s="87">
        <f t="shared" si="12"/>
        <v>18.510000000000002</v>
      </c>
      <c r="L45" s="81">
        <f t="shared" si="10"/>
        <v>-1.0200000000000001E-2</v>
      </c>
      <c r="M45" s="74">
        <f t="shared" si="11"/>
        <v>24929</v>
      </c>
      <c r="N45" s="92">
        <v>18.510000000000002</v>
      </c>
      <c r="O45" s="92">
        <v>18.53</v>
      </c>
      <c r="P45" s="92">
        <v>18.670000000000002</v>
      </c>
      <c r="Q45" s="73" t="b">
        <f t="shared" si="8"/>
        <v>0</v>
      </c>
    </row>
    <row r="46" spans="1:17">
      <c r="A46" s="72" t="s">
        <v>174</v>
      </c>
      <c r="B46" s="72" t="s">
        <v>1325</v>
      </c>
      <c r="C46" s="87">
        <v>16.420000000000002</v>
      </c>
      <c r="D46" s="79">
        <v>8.6E-3</v>
      </c>
      <c r="E46" s="81">
        <v>1.9E-2</v>
      </c>
      <c r="F46" s="89">
        <v>16.440000000000001</v>
      </c>
      <c r="G46" s="90">
        <v>16.13</v>
      </c>
      <c r="H46" s="74">
        <v>32757</v>
      </c>
      <c r="I46" s="1">
        <v>0.625</v>
      </c>
      <c r="J46" s="74">
        <f t="shared" si="9"/>
        <v>600487</v>
      </c>
      <c r="K46" s="87">
        <f t="shared" si="12"/>
        <v>16.420000000000002</v>
      </c>
      <c r="L46" s="81">
        <f t="shared" si="10"/>
        <v>8.6E-3</v>
      </c>
      <c r="M46" s="74">
        <f t="shared" si="11"/>
        <v>32757</v>
      </c>
      <c r="N46" s="92">
        <v>16.41</v>
      </c>
      <c r="O46" s="92">
        <v>16.420000000000002</v>
      </c>
      <c r="P46" s="92">
        <v>16.2</v>
      </c>
      <c r="Q46" s="73" t="b">
        <f t="shared" si="8"/>
        <v>0</v>
      </c>
    </row>
    <row r="47" spans="1:17">
      <c r="A47" s="72" t="s">
        <v>175</v>
      </c>
      <c r="B47" s="72" t="s">
        <v>1241</v>
      </c>
      <c r="C47" s="87">
        <v>5.0999999999999996</v>
      </c>
      <c r="D47" s="80">
        <v>-1.7299999999999999E-2</v>
      </c>
      <c r="E47" s="81">
        <v>2.3099999999999999E-2</v>
      </c>
      <c r="F47" s="89">
        <v>5.2</v>
      </c>
      <c r="G47" s="90">
        <v>5.08</v>
      </c>
      <c r="H47" s="74">
        <v>5756</v>
      </c>
      <c r="I47" s="1">
        <v>0.625</v>
      </c>
      <c r="J47" s="74">
        <f t="shared" si="9"/>
        <v>600507</v>
      </c>
      <c r="K47" s="87">
        <f t="shared" si="12"/>
        <v>5.0999999999999996</v>
      </c>
      <c r="L47" s="81">
        <f t="shared" si="10"/>
        <v>-1.7299999999999999E-2</v>
      </c>
      <c r="M47" s="74">
        <f t="shared" si="11"/>
        <v>5756</v>
      </c>
      <c r="N47" s="92">
        <v>5.0999999999999996</v>
      </c>
      <c r="O47" s="92">
        <v>5.1100000000000003</v>
      </c>
      <c r="P47" s="92">
        <v>5.2</v>
      </c>
      <c r="Q47" s="73" t="b">
        <f t="shared" si="8"/>
        <v>0</v>
      </c>
    </row>
    <row r="48" spans="1:17">
      <c r="A48" s="72" t="s">
        <v>115</v>
      </c>
      <c r="B48" s="72" t="s">
        <v>260</v>
      </c>
      <c r="C48" s="87">
        <v>1366.6</v>
      </c>
      <c r="D48" s="79">
        <v>1.6799999999999999E-2</v>
      </c>
      <c r="E48" s="81">
        <v>2.8199999999999999E-2</v>
      </c>
      <c r="F48" s="89">
        <v>1369.98</v>
      </c>
      <c r="G48" s="90">
        <v>1332.1</v>
      </c>
      <c r="H48" s="74">
        <v>414424</v>
      </c>
      <c r="I48" s="1">
        <v>0.625</v>
      </c>
      <c r="J48" s="74">
        <f t="shared" si="9"/>
        <v>600519</v>
      </c>
      <c r="K48" s="87">
        <f t="shared" si="12"/>
        <v>1366.6</v>
      </c>
      <c r="L48" s="81">
        <f t="shared" si="10"/>
        <v>1.6799999999999999E-2</v>
      </c>
      <c r="M48" s="74">
        <f t="shared" si="11"/>
        <v>414424</v>
      </c>
      <c r="N48" s="92">
        <v>1366.6</v>
      </c>
      <c r="O48" s="92">
        <v>1366.66</v>
      </c>
      <c r="P48" s="92">
        <v>1332.1</v>
      </c>
      <c r="Q48" s="73" t="b">
        <f t="shared" si="8"/>
        <v>0</v>
      </c>
    </row>
    <row r="49" spans="1:17">
      <c r="A49" s="72" t="s">
        <v>61</v>
      </c>
      <c r="B49" s="72" t="s">
        <v>1102</v>
      </c>
      <c r="C49" s="87">
        <v>21.96</v>
      </c>
      <c r="D49" s="80">
        <v>-1.44E-2</v>
      </c>
      <c r="E49" s="81">
        <v>1.7100000000000001E-2</v>
      </c>
      <c r="F49" s="160">
        <v>22.28</v>
      </c>
      <c r="G49" s="90">
        <v>21.9</v>
      </c>
      <c r="H49" s="74">
        <v>14012</v>
      </c>
      <c r="I49" s="1">
        <v>0.625</v>
      </c>
      <c r="J49" s="74">
        <f t="shared" si="9"/>
        <v>600566</v>
      </c>
      <c r="K49" s="87">
        <f t="shared" si="12"/>
        <v>21.96</v>
      </c>
      <c r="L49" s="81">
        <f t="shared" si="10"/>
        <v>-1.44E-2</v>
      </c>
      <c r="M49" s="74">
        <f t="shared" si="11"/>
        <v>14012</v>
      </c>
      <c r="N49" s="92">
        <v>21.95</v>
      </c>
      <c r="O49" s="92">
        <v>21.96</v>
      </c>
      <c r="P49" s="92">
        <v>22.22</v>
      </c>
      <c r="Q49" s="73" t="e">
        <f>A49=#REF!</f>
        <v>#REF!</v>
      </c>
    </row>
    <row r="50" spans="1:17">
      <c r="A50" s="72" t="s">
        <v>278</v>
      </c>
      <c r="B50" s="72" t="s">
        <v>234</v>
      </c>
      <c r="C50" s="87">
        <v>56.8</v>
      </c>
      <c r="D50" s="80">
        <v>-1.2500000000000001E-2</v>
      </c>
      <c r="E50" s="81">
        <v>1.9300000000000001E-2</v>
      </c>
      <c r="F50" s="90">
        <v>57.37</v>
      </c>
      <c r="G50" s="90">
        <v>56.26</v>
      </c>
      <c r="H50" s="74">
        <v>133822</v>
      </c>
      <c r="I50" s="1">
        <v>0.625</v>
      </c>
      <c r="J50" s="74">
        <f t="shared" si="9"/>
        <v>600585</v>
      </c>
      <c r="K50" s="87">
        <f t="shared" si="12"/>
        <v>56.8</v>
      </c>
      <c r="L50" s="81">
        <f t="shared" si="10"/>
        <v>-1.2500000000000001E-2</v>
      </c>
      <c r="M50" s="74">
        <f t="shared" si="11"/>
        <v>133822</v>
      </c>
      <c r="N50" s="92">
        <v>56.8</v>
      </c>
      <c r="O50" s="92">
        <v>56.81</v>
      </c>
      <c r="P50" s="92">
        <v>56.96</v>
      </c>
      <c r="Q50" s="73" t="b">
        <f t="shared" si="8"/>
        <v>0</v>
      </c>
    </row>
    <row r="51" spans="1:17">
      <c r="A51" s="72" t="s">
        <v>88</v>
      </c>
      <c r="B51" s="72" t="s">
        <v>1326</v>
      </c>
      <c r="C51" s="87">
        <v>19.899999999999999</v>
      </c>
      <c r="D51" s="80">
        <v>-3.0000000000000001E-3</v>
      </c>
      <c r="E51" s="81">
        <v>4.0099999999999997E-2</v>
      </c>
      <c r="F51" s="89">
        <v>20.440000000000001</v>
      </c>
      <c r="G51" s="90">
        <v>19.64</v>
      </c>
      <c r="H51" s="74">
        <v>18587</v>
      </c>
      <c r="I51" s="1">
        <v>0.625</v>
      </c>
      <c r="J51" s="74">
        <f t="shared" si="9"/>
        <v>600641</v>
      </c>
      <c r="K51" s="87">
        <f t="shared" si="12"/>
        <v>19.899999999999999</v>
      </c>
      <c r="L51" s="81">
        <f t="shared" si="10"/>
        <v>-3.0000000000000001E-3</v>
      </c>
      <c r="M51" s="74">
        <f t="shared" si="11"/>
        <v>18587</v>
      </c>
      <c r="N51" s="92">
        <v>19.899999999999999</v>
      </c>
      <c r="O51" s="92">
        <v>19.91</v>
      </c>
      <c r="P51" s="92">
        <v>19.75</v>
      </c>
      <c r="Q51" s="73" t="b">
        <f t="shared" si="8"/>
        <v>0</v>
      </c>
    </row>
    <row r="52" spans="1:17">
      <c r="A52" s="72" t="s">
        <v>71</v>
      </c>
      <c r="B52" s="72" t="s">
        <v>1242</v>
      </c>
      <c r="C52" s="87">
        <v>19.64</v>
      </c>
      <c r="D52" s="79">
        <v>2E-3</v>
      </c>
      <c r="E52" s="81">
        <v>1.2200000000000001E-2</v>
      </c>
      <c r="F52" s="89">
        <v>19.690000000000001</v>
      </c>
      <c r="G52" s="90">
        <v>19.45</v>
      </c>
      <c r="H52" s="74">
        <v>13675</v>
      </c>
      <c r="I52" s="1">
        <v>0.625</v>
      </c>
      <c r="J52" s="74">
        <f t="shared" si="9"/>
        <v>600660</v>
      </c>
      <c r="K52" s="87">
        <f t="shared" si="12"/>
        <v>19.64</v>
      </c>
      <c r="L52" s="81">
        <f t="shared" si="10"/>
        <v>2E-3</v>
      </c>
      <c r="M52" s="74">
        <f t="shared" si="11"/>
        <v>13675</v>
      </c>
      <c r="N52" s="92">
        <v>19.600000000000001</v>
      </c>
      <c r="O52" s="92">
        <v>19.64</v>
      </c>
      <c r="P52" s="92">
        <v>19.45</v>
      </c>
      <c r="Q52" s="73" t="b">
        <f t="shared" si="8"/>
        <v>0</v>
      </c>
    </row>
    <row r="53" spans="1:17">
      <c r="A53" s="72" t="s">
        <v>121</v>
      </c>
      <c r="B53" s="72" t="s">
        <v>1243</v>
      </c>
      <c r="C53" s="87">
        <v>16.55</v>
      </c>
      <c r="D53" s="79">
        <v>4.02E-2</v>
      </c>
      <c r="E53" s="81">
        <v>4.5900000000000003E-2</v>
      </c>
      <c r="F53" s="89">
        <v>16.55</v>
      </c>
      <c r="G53" s="90">
        <v>15.82</v>
      </c>
      <c r="H53" s="74">
        <v>105492</v>
      </c>
      <c r="I53" s="1">
        <v>0.625</v>
      </c>
      <c r="J53" s="74">
        <f t="shared" si="9"/>
        <v>600690</v>
      </c>
      <c r="K53" s="87">
        <f t="shared" si="12"/>
        <v>16.55</v>
      </c>
      <c r="L53" s="81">
        <f t="shared" si="10"/>
        <v>4.02E-2</v>
      </c>
      <c r="M53" s="74">
        <f t="shared" si="11"/>
        <v>105492</v>
      </c>
      <c r="N53" s="92">
        <v>16.53</v>
      </c>
      <c r="O53" s="92">
        <v>16.55</v>
      </c>
      <c r="P53" s="92">
        <v>15.88</v>
      </c>
      <c r="Q53" s="73" t="b">
        <f t="shared" si="8"/>
        <v>0</v>
      </c>
    </row>
    <row r="54" spans="1:17">
      <c r="A54" s="72" t="s">
        <v>40</v>
      </c>
      <c r="B54" s="72" t="s">
        <v>243</v>
      </c>
      <c r="C54" s="87">
        <v>19.149999999999999</v>
      </c>
      <c r="D54" s="80">
        <v>-1.0800000000000001E-2</v>
      </c>
      <c r="E54" s="81">
        <v>2.69E-2</v>
      </c>
      <c r="F54" s="89">
        <v>19.600000000000001</v>
      </c>
      <c r="G54" s="90">
        <v>19.079999999999998</v>
      </c>
      <c r="H54" s="74">
        <v>27415</v>
      </c>
      <c r="I54" s="1">
        <v>0.625</v>
      </c>
      <c r="J54" s="74">
        <f t="shared" si="9"/>
        <v>600741</v>
      </c>
      <c r="K54" s="87">
        <f t="shared" si="12"/>
        <v>19.149999999999999</v>
      </c>
      <c r="L54" s="81">
        <f t="shared" si="10"/>
        <v>-1.0800000000000001E-2</v>
      </c>
      <c r="M54" s="74">
        <f t="shared" si="11"/>
        <v>27415</v>
      </c>
      <c r="N54" s="92">
        <v>19.149999999999999</v>
      </c>
      <c r="O54" s="92">
        <v>19.190000000000001</v>
      </c>
      <c r="P54" s="92">
        <v>19.34</v>
      </c>
      <c r="Q54" s="73" t="b">
        <f t="shared" si="8"/>
        <v>0</v>
      </c>
    </row>
    <row r="55" spans="1:17">
      <c r="A55" s="72" t="s">
        <v>83</v>
      </c>
      <c r="B55" s="72" t="s">
        <v>1327</v>
      </c>
      <c r="C55" s="87">
        <v>24.85</v>
      </c>
      <c r="D55" s="80">
        <v>-1.15E-2</v>
      </c>
      <c r="E55" s="81">
        <v>3.1E-2</v>
      </c>
      <c r="F55" s="89">
        <v>25.18</v>
      </c>
      <c r="G55" s="90">
        <v>24.4</v>
      </c>
      <c r="H55" s="74">
        <v>39633</v>
      </c>
      <c r="I55" s="1">
        <v>0.625</v>
      </c>
      <c r="J55" s="74">
        <f t="shared" si="9"/>
        <v>600801</v>
      </c>
      <c r="K55" s="87">
        <f t="shared" si="12"/>
        <v>24.85</v>
      </c>
      <c r="L55" s="81">
        <f t="shared" si="10"/>
        <v>-1.15E-2</v>
      </c>
      <c r="M55" s="74">
        <f t="shared" si="11"/>
        <v>39633</v>
      </c>
      <c r="N55" s="92">
        <v>24.85</v>
      </c>
      <c r="O55" s="92">
        <v>24.86</v>
      </c>
      <c r="P55" s="92">
        <v>24.88</v>
      </c>
      <c r="Q55" s="73" t="b">
        <f t="shared" si="8"/>
        <v>0</v>
      </c>
    </row>
    <row r="56" spans="1:17">
      <c r="A56" s="72" t="s">
        <v>38</v>
      </c>
      <c r="B56" s="72" t="s">
        <v>1270</v>
      </c>
      <c r="C56" s="87">
        <v>2.5</v>
      </c>
      <c r="D56" s="111">
        <v>0</v>
      </c>
      <c r="E56" s="81">
        <v>0</v>
      </c>
      <c r="F56" s="90">
        <v>0</v>
      </c>
      <c r="G56" s="90">
        <v>0</v>
      </c>
      <c r="H56" s="74">
        <v>0</v>
      </c>
      <c r="I56" s="1">
        <v>0.64582175925925933</v>
      </c>
      <c r="J56" s="74">
        <f t="shared" si="9"/>
        <v>600816</v>
      </c>
      <c r="K56" s="87">
        <f t="shared" si="12"/>
        <v>2.5</v>
      </c>
      <c r="L56" s="81">
        <f t="shared" si="10"/>
        <v>0</v>
      </c>
      <c r="M56" s="74">
        <f t="shared" si="11"/>
        <v>0</v>
      </c>
      <c r="N56" s="92">
        <v>0</v>
      </c>
      <c r="O56" s="92">
        <v>0</v>
      </c>
      <c r="P56" s="92">
        <v>0</v>
      </c>
      <c r="Q56" s="73" t="b">
        <f t="shared" si="8"/>
        <v>0</v>
      </c>
    </row>
    <row r="57" spans="1:17">
      <c r="A57" s="72" t="s">
        <v>122</v>
      </c>
      <c r="B57" s="72" t="s">
        <v>1328</v>
      </c>
      <c r="C57" s="87">
        <v>15.84</v>
      </c>
      <c r="D57" s="79">
        <v>3.2000000000000002E-3</v>
      </c>
      <c r="E57" s="81">
        <v>2.2200000000000001E-2</v>
      </c>
      <c r="F57" s="89">
        <v>15.97</v>
      </c>
      <c r="G57" s="90">
        <v>15.62</v>
      </c>
      <c r="H57" s="74">
        <v>69845</v>
      </c>
      <c r="I57" s="1">
        <v>0.625</v>
      </c>
      <c r="J57" s="74">
        <f t="shared" si="9"/>
        <v>600867</v>
      </c>
      <c r="K57" s="87">
        <f t="shared" si="12"/>
        <v>15.84</v>
      </c>
      <c r="L57" s="81">
        <f t="shared" si="10"/>
        <v>3.2000000000000002E-3</v>
      </c>
      <c r="M57" s="74">
        <f t="shared" si="11"/>
        <v>69845</v>
      </c>
      <c r="N57" s="92">
        <v>15.73</v>
      </c>
      <c r="O57" s="92">
        <v>15.84</v>
      </c>
      <c r="P57" s="92">
        <v>15.7</v>
      </c>
      <c r="Q57" s="73" t="b">
        <f t="shared" si="8"/>
        <v>0</v>
      </c>
    </row>
    <row r="58" spans="1:17">
      <c r="A58" s="72" t="s">
        <v>138</v>
      </c>
      <c r="B58" s="72" t="s">
        <v>1271</v>
      </c>
      <c r="C58" s="87">
        <v>33.83</v>
      </c>
      <c r="D58" s="79">
        <v>5.8999999999999999E-3</v>
      </c>
      <c r="E58" s="81">
        <v>6.7500000000000004E-2</v>
      </c>
      <c r="F58" s="89">
        <v>35.67</v>
      </c>
      <c r="G58" s="90">
        <v>33.4</v>
      </c>
      <c r="H58" s="74">
        <v>48618</v>
      </c>
      <c r="I58" s="1">
        <v>0.625</v>
      </c>
      <c r="J58" s="74">
        <f t="shared" si="9"/>
        <v>600885</v>
      </c>
      <c r="K58" s="87">
        <f t="shared" si="12"/>
        <v>33.83</v>
      </c>
      <c r="L58" s="81">
        <f t="shared" si="10"/>
        <v>5.8999999999999999E-3</v>
      </c>
      <c r="M58" s="74">
        <f t="shared" si="11"/>
        <v>48618</v>
      </c>
      <c r="N58" s="92">
        <v>33.83</v>
      </c>
      <c r="O58" s="92">
        <v>33.880000000000003</v>
      </c>
      <c r="P58" s="92">
        <v>34.369999999999997</v>
      </c>
      <c r="Q58" s="73" t="b">
        <f t="shared" si="8"/>
        <v>0</v>
      </c>
    </row>
    <row r="59" spans="1:17">
      <c r="A59" s="72" t="s">
        <v>116</v>
      </c>
      <c r="B59" s="72" t="s">
        <v>230</v>
      </c>
      <c r="C59" s="87">
        <v>28.45</v>
      </c>
      <c r="D59" s="79">
        <v>4.0000000000000002E-4</v>
      </c>
      <c r="E59" s="81">
        <v>1.8599999999999998E-2</v>
      </c>
      <c r="F59" s="89">
        <v>28.74</v>
      </c>
      <c r="G59" s="90">
        <v>28.21</v>
      </c>
      <c r="H59" s="74">
        <v>124315</v>
      </c>
      <c r="I59" s="1">
        <v>0.625</v>
      </c>
      <c r="J59" s="74">
        <f t="shared" si="9"/>
        <v>600887</v>
      </c>
      <c r="K59" s="87">
        <f t="shared" si="12"/>
        <v>28.45</v>
      </c>
      <c r="L59" s="81">
        <f t="shared" si="10"/>
        <v>4.0000000000000002E-4</v>
      </c>
      <c r="M59" s="74">
        <f t="shared" si="11"/>
        <v>124315</v>
      </c>
      <c r="N59" s="92">
        <v>28.45</v>
      </c>
      <c r="O59" s="92">
        <v>28.46</v>
      </c>
      <c r="P59" s="92">
        <v>28.37</v>
      </c>
      <c r="Q59" s="73" t="b">
        <f t="shared" si="8"/>
        <v>0</v>
      </c>
    </row>
    <row r="60" spans="1:17">
      <c r="A60" s="72" t="s">
        <v>117</v>
      </c>
      <c r="B60" s="72" t="s">
        <v>242</v>
      </c>
      <c r="C60" s="87">
        <v>17.39</v>
      </c>
      <c r="D60" s="80">
        <v>-3.3999999999999998E-3</v>
      </c>
      <c r="E60" s="81">
        <v>1.32E-2</v>
      </c>
      <c r="F60" s="160">
        <v>17.45</v>
      </c>
      <c r="G60" s="90">
        <v>17.22</v>
      </c>
      <c r="H60" s="74">
        <v>47804</v>
      </c>
      <c r="I60" s="1">
        <v>0.62532407407407409</v>
      </c>
      <c r="J60" s="74">
        <f t="shared" si="9"/>
        <v>600900</v>
      </c>
      <c r="K60" s="87">
        <f t="shared" si="12"/>
        <v>17.39</v>
      </c>
      <c r="L60" s="81">
        <f t="shared" si="10"/>
        <v>-3.3999999999999998E-3</v>
      </c>
      <c r="M60" s="74">
        <f t="shared" si="11"/>
        <v>47804</v>
      </c>
      <c r="N60" s="92">
        <v>17.39</v>
      </c>
      <c r="O60" s="92">
        <v>17.399999999999999</v>
      </c>
      <c r="P60" s="92">
        <v>17.45</v>
      </c>
      <c r="Q60" s="73" t="b">
        <f t="shared" si="8"/>
        <v>0</v>
      </c>
    </row>
    <row r="61" spans="1:17">
      <c r="A61" s="72" t="s">
        <v>87</v>
      </c>
      <c r="B61" s="72" t="s">
        <v>235</v>
      </c>
      <c r="C61" s="87">
        <v>8.52</v>
      </c>
      <c r="D61" s="79">
        <v>5.8999999999999999E-3</v>
      </c>
      <c r="E61" s="81">
        <v>3.0700000000000002E-2</v>
      </c>
      <c r="F61" s="89">
        <v>8.73</v>
      </c>
      <c r="G61" s="160">
        <v>8.4700000000000006</v>
      </c>
      <c r="H61" s="74">
        <v>8419</v>
      </c>
      <c r="I61" s="1">
        <v>0.625</v>
      </c>
      <c r="J61" s="74">
        <f t="shared" si="9"/>
        <v>600966</v>
      </c>
      <c r="K61" s="87">
        <f t="shared" si="12"/>
        <v>8.52</v>
      </c>
      <c r="L61" s="81">
        <f t="shared" si="10"/>
        <v>5.8999999999999999E-3</v>
      </c>
      <c r="M61" s="74">
        <f t="shared" si="11"/>
        <v>8419</v>
      </c>
      <c r="N61" s="92">
        <v>8.52</v>
      </c>
      <c r="O61" s="92">
        <v>8.5299999999999994</v>
      </c>
      <c r="P61" s="92">
        <v>8.52</v>
      </c>
      <c r="Q61" s="73" t="b">
        <f t="shared" si="8"/>
        <v>0</v>
      </c>
    </row>
    <row r="62" spans="1:17">
      <c r="A62" s="72" t="s">
        <v>127</v>
      </c>
      <c r="B62" s="72" t="s">
        <v>244</v>
      </c>
      <c r="C62" s="87">
        <v>17.36</v>
      </c>
      <c r="D62" s="80">
        <v>-2.8999999999999998E-3</v>
      </c>
      <c r="E62" s="81">
        <v>3.04E-2</v>
      </c>
      <c r="F62" s="89">
        <v>17.559999999999999</v>
      </c>
      <c r="G62" s="90">
        <v>17.03</v>
      </c>
      <c r="H62" s="74">
        <v>10910</v>
      </c>
      <c r="I62" s="1">
        <v>0.625</v>
      </c>
      <c r="J62" s="74">
        <f t="shared" si="9"/>
        <v>600993</v>
      </c>
      <c r="K62" s="87">
        <f t="shared" si="12"/>
        <v>17.36</v>
      </c>
      <c r="L62" s="81">
        <f t="shared" si="10"/>
        <v>-2.8999999999999998E-3</v>
      </c>
      <c r="M62" s="74">
        <f t="shared" si="11"/>
        <v>10910</v>
      </c>
      <c r="N62" s="92">
        <v>17.36</v>
      </c>
      <c r="O62" s="92">
        <v>17.37</v>
      </c>
      <c r="P62" s="92">
        <v>17.3</v>
      </c>
      <c r="Q62" s="73" t="b">
        <f t="shared" si="8"/>
        <v>0</v>
      </c>
    </row>
    <row r="63" spans="1:17">
      <c r="A63" s="72" t="s">
        <v>109</v>
      </c>
      <c r="B63" s="72" t="s">
        <v>1244</v>
      </c>
      <c r="C63" s="87">
        <v>6.82</v>
      </c>
      <c r="D63" s="80">
        <v>-5.7999999999999996E-3</v>
      </c>
      <c r="E63" s="81">
        <v>1.0200000000000001E-2</v>
      </c>
      <c r="F63" s="89">
        <v>6.89</v>
      </c>
      <c r="G63" s="90">
        <v>6.82</v>
      </c>
      <c r="H63" s="74">
        <v>13988</v>
      </c>
      <c r="I63" s="1">
        <v>0.625</v>
      </c>
      <c r="J63" s="74">
        <f t="shared" si="9"/>
        <v>601006</v>
      </c>
      <c r="K63" s="87">
        <f t="shared" si="12"/>
        <v>6.82</v>
      </c>
      <c r="L63" s="81">
        <f t="shared" si="10"/>
        <v>-5.7999999999999996E-3</v>
      </c>
      <c r="M63" s="74">
        <f t="shared" si="11"/>
        <v>13988</v>
      </c>
      <c r="N63" s="92">
        <v>6.82</v>
      </c>
      <c r="O63" s="92">
        <v>6.83</v>
      </c>
      <c r="P63" s="92">
        <v>6.87</v>
      </c>
      <c r="Q63" s="73" t="b">
        <f t="shared" si="8"/>
        <v>0</v>
      </c>
    </row>
    <row r="64" spans="1:17">
      <c r="A64" s="72" t="s">
        <v>92</v>
      </c>
      <c r="B64" s="72" t="s">
        <v>1329</v>
      </c>
      <c r="C64" s="87">
        <v>7.9</v>
      </c>
      <c r="D64" s="80">
        <v>-2.5000000000000001E-3</v>
      </c>
      <c r="E64" s="81">
        <v>1.01E-2</v>
      </c>
      <c r="F64" s="90">
        <v>7.91</v>
      </c>
      <c r="G64" s="90">
        <v>7.83</v>
      </c>
      <c r="H64" s="74">
        <v>21129</v>
      </c>
      <c r="I64" s="1">
        <v>0.625</v>
      </c>
      <c r="J64" s="74">
        <f t="shared" si="9"/>
        <v>601009</v>
      </c>
      <c r="K64" s="87">
        <f t="shared" si="12"/>
        <v>7.9</v>
      </c>
      <c r="L64" s="81">
        <f t="shared" si="10"/>
        <v>-2.5000000000000001E-3</v>
      </c>
      <c r="M64" s="74">
        <f t="shared" si="11"/>
        <v>21129</v>
      </c>
      <c r="N64" s="92">
        <v>7.88</v>
      </c>
      <c r="O64" s="92">
        <v>7.9</v>
      </c>
      <c r="P64" s="92">
        <v>7.91</v>
      </c>
      <c r="Q64" s="73" t="b">
        <f t="shared" si="8"/>
        <v>0</v>
      </c>
    </row>
    <row r="65" spans="1:17">
      <c r="A65" s="72" t="s">
        <v>176</v>
      </c>
      <c r="B65" s="72" t="s">
        <v>1272</v>
      </c>
      <c r="C65" s="87">
        <v>32.409999999999997</v>
      </c>
      <c r="D65" s="79">
        <v>5.0599999999999999E-2</v>
      </c>
      <c r="E65" s="81">
        <v>6.4199999999999993E-2</v>
      </c>
      <c r="F65" s="89">
        <v>32.5</v>
      </c>
      <c r="G65" s="90">
        <v>30.52</v>
      </c>
      <c r="H65" s="74">
        <v>128299</v>
      </c>
      <c r="I65" s="1">
        <v>0.625</v>
      </c>
      <c r="J65" s="74">
        <f t="shared" si="9"/>
        <v>601012</v>
      </c>
      <c r="K65" s="87">
        <f t="shared" si="12"/>
        <v>32.409999999999997</v>
      </c>
      <c r="L65" s="81">
        <f t="shared" si="10"/>
        <v>5.0599999999999999E-2</v>
      </c>
      <c r="M65" s="74">
        <f t="shared" si="11"/>
        <v>128299</v>
      </c>
      <c r="N65" s="92">
        <v>32.4</v>
      </c>
      <c r="O65" s="92">
        <v>32.409999999999997</v>
      </c>
      <c r="P65" s="92">
        <v>30.79</v>
      </c>
      <c r="Q65" s="73" t="b">
        <f t="shared" si="8"/>
        <v>0</v>
      </c>
    </row>
    <row r="66" spans="1:17">
      <c r="A66" s="72" t="s">
        <v>39</v>
      </c>
      <c r="B66" s="72" t="s">
        <v>1245</v>
      </c>
      <c r="C66" s="87">
        <v>16.100000000000001</v>
      </c>
      <c r="D66" s="80">
        <v>-3.0999999999999999E-3</v>
      </c>
      <c r="E66" s="81">
        <v>8.6999999999999994E-3</v>
      </c>
      <c r="F66" s="90">
        <v>16.11</v>
      </c>
      <c r="G66" s="90">
        <v>15.97</v>
      </c>
      <c r="H66" s="74">
        <v>73284</v>
      </c>
      <c r="I66" s="1">
        <v>0.625</v>
      </c>
      <c r="J66" s="74">
        <f t="shared" si="9"/>
        <v>601166</v>
      </c>
      <c r="K66" s="87">
        <f t="shared" si="12"/>
        <v>16.100000000000001</v>
      </c>
      <c r="L66" s="81">
        <f t="shared" si="10"/>
        <v>-3.0999999999999999E-3</v>
      </c>
      <c r="M66" s="74">
        <f t="shared" si="11"/>
        <v>73284</v>
      </c>
      <c r="N66" s="92">
        <v>16.09</v>
      </c>
      <c r="O66" s="92">
        <v>16.100000000000001</v>
      </c>
      <c r="P66" s="92">
        <v>16.05</v>
      </c>
      <c r="Q66" s="73" t="b">
        <f t="shared" si="8"/>
        <v>0</v>
      </c>
    </row>
    <row r="67" spans="1:17">
      <c r="A67" s="72" t="s">
        <v>91</v>
      </c>
      <c r="B67" s="72" t="s">
        <v>1330</v>
      </c>
      <c r="C67" s="87">
        <v>7.17</v>
      </c>
      <c r="D67" s="80">
        <v>-5.4999999999999997E-3</v>
      </c>
      <c r="E67" s="81">
        <v>1.66E-2</v>
      </c>
      <c r="F67" s="89">
        <v>7.23</v>
      </c>
      <c r="G67" s="90">
        <v>7.11</v>
      </c>
      <c r="H67" s="74">
        <v>14706</v>
      </c>
      <c r="I67" s="1">
        <v>0.625</v>
      </c>
      <c r="J67" s="74">
        <f t="shared" si="9"/>
        <v>601225</v>
      </c>
      <c r="K67" s="87">
        <f t="shared" si="12"/>
        <v>7.17</v>
      </c>
      <c r="L67" s="81">
        <f t="shared" si="10"/>
        <v>-5.4999999999999997E-3</v>
      </c>
      <c r="M67" s="74">
        <f t="shared" si="11"/>
        <v>14706</v>
      </c>
      <c r="N67" s="92">
        <v>7.15</v>
      </c>
      <c r="O67" s="92">
        <v>7.17</v>
      </c>
      <c r="P67" s="92">
        <v>7.23</v>
      </c>
      <c r="Q67" s="73" t="e">
        <f>A67=#REF!</f>
        <v>#REF!</v>
      </c>
    </row>
    <row r="68" spans="1:17">
      <c r="A68" s="72" t="s">
        <v>240</v>
      </c>
      <c r="B68" s="72" t="s">
        <v>239</v>
      </c>
      <c r="C68" s="87">
        <v>70.709999999999994</v>
      </c>
      <c r="D68" s="80">
        <v>-1.12E-2</v>
      </c>
      <c r="E68" s="81">
        <v>1.15E-2</v>
      </c>
      <c r="F68" s="90">
        <v>71.3</v>
      </c>
      <c r="G68" s="90">
        <v>70.48</v>
      </c>
      <c r="H68" s="74">
        <v>190168</v>
      </c>
      <c r="I68" s="1">
        <v>0.625</v>
      </c>
      <c r="J68" s="74">
        <f t="shared" ref="J68:J86" si="13">RIGHT(A68,6)+0</f>
        <v>601318</v>
      </c>
      <c r="K68" s="87">
        <f t="shared" si="12"/>
        <v>70.709999999999994</v>
      </c>
      <c r="L68" s="81">
        <f t="shared" ref="L68:L86" si="14">D68</f>
        <v>-1.12E-2</v>
      </c>
      <c r="M68" s="74">
        <f t="shared" ref="M68:M86" si="15">H68</f>
        <v>190168</v>
      </c>
      <c r="N68" s="92">
        <v>70.709999999999994</v>
      </c>
      <c r="O68" s="92">
        <v>70.72</v>
      </c>
      <c r="P68" s="92">
        <v>70.900000000000006</v>
      </c>
      <c r="Q68" s="73" t="b">
        <f t="shared" ref="Q68:Q116" si="16">A68=A69</f>
        <v>0</v>
      </c>
    </row>
    <row r="69" spans="1:17">
      <c r="A69" s="72" t="s">
        <v>42</v>
      </c>
      <c r="B69" s="72" t="s">
        <v>1331</v>
      </c>
      <c r="C69" s="87">
        <v>5.1100000000000003</v>
      </c>
      <c r="D69" s="80">
        <v>-9.7000000000000003E-3</v>
      </c>
      <c r="E69" s="81">
        <v>7.7999999999999996E-3</v>
      </c>
      <c r="F69" s="90">
        <v>5.15</v>
      </c>
      <c r="G69" s="90">
        <v>5.1100000000000003</v>
      </c>
      <c r="H69" s="74">
        <v>30605</v>
      </c>
      <c r="I69" s="1">
        <v>0.625</v>
      </c>
      <c r="J69" s="74">
        <f t="shared" si="13"/>
        <v>601328</v>
      </c>
      <c r="K69" s="87">
        <f t="shared" ref="K69:K87" si="17">C69+0</f>
        <v>5.1100000000000003</v>
      </c>
      <c r="L69" s="81">
        <f t="shared" si="14"/>
        <v>-9.7000000000000003E-3</v>
      </c>
      <c r="M69" s="74">
        <f t="shared" si="15"/>
        <v>30605</v>
      </c>
      <c r="N69" s="92">
        <v>5.1100000000000003</v>
      </c>
      <c r="O69" s="92">
        <v>5.12</v>
      </c>
      <c r="P69" s="92">
        <v>5.14</v>
      </c>
      <c r="Q69" s="73" t="b">
        <f t="shared" si="16"/>
        <v>0</v>
      </c>
    </row>
    <row r="70" spans="1:17">
      <c r="A70" s="72" t="s">
        <v>177</v>
      </c>
      <c r="B70" s="72" t="s">
        <v>1246</v>
      </c>
      <c r="C70" s="87">
        <v>4.42</v>
      </c>
      <c r="D70" s="80">
        <v>-4.4999999999999997E-3</v>
      </c>
      <c r="E70" s="81">
        <v>1.35E-2</v>
      </c>
      <c r="F70" s="89">
        <v>4.47</v>
      </c>
      <c r="G70" s="90">
        <v>4.41</v>
      </c>
      <c r="H70" s="74">
        <v>1583</v>
      </c>
      <c r="I70" s="1">
        <v>0.62532407407407409</v>
      </c>
      <c r="J70" s="74">
        <f t="shared" si="13"/>
        <v>601678</v>
      </c>
      <c r="K70" s="87">
        <f t="shared" si="17"/>
        <v>4.42</v>
      </c>
      <c r="L70" s="81">
        <f t="shared" si="14"/>
        <v>-4.4999999999999997E-3</v>
      </c>
      <c r="M70" s="74">
        <f t="shared" si="15"/>
        <v>1583</v>
      </c>
      <c r="N70" s="92">
        <v>4.42</v>
      </c>
      <c r="O70" s="92">
        <v>4.43</v>
      </c>
      <c r="P70" s="92">
        <v>4.43</v>
      </c>
      <c r="Q70" s="73" t="b">
        <f t="shared" si="16"/>
        <v>0</v>
      </c>
    </row>
    <row r="71" spans="1:17">
      <c r="A71" s="72" t="s">
        <v>85</v>
      </c>
      <c r="B71" s="72" t="s">
        <v>1332</v>
      </c>
      <c r="C71" s="87">
        <v>4.25</v>
      </c>
      <c r="D71" s="80">
        <v>-9.2999999999999992E-3</v>
      </c>
      <c r="E71" s="81">
        <v>1.6299999999999999E-2</v>
      </c>
      <c r="F71" s="160">
        <v>4.29</v>
      </c>
      <c r="G71" s="90">
        <v>4.22</v>
      </c>
      <c r="H71" s="74">
        <v>59423</v>
      </c>
      <c r="I71" s="1">
        <v>0.625</v>
      </c>
      <c r="J71" s="74">
        <f t="shared" si="13"/>
        <v>601857</v>
      </c>
      <c r="K71" s="87">
        <f t="shared" si="17"/>
        <v>4.25</v>
      </c>
      <c r="L71" s="81">
        <f t="shared" si="14"/>
        <v>-9.2999999999999992E-3</v>
      </c>
      <c r="M71" s="74">
        <f t="shared" si="15"/>
        <v>59423</v>
      </c>
      <c r="N71" s="92">
        <v>4.25</v>
      </c>
      <c r="O71" s="92">
        <v>4.26</v>
      </c>
      <c r="P71" s="92">
        <v>4.28</v>
      </c>
      <c r="Q71" s="73" t="b">
        <f t="shared" si="16"/>
        <v>0</v>
      </c>
    </row>
    <row r="72" spans="1:17">
      <c r="A72" s="72" t="s">
        <v>133</v>
      </c>
      <c r="B72" s="72" t="s">
        <v>1333</v>
      </c>
      <c r="C72" s="87">
        <v>101.23</v>
      </c>
      <c r="D72" s="79">
        <v>6.5600000000000006E-2</v>
      </c>
      <c r="E72" s="81">
        <v>7.8700000000000006E-2</v>
      </c>
      <c r="F72" s="89">
        <v>101.23</v>
      </c>
      <c r="G72" s="90">
        <v>93.75</v>
      </c>
      <c r="H72" s="74">
        <v>185728</v>
      </c>
      <c r="I72" s="1">
        <v>0.625</v>
      </c>
      <c r="J72" s="74">
        <f t="shared" si="13"/>
        <v>601888</v>
      </c>
      <c r="K72" s="87">
        <f t="shared" si="17"/>
        <v>101.23</v>
      </c>
      <c r="L72" s="81">
        <f t="shared" si="14"/>
        <v>6.5600000000000006E-2</v>
      </c>
      <c r="M72" s="74">
        <f t="shared" si="15"/>
        <v>185728</v>
      </c>
      <c r="N72" s="92">
        <v>100.56</v>
      </c>
      <c r="O72" s="92">
        <v>101.23</v>
      </c>
      <c r="P72" s="92">
        <v>94.56</v>
      </c>
      <c r="Q72" s="73" t="b">
        <f t="shared" si="16"/>
        <v>0</v>
      </c>
    </row>
    <row r="73" spans="1:17">
      <c r="A73" s="72" t="s">
        <v>72</v>
      </c>
      <c r="B73" s="72" t="s">
        <v>1334</v>
      </c>
      <c r="C73" s="87">
        <v>3.45</v>
      </c>
      <c r="D73" s="80">
        <v>-5.7999999999999996E-3</v>
      </c>
      <c r="E73" s="81">
        <v>5.7999999999999996E-3</v>
      </c>
      <c r="F73" s="160">
        <v>3.47</v>
      </c>
      <c r="G73" s="90">
        <v>3.45</v>
      </c>
      <c r="H73" s="74">
        <v>18969</v>
      </c>
      <c r="I73" s="1">
        <v>0.625</v>
      </c>
      <c r="J73" s="74">
        <f t="shared" si="13"/>
        <v>601988</v>
      </c>
      <c r="K73" s="87">
        <f t="shared" si="17"/>
        <v>3.45</v>
      </c>
      <c r="L73" s="81">
        <f t="shared" si="14"/>
        <v>-5.7999999999999996E-3</v>
      </c>
      <c r="M73" s="74">
        <f t="shared" si="15"/>
        <v>18969</v>
      </c>
      <c r="N73" s="92">
        <v>3.45</v>
      </c>
      <c r="O73" s="92">
        <v>3.46</v>
      </c>
      <c r="P73" s="92">
        <v>3.46</v>
      </c>
      <c r="Q73" s="73" t="b">
        <f t="shared" si="16"/>
        <v>0</v>
      </c>
    </row>
    <row r="74" spans="1:17">
      <c r="A74" s="72" t="s">
        <v>63</v>
      </c>
      <c r="B74" s="72" t="s">
        <v>1335</v>
      </c>
      <c r="C74" s="87">
        <v>31.94</v>
      </c>
      <c r="D74" s="79">
        <v>4.1000000000000003E-3</v>
      </c>
      <c r="E74" s="81">
        <v>2.7300000000000001E-2</v>
      </c>
      <c r="F74" s="89">
        <v>32.270000000000003</v>
      </c>
      <c r="G74" s="90">
        <v>31.4</v>
      </c>
      <c r="H74" s="74">
        <v>13451</v>
      </c>
      <c r="I74" s="1">
        <v>0.625</v>
      </c>
      <c r="J74" s="74">
        <f t="shared" si="13"/>
        <v>603228</v>
      </c>
      <c r="K74" s="87">
        <f t="shared" si="17"/>
        <v>31.94</v>
      </c>
      <c r="L74" s="81">
        <f t="shared" si="14"/>
        <v>4.1000000000000003E-3</v>
      </c>
      <c r="M74" s="74">
        <f t="shared" si="15"/>
        <v>13451</v>
      </c>
      <c r="N74" s="92">
        <v>31.94</v>
      </c>
      <c r="O74" s="92">
        <v>31.95</v>
      </c>
      <c r="P74" s="92">
        <v>31.45</v>
      </c>
      <c r="Q74" s="73" t="b">
        <f t="shared" si="16"/>
        <v>0</v>
      </c>
    </row>
    <row r="75" spans="1:17">
      <c r="A75" s="72" t="s">
        <v>182</v>
      </c>
      <c r="B75" s="97" t="s">
        <v>1336</v>
      </c>
      <c r="C75" s="87">
        <v>114.9</v>
      </c>
      <c r="D75" s="79">
        <v>1.09E-2</v>
      </c>
      <c r="E75" s="81">
        <v>2.35E-2</v>
      </c>
      <c r="F75" s="89">
        <v>115.68</v>
      </c>
      <c r="G75" s="90">
        <v>113.01</v>
      </c>
      <c r="H75" s="74">
        <v>50049</v>
      </c>
      <c r="I75" s="1">
        <v>0.625</v>
      </c>
      <c r="J75" s="74">
        <f t="shared" si="13"/>
        <v>603288</v>
      </c>
      <c r="K75" s="87">
        <f t="shared" si="17"/>
        <v>114.9</v>
      </c>
      <c r="L75" s="81">
        <f t="shared" si="14"/>
        <v>1.09E-2</v>
      </c>
      <c r="M75" s="74">
        <f t="shared" si="15"/>
        <v>50049</v>
      </c>
      <c r="N75" s="92">
        <v>114.86</v>
      </c>
      <c r="O75" s="92">
        <v>114.9</v>
      </c>
      <c r="P75" s="92">
        <v>113.92</v>
      </c>
      <c r="Q75" s="73" t="b">
        <f t="shared" si="16"/>
        <v>0</v>
      </c>
    </row>
    <row r="76" spans="1:17">
      <c r="A76" s="72" t="s">
        <v>130</v>
      </c>
      <c r="B76" s="72" t="s">
        <v>1337</v>
      </c>
      <c r="C76" s="87">
        <v>92.64</v>
      </c>
      <c r="D76" s="79">
        <v>1.6299999999999999E-2</v>
      </c>
      <c r="E76" s="81">
        <v>5.6500000000000002E-2</v>
      </c>
      <c r="F76" s="89">
        <v>96.3</v>
      </c>
      <c r="G76" s="160">
        <v>91.15</v>
      </c>
      <c r="H76" s="74">
        <v>27729</v>
      </c>
      <c r="I76" s="1">
        <v>0.625</v>
      </c>
      <c r="J76" s="74">
        <f t="shared" si="13"/>
        <v>603338</v>
      </c>
      <c r="K76" s="87">
        <f t="shared" si="17"/>
        <v>92.64</v>
      </c>
      <c r="L76" s="81">
        <f t="shared" si="14"/>
        <v>1.6299999999999999E-2</v>
      </c>
      <c r="M76" s="74">
        <f t="shared" si="15"/>
        <v>27729</v>
      </c>
      <c r="N76" s="92">
        <v>92.15</v>
      </c>
      <c r="O76" s="92">
        <v>92.64</v>
      </c>
      <c r="P76" s="92">
        <v>91.3</v>
      </c>
      <c r="Q76" s="73" t="b">
        <f t="shared" si="16"/>
        <v>0</v>
      </c>
    </row>
    <row r="77" spans="1:17">
      <c r="A77" s="72" t="s">
        <v>132</v>
      </c>
      <c r="B77" s="72" t="s">
        <v>1338</v>
      </c>
      <c r="C77" s="87">
        <v>26.22</v>
      </c>
      <c r="D77" s="79">
        <v>1.1599999999999999E-2</v>
      </c>
      <c r="E77" s="81">
        <v>3.1199999999999999E-2</v>
      </c>
      <c r="F77" s="89">
        <v>26.34</v>
      </c>
      <c r="G77" s="90">
        <v>25.53</v>
      </c>
      <c r="H77" s="74">
        <v>8839</v>
      </c>
      <c r="I77" s="1">
        <v>0.625</v>
      </c>
      <c r="J77" s="74">
        <f t="shared" si="13"/>
        <v>603515</v>
      </c>
      <c r="K77" s="87">
        <f t="shared" si="17"/>
        <v>26.22</v>
      </c>
      <c r="L77" s="81">
        <f t="shared" si="14"/>
        <v>1.1599999999999999E-2</v>
      </c>
      <c r="M77" s="74">
        <f t="shared" si="15"/>
        <v>8839</v>
      </c>
      <c r="N77" s="92">
        <v>26.21</v>
      </c>
      <c r="O77" s="92">
        <v>26.22</v>
      </c>
      <c r="P77" s="92">
        <v>25.85</v>
      </c>
      <c r="Q77" s="73" t="b">
        <f t="shared" si="16"/>
        <v>0</v>
      </c>
    </row>
    <row r="78" spans="1:17">
      <c r="A78" s="72" t="s">
        <v>123</v>
      </c>
      <c r="B78" s="72" t="s">
        <v>1283</v>
      </c>
      <c r="C78" s="87">
        <v>28.95</v>
      </c>
      <c r="D78" s="80">
        <v>-4.7999999999999996E-3</v>
      </c>
      <c r="E78" s="81">
        <v>1.7500000000000002E-2</v>
      </c>
      <c r="F78" s="89">
        <v>29.28</v>
      </c>
      <c r="G78" s="90">
        <v>28.77</v>
      </c>
      <c r="H78" s="74">
        <v>7077</v>
      </c>
      <c r="I78" s="1">
        <v>0.625</v>
      </c>
      <c r="J78" s="74">
        <f t="shared" si="13"/>
        <v>603568</v>
      </c>
      <c r="K78" s="87">
        <f t="shared" si="17"/>
        <v>28.95</v>
      </c>
      <c r="L78" s="81">
        <f t="shared" si="14"/>
        <v>-4.7999999999999996E-3</v>
      </c>
      <c r="M78" s="74">
        <f t="shared" si="15"/>
        <v>7077</v>
      </c>
      <c r="N78" s="92">
        <v>28.95</v>
      </c>
      <c r="O78" s="92">
        <v>28.96</v>
      </c>
      <c r="P78" s="92">
        <v>29.1</v>
      </c>
      <c r="Q78" s="73" t="b">
        <f t="shared" si="16"/>
        <v>0</v>
      </c>
    </row>
    <row r="79" spans="1:17">
      <c r="A79" s="72" t="s">
        <v>62</v>
      </c>
      <c r="B79" s="72" t="s">
        <v>1339</v>
      </c>
      <c r="C79" s="87">
        <v>43.7</v>
      </c>
      <c r="D79" s="80">
        <v>-1.1299999999999999E-2</v>
      </c>
      <c r="E79" s="81">
        <v>2.5999999999999999E-2</v>
      </c>
      <c r="F79" s="89">
        <v>44.6</v>
      </c>
      <c r="G79" s="90">
        <v>43.45</v>
      </c>
      <c r="H79" s="74">
        <v>7565</v>
      </c>
      <c r="I79" s="1">
        <v>0.62501157407407404</v>
      </c>
      <c r="J79" s="74">
        <f t="shared" si="13"/>
        <v>603868</v>
      </c>
      <c r="K79" s="87">
        <f t="shared" si="17"/>
        <v>43.7</v>
      </c>
      <c r="L79" s="81">
        <f t="shared" si="14"/>
        <v>-1.1299999999999999E-2</v>
      </c>
      <c r="M79" s="74">
        <f t="shared" si="15"/>
        <v>7565</v>
      </c>
      <c r="N79" s="92">
        <v>43.7</v>
      </c>
      <c r="O79" s="92">
        <v>43.76</v>
      </c>
      <c r="P79" s="92">
        <v>44.15</v>
      </c>
      <c r="Q79" s="73" t="b">
        <f t="shared" si="16"/>
        <v>0</v>
      </c>
    </row>
    <row r="80" spans="1:17">
      <c r="A80" s="72" t="s">
        <v>124</v>
      </c>
      <c r="B80" s="72" t="s">
        <v>1202</v>
      </c>
      <c r="C80" s="87">
        <v>78.81</v>
      </c>
      <c r="D80" s="79">
        <v>5.8599999999999999E-2</v>
      </c>
      <c r="E80" s="81">
        <v>0.1096</v>
      </c>
      <c r="F80" s="89">
        <v>81.709999999999994</v>
      </c>
      <c r="G80" s="90">
        <v>73.55</v>
      </c>
      <c r="H80" s="74">
        <v>50749</v>
      </c>
      <c r="I80" s="1">
        <v>0.625</v>
      </c>
      <c r="J80" s="74">
        <f t="shared" si="13"/>
        <v>603939</v>
      </c>
      <c r="K80" s="87">
        <f t="shared" si="17"/>
        <v>78.81</v>
      </c>
      <c r="L80" s="81">
        <f t="shared" si="14"/>
        <v>5.8599999999999999E-2</v>
      </c>
      <c r="M80" s="74">
        <f t="shared" si="15"/>
        <v>50749</v>
      </c>
      <c r="N80" s="92">
        <v>78.81</v>
      </c>
      <c r="O80" s="92">
        <v>79.31</v>
      </c>
      <c r="P80" s="92">
        <v>73.55</v>
      </c>
      <c r="Q80" s="73" t="e">
        <f>A80=#REF!</f>
        <v>#REF!</v>
      </c>
    </row>
    <row r="81" spans="1:17">
      <c r="A81" s="124" t="s">
        <v>134</v>
      </c>
      <c r="B81" s="124" t="s">
        <v>250</v>
      </c>
      <c r="C81" s="126">
        <v>13</v>
      </c>
      <c r="D81" s="128">
        <v>-5.4000000000000003E-3</v>
      </c>
      <c r="E81" s="129">
        <v>9.1999999999999998E-3</v>
      </c>
      <c r="F81" s="131">
        <v>13.04</v>
      </c>
      <c r="G81" s="131">
        <v>12.92</v>
      </c>
      <c r="H81" s="132">
        <v>59450</v>
      </c>
      <c r="I81" s="133">
        <v>0.62503472222222223</v>
      </c>
      <c r="J81" s="74">
        <f t="shared" si="13"/>
        <v>1</v>
      </c>
      <c r="K81" s="87">
        <f t="shared" si="17"/>
        <v>13</v>
      </c>
      <c r="L81" s="81">
        <f t="shared" si="14"/>
        <v>-5.4000000000000003E-3</v>
      </c>
      <c r="M81" s="74">
        <f t="shared" si="15"/>
        <v>59450</v>
      </c>
      <c r="N81" s="134">
        <v>13</v>
      </c>
      <c r="O81" s="134">
        <v>13.01</v>
      </c>
      <c r="P81" s="134">
        <v>13.01</v>
      </c>
      <c r="Q81" s="73" t="b">
        <f t="shared" si="16"/>
        <v>0</v>
      </c>
    </row>
    <row r="82" spans="1:17">
      <c r="A82" s="124" t="s">
        <v>111</v>
      </c>
      <c r="B82" s="124" t="s">
        <v>1340</v>
      </c>
      <c r="C82" s="126">
        <v>25.7</v>
      </c>
      <c r="D82" s="128">
        <v>-1.6799999999999999E-2</v>
      </c>
      <c r="E82" s="129">
        <v>1.61E-2</v>
      </c>
      <c r="F82" s="131">
        <v>26.12</v>
      </c>
      <c r="G82" s="131">
        <v>25.7</v>
      </c>
      <c r="H82" s="132">
        <v>134596</v>
      </c>
      <c r="I82" s="133">
        <v>0.62503472222222223</v>
      </c>
      <c r="J82" s="74">
        <f t="shared" si="13"/>
        <v>2</v>
      </c>
      <c r="K82" s="87">
        <f t="shared" si="17"/>
        <v>25.7</v>
      </c>
      <c r="L82" s="81">
        <f t="shared" si="14"/>
        <v>-1.6799999999999999E-2</v>
      </c>
      <c r="M82" s="74">
        <f t="shared" si="15"/>
        <v>134596</v>
      </c>
      <c r="N82" s="134">
        <v>25.7</v>
      </c>
      <c r="O82" s="134">
        <v>25.71</v>
      </c>
      <c r="P82" s="134">
        <v>26.12</v>
      </c>
      <c r="Q82" s="73" t="b">
        <f t="shared" si="16"/>
        <v>0</v>
      </c>
    </row>
    <row r="83" spans="1:17">
      <c r="A83" s="124" t="s">
        <v>110</v>
      </c>
      <c r="B83" s="124" t="s">
        <v>1341</v>
      </c>
      <c r="C83" s="126">
        <v>9.49</v>
      </c>
      <c r="D83" s="127">
        <v>4.1700000000000001E-2</v>
      </c>
      <c r="E83" s="129">
        <v>8.8900000000000007E-2</v>
      </c>
      <c r="F83" s="130">
        <v>9.85</v>
      </c>
      <c r="G83" s="131">
        <v>9.0399999999999991</v>
      </c>
      <c r="H83" s="132">
        <v>15059</v>
      </c>
      <c r="I83" s="133">
        <v>0.62503472222222223</v>
      </c>
      <c r="J83" s="74">
        <f t="shared" si="13"/>
        <v>11</v>
      </c>
      <c r="K83" s="87">
        <f t="shared" si="17"/>
        <v>9.49</v>
      </c>
      <c r="L83" s="81">
        <f t="shared" si="14"/>
        <v>4.1700000000000001E-2</v>
      </c>
      <c r="M83" s="74">
        <f t="shared" si="15"/>
        <v>15059</v>
      </c>
      <c r="N83" s="134">
        <v>9.48</v>
      </c>
      <c r="O83" s="134">
        <v>9.49</v>
      </c>
      <c r="P83" s="134">
        <v>9.0399999999999991</v>
      </c>
      <c r="Q83" s="73" t="b">
        <f t="shared" si="16"/>
        <v>0</v>
      </c>
    </row>
    <row r="84" spans="1:17">
      <c r="A84" s="124" t="s">
        <v>76</v>
      </c>
      <c r="B84" s="124" t="s">
        <v>245</v>
      </c>
      <c r="C84" s="126">
        <v>4.33</v>
      </c>
      <c r="D84" s="127">
        <v>9.2999999999999992E-3</v>
      </c>
      <c r="E84" s="129">
        <v>1.8599999999999998E-2</v>
      </c>
      <c r="F84" s="130">
        <v>4.3499999999999996</v>
      </c>
      <c r="G84" s="131">
        <v>4.2699999999999996</v>
      </c>
      <c r="H84" s="132">
        <v>5758</v>
      </c>
      <c r="I84" s="133">
        <v>0.62503472222222223</v>
      </c>
      <c r="J84" s="74">
        <f t="shared" si="13"/>
        <v>36</v>
      </c>
      <c r="K84" s="87">
        <f t="shared" si="17"/>
        <v>4.33</v>
      </c>
      <c r="L84" s="81">
        <f t="shared" si="14"/>
        <v>9.2999999999999992E-3</v>
      </c>
      <c r="M84" s="74">
        <f t="shared" si="15"/>
        <v>5758</v>
      </c>
      <c r="N84" s="134">
        <v>4.32</v>
      </c>
      <c r="O84" s="134">
        <v>4.33</v>
      </c>
      <c r="P84" s="134">
        <v>4.2699999999999996</v>
      </c>
      <c r="Q84" s="73" t="b">
        <f t="shared" si="16"/>
        <v>0</v>
      </c>
    </row>
    <row r="85" spans="1:17">
      <c r="A85" s="124" t="s">
        <v>77</v>
      </c>
      <c r="B85" s="124" t="s">
        <v>1284</v>
      </c>
      <c r="C85" s="126">
        <v>4.25</v>
      </c>
      <c r="D85" s="128">
        <v>-7.0000000000000001E-3</v>
      </c>
      <c r="E85" s="129">
        <v>1.17E-2</v>
      </c>
      <c r="F85" s="174">
        <v>4.28</v>
      </c>
      <c r="G85" s="131">
        <v>4.2300000000000004</v>
      </c>
      <c r="H85" s="132">
        <v>1361</v>
      </c>
      <c r="I85" s="133">
        <v>0.62503472222222223</v>
      </c>
      <c r="J85" s="74">
        <f t="shared" si="13"/>
        <v>55</v>
      </c>
      <c r="K85" s="87">
        <f t="shared" si="17"/>
        <v>4.25</v>
      </c>
      <c r="L85" s="81">
        <f t="shared" si="14"/>
        <v>-7.0000000000000001E-3</v>
      </c>
      <c r="M85" s="74">
        <f t="shared" si="15"/>
        <v>1361</v>
      </c>
      <c r="N85" s="134">
        <v>4.25</v>
      </c>
      <c r="O85" s="134">
        <v>4.26</v>
      </c>
      <c r="P85" s="134">
        <v>4.2699999999999996</v>
      </c>
      <c r="Q85" s="73" t="b">
        <f t="shared" si="16"/>
        <v>0</v>
      </c>
    </row>
    <row r="86" spans="1:17">
      <c r="A86" s="124" t="s">
        <v>112</v>
      </c>
      <c r="B86" s="124" t="s">
        <v>251</v>
      </c>
      <c r="C86" s="126">
        <v>59.02</v>
      </c>
      <c r="D86" s="127">
        <v>1.4999999999999999E-2</v>
      </c>
      <c r="E86" s="129">
        <v>2.1700000000000001E-2</v>
      </c>
      <c r="F86" s="130">
        <v>59.25</v>
      </c>
      <c r="G86" s="131">
        <v>57.99</v>
      </c>
      <c r="H86" s="132">
        <v>107396</v>
      </c>
      <c r="I86" s="133">
        <v>0.62503472222222223</v>
      </c>
      <c r="J86" s="74">
        <f t="shared" si="13"/>
        <v>333</v>
      </c>
      <c r="K86" s="87">
        <f t="shared" si="17"/>
        <v>59.02</v>
      </c>
      <c r="L86" s="81">
        <f t="shared" si="14"/>
        <v>1.4999999999999999E-2</v>
      </c>
      <c r="M86" s="74">
        <f t="shared" si="15"/>
        <v>107396</v>
      </c>
      <c r="N86" s="134">
        <v>59.02</v>
      </c>
      <c r="O86" s="134">
        <v>59.03</v>
      </c>
      <c r="P86" s="134">
        <v>57.99</v>
      </c>
      <c r="Q86" s="73" t="b">
        <f t="shared" si="16"/>
        <v>0</v>
      </c>
    </row>
    <row r="87" spans="1:17">
      <c r="A87" s="124" t="s">
        <v>136</v>
      </c>
      <c r="B87" s="124" t="s">
        <v>1342</v>
      </c>
      <c r="C87" s="126">
        <v>35.729999999999997</v>
      </c>
      <c r="D87" s="128">
        <v>-1.0500000000000001E-2</v>
      </c>
      <c r="E87" s="129">
        <v>2.8199999999999999E-2</v>
      </c>
      <c r="F87" s="130">
        <v>36.380000000000003</v>
      </c>
      <c r="G87" s="131">
        <v>35.36</v>
      </c>
      <c r="H87" s="132">
        <v>16116</v>
      </c>
      <c r="I87" s="133">
        <v>0.62503472222222223</v>
      </c>
      <c r="J87" s="74">
        <f t="shared" ref="J87:J118" si="18">RIGHT(A87,6)+0</f>
        <v>423</v>
      </c>
      <c r="K87" s="87">
        <f t="shared" si="17"/>
        <v>35.729999999999997</v>
      </c>
      <c r="L87" s="81">
        <f t="shared" ref="L87:L118" si="19">D87</f>
        <v>-1.0500000000000001E-2</v>
      </c>
      <c r="M87" s="74">
        <f t="shared" ref="M87:M118" si="20">H87</f>
        <v>16116</v>
      </c>
      <c r="N87" s="134">
        <v>35.729999999999997</v>
      </c>
      <c r="O87" s="134">
        <v>35.74</v>
      </c>
      <c r="P87" s="134">
        <v>35.86</v>
      </c>
      <c r="Q87" s="73" t="b">
        <f t="shared" si="16"/>
        <v>0</v>
      </c>
    </row>
    <row r="88" spans="1:17">
      <c r="A88" s="124" t="s">
        <v>86</v>
      </c>
      <c r="B88" s="124" t="s">
        <v>1343</v>
      </c>
      <c r="C88" s="126">
        <v>4.8099999999999996</v>
      </c>
      <c r="D88" s="128">
        <v>-4.1000000000000003E-3</v>
      </c>
      <c r="E88" s="129">
        <v>1.4500000000000001E-2</v>
      </c>
      <c r="F88" s="130">
        <v>4.87</v>
      </c>
      <c r="G88" s="131">
        <v>4.8</v>
      </c>
      <c r="H88" s="132">
        <v>4582</v>
      </c>
      <c r="I88" s="133">
        <v>0.62503472222222223</v>
      </c>
      <c r="J88" s="74">
        <f t="shared" si="18"/>
        <v>488</v>
      </c>
      <c r="K88" s="87">
        <f t="shared" ref="K88:K119" si="21">C88+0</f>
        <v>4.8099999999999996</v>
      </c>
      <c r="L88" s="81">
        <f t="shared" si="19"/>
        <v>-4.1000000000000003E-3</v>
      </c>
      <c r="M88" s="74">
        <f t="shared" si="20"/>
        <v>4582</v>
      </c>
      <c r="N88" s="134">
        <v>4.8099999999999996</v>
      </c>
      <c r="O88" s="134">
        <v>4.82</v>
      </c>
      <c r="P88" s="134">
        <v>4.83</v>
      </c>
      <c r="Q88" s="73" t="b">
        <f t="shared" si="16"/>
        <v>0</v>
      </c>
    </row>
    <row r="89" spans="1:17">
      <c r="A89" s="124" t="s">
        <v>148</v>
      </c>
      <c r="B89" s="124" t="s">
        <v>1297</v>
      </c>
      <c r="C89" s="126">
        <v>39.83</v>
      </c>
      <c r="D89" s="127">
        <v>3.5099999999999999E-2</v>
      </c>
      <c r="E89" s="129">
        <v>5.2200000000000003E-2</v>
      </c>
      <c r="F89" s="130">
        <v>40.270000000000003</v>
      </c>
      <c r="G89" s="131">
        <v>38.26</v>
      </c>
      <c r="H89" s="132">
        <v>32879</v>
      </c>
      <c r="I89" s="133">
        <v>0.62503472222222223</v>
      </c>
      <c r="J89" s="74">
        <f t="shared" si="18"/>
        <v>513</v>
      </c>
      <c r="K89" s="87">
        <f t="shared" si="21"/>
        <v>39.83</v>
      </c>
      <c r="L89" s="81">
        <f t="shared" si="19"/>
        <v>3.5099999999999999E-2</v>
      </c>
      <c r="M89" s="74">
        <f t="shared" si="20"/>
        <v>32879</v>
      </c>
      <c r="N89" s="134">
        <v>39.83</v>
      </c>
      <c r="O89" s="134">
        <v>39.92</v>
      </c>
      <c r="P89" s="134">
        <v>38.630000000000003</v>
      </c>
      <c r="Q89" s="73" t="b">
        <f t="shared" si="16"/>
        <v>0</v>
      </c>
    </row>
    <row r="90" spans="1:17">
      <c r="A90" s="124" t="s">
        <v>78</v>
      </c>
      <c r="B90" s="124" t="s">
        <v>1344</v>
      </c>
      <c r="C90" s="126">
        <v>6.4</v>
      </c>
      <c r="D90" s="172">
        <v>0</v>
      </c>
      <c r="E90" s="129">
        <v>1.41E-2</v>
      </c>
      <c r="F90" s="130">
        <v>6.45</v>
      </c>
      <c r="G90" s="131">
        <v>6.36</v>
      </c>
      <c r="H90" s="132">
        <v>6974</v>
      </c>
      <c r="I90" s="133">
        <v>0.62503472222222223</v>
      </c>
      <c r="J90" s="74">
        <f t="shared" si="18"/>
        <v>528</v>
      </c>
      <c r="K90" s="87">
        <f t="shared" si="21"/>
        <v>6.4</v>
      </c>
      <c r="L90" s="81">
        <f t="shared" si="19"/>
        <v>0</v>
      </c>
      <c r="M90" s="74">
        <f t="shared" si="20"/>
        <v>6974</v>
      </c>
      <c r="N90" s="134">
        <v>6.39</v>
      </c>
      <c r="O90" s="134">
        <v>6.4</v>
      </c>
      <c r="P90" s="134">
        <v>6.39</v>
      </c>
      <c r="Q90" s="73" t="b">
        <f t="shared" si="16"/>
        <v>0</v>
      </c>
    </row>
    <row r="91" spans="1:17">
      <c r="A91" s="124" t="s">
        <v>141</v>
      </c>
      <c r="B91" s="124" t="s">
        <v>1345</v>
      </c>
      <c r="C91" s="126">
        <v>88.18</v>
      </c>
      <c r="D91" s="127">
        <v>1.5800000000000002E-2</v>
      </c>
      <c r="E91" s="129">
        <v>2.3199999999999998E-2</v>
      </c>
      <c r="F91" s="130">
        <v>88.18</v>
      </c>
      <c r="G91" s="131">
        <v>86.17</v>
      </c>
      <c r="H91" s="132">
        <v>49054</v>
      </c>
      <c r="I91" s="133">
        <v>0.62503472222222223</v>
      </c>
      <c r="J91" s="74">
        <f t="shared" si="18"/>
        <v>538</v>
      </c>
      <c r="K91" s="87">
        <f t="shared" si="21"/>
        <v>88.18</v>
      </c>
      <c r="L91" s="81">
        <f t="shared" si="19"/>
        <v>1.5800000000000002E-2</v>
      </c>
      <c r="M91" s="74">
        <f t="shared" si="20"/>
        <v>49054</v>
      </c>
      <c r="N91" s="134">
        <v>88.15</v>
      </c>
      <c r="O91" s="134">
        <v>88.18</v>
      </c>
      <c r="P91" s="134">
        <v>86.31</v>
      </c>
      <c r="Q91" s="73" t="b">
        <f t="shared" si="16"/>
        <v>0</v>
      </c>
    </row>
    <row r="92" spans="1:17">
      <c r="A92" s="124" t="s">
        <v>28</v>
      </c>
      <c r="B92" s="124" t="s">
        <v>1247</v>
      </c>
      <c r="C92" s="126">
        <v>56.94</v>
      </c>
      <c r="D92" s="127">
        <v>2.0999999999999999E-3</v>
      </c>
      <c r="E92" s="129">
        <v>1.43E-2</v>
      </c>
      <c r="F92" s="130">
        <v>57.03</v>
      </c>
      <c r="G92" s="131">
        <v>56.22</v>
      </c>
      <c r="H92" s="132">
        <v>165344</v>
      </c>
      <c r="I92" s="133">
        <v>0.62503472222222223</v>
      </c>
      <c r="J92" s="74">
        <f t="shared" si="18"/>
        <v>651</v>
      </c>
      <c r="K92" s="87">
        <f t="shared" si="21"/>
        <v>56.94</v>
      </c>
      <c r="L92" s="81">
        <f t="shared" si="19"/>
        <v>2.0999999999999999E-3</v>
      </c>
      <c r="M92" s="74">
        <f t="shared" si="20"/>
        <v>165344</v>
      </c>
      <c r="N92" s="134">
        <v>56.93</v>
      </c>
      <c r="O92" s="134">
        <v>56.94</v>
      </c>
      <c r="P92" s="134">
        <v>56.31</v>
      </c>
      <c r="Q92" s="73" t="e">
        <f>A92=#REF!</f>
        <v>#REF!</v>
      </c>
    </row>
    <row r="93" spans="1:17">
      <c r="A93" s="124" t="s">
        <v>94</v>
      </c>
      <c r="B93" s="124" t="s">
        <v>1248</v>
      </c>
      <c r="C93" s="126">
        <v>12.38</v>
      </c>
      <c r="D93" s="128">
        <v>-7.1999999999999998E-3</v>
      </c>
      <c r="E93" s="129">
        <v>1.84E-2</v>
      </c>
      <c r="F93" s="130">
        <v>12.48</v>
      </c>
      <c r="G93" s="131">
        <v>12.25</v>
      </c>
      <c r="H93" s="132">
        <v>22733</v>
      </c>
      <c r="I93" s="133">
        <v>0.62503472222222223</v>
      </c>
      <c r="J93" s="74">
        <f t="shared" si="18"/>
        <v>877</v>
      </c>
      <c r="K93" s="87">
        <f t="shared" si="21"/>
        <v>12.38</v>
      </c>
      <c r="L93" s="81">
        <f t="shared" si="19"/>
        <v>-7.1999999999999998E-3</v>
      </c>
      <c r="M93" s="74">
        <f t="shared" si="20"/>
        <v>22733</v>
      </c>
      <c r="N93" s="134">
        <v>12.37</v>
      </c>
      <c r="O93" s="134">
        <v>12.38</v>
      </c>
      <c r="P93" s="134">
        <v>12.39</v>
      </c>
      <c r="Q93" s="73" t="b">
        <f t="shared" si="16"/>
        <v>0</v>
      </c>
    </row>
    <row r="94" spans="1:17">
      <c r="A94" s="124" t="s">
        <v>139</v>
      </c>
      <c r="B94" s="72" t="s">
        <v>1291</v>
      </c>
      <c r="C94" s="126">
        <v>39.56</v>
      </c>
      <c r="D94" s="128">
        <v>-1.5900000000000001E-2</v>
      </c>
      <c r="E94" s="129">
        <v>2.8400000000000002E-2</v>
      </c>
      <c r="F94" s="130">
        <v>40.619999999999997</v>
      </c>
      <c r="G94" s="131">
        <v>39.479999999999997</v>
      </c>
      <c r="H94" s="132">
        <v>42684</v>
      </c>
      <c r="I94" s="133">
        <v>0.62503472222222223</v>
      </c>
      <c r="J94" s="74">
        <f t="shared" si="18"/>
        <v>895</v>
      </c>
      <c r="K94" s="87">
        <f t="shared" si="21"/>
        <v>39.56</v>
      </c>
      <c r="L94" s="81">
        <f t="shared" si="19"/>
        <v>-1.5900000000000001E-2</v>
      </c>
      <c r="M94" s="74">
        <f t="shared" si="20"/>
        <v>42684</v>
      </c>
      <c r="N94" s="134">
        <v>39.56</v>
      </c>
      <c r="O94" s="134">
        <v>39.57</v>
      </c>
      <c r="P94" s="134">
        <v>40.200000000000003</v>
      </c>
      <c r="Q94" s="73" t="b">
        <f t="shared" si="16"/>
        <v>0</v>
      </c>
    </row>
    <row r="95" spans="1:17">
      <c r="A95" s="124" t="s">
        <v>79</v>
      </c>
      <c r="B95" s="72" t="s">
        <v>1292</v>
      </c>
      <c r="C95" s="126">
        <v>2.98</v>
      </c>
      <c r="D95" s="128">
        <v>-3.3E-3</v>
      </c>
      <c r="E95" s="129">
        <v>0.01</v>
      </c>
      <c r="F95" s="130">
        <v>3</v>
      </c>
      <c r="G95" s="131">
        <v>2.97</v>
      </c>
      <c r="H95" s="132">
        <v>2182</v>
      </c>
      <c r="I95" s="133">
        <v>0.62503472222222223</v>
      </c>
      <c r="J95" s="74">
        <f t="shared" si="18"/>
        <v>937</v>
      </c>
      <c r="K95" s="87">
        <f t="shared" si="21"/>
        <v>2.98</v>
      </c>
      <c r="L95" s="81">
        <f t="shared" si="19"/>
        <v>-3.3E-3</v>
      </c>
      <c r="M95" s="74">
        <f t="shared" si="20"/>
        <v>2182</v>
      </c>
      <c r="N95" s="134">
        <v>2.97</v>
      </c>
      <c r="O95" s="134">
        <v>2.98</v>
      </c>
      <c r="P95" s="134">
        <v>2.98</v>
      </c>
      <c r="Q95" s="73" t="b">
        <f t="shared" si="16"/>
        <v>0</v>
      </c>
    </row>
    <row r="96" spans="1:17">
      <c r="A96" s="124" t="s">
        <v>80</v>
      </c>
      <c r="B96" s="72" t="s">
        <v>252</v>
      </c>
      <c r="C96" s="126">
        <v>3</v>
      </c>
      <c r="D96" s="172">
        <v>0</v>
      </c>
      <c r="E96" s="129">
        <v>0.03</v>
      </c>
      <c r="F96" s="130">
        <v>3.07</v>
      </c>
      <c r="G96" s="131">
        <v>2.98</v>
      </c>
      <c r="H96" s="132">
        <v>2850</v>
      </c>
      <c r="I96" s="133">
        <v>0.62503472222222223</v>
      </c>
      <c r="J96" s="74">
        <f t="shared" si="18"/>
        <v>959</v>
      </c>
      <c r="K96" s="87">
        <f t="shared" si="21"/>
        <v>3</v>
      </c>
      <c r="L96" s="81">
        <f t="shared" si="19"/>
        <v>0</v>
      </c>
      <c r="M96" s="74">
        <f t="shared" si="20"/>
        <v>2850</v>
      </c>
      <c r="N96" s="134">
        <v>2.99</v>
      </c>
      <c r="O96" s="134">
        <v>3</v>
      </c>
      <c r="P96" s="134">
        <v>2.99</v>
      </c>
      <c r="Q96" s="73" t="b">
        <f t="shared" si="16"/>
        <v>0</v>
      </c>
    </row>
    <row r="97" spans="1:17">
      <c r="A97" s="124" t="s">
        <v>95</v>
      </c>
      <c r="B97" s="124" t="s">
        <v>1285</v>
      </c>
      <c r="C97" s="126">
        <v>8.2799999999999994</v>
      </c>
      <c r="D97" s="128">
        <v>-2.3599999999999999E-2</v>
      </c>
      <c r="E97" s="129">
        <v>2.9499999999999998E-2</v>
      </c>
      <c r="F97" s="130">
        <v>8.5299999999999994</v>
      </c>
      <c r="G97" s="131">
        <v>8.2799999999999994</v>
      </c>
      <c r="H97" s="132">
        <v>12766</v>
      </c>
      <c r="I97" s="133">
        <v>0.62503472222222223</v>
      </c>
      <c r="J97" s="132">
        <f t="shared" si="18"/>
        <v>960</v>
      </c>
      <c r="K97" s="87">
        <f t="shared" si="21"/>
        <v>8.2799999999999994</v>
      </c>
      <c r="L97" s="81">
        <f t="shared" si="19"/>
        <v>-2.3599999999999999E-2</v>
      </c>
      <c r="M97" s="74">
        <f t="shared" si="20"/>
        <v>12766</v>
      </c>
      <c r="N97" s="134">
        <v>8.2799999999999994</v>
      </c>
      <c r="O97" s="134">
        <v>8.3800000000000008</v>
      </c>
      <c r="P97" s="134">
        <v>8.4600000000000009</v>
      </c>
      <c r="Q97" s="73" t="b">
        <f t="shared" si="16"/>
        <v>0</v>
      </c>
    </row>
    <row r="98" spans="1:17">
      <c r="A98" s="124" t="s">
        <v>29</v>
      </c>
      <c r="B98" s="124" t="s">
        <v>1346</v>
      </c>
      <c r="C98" s="126">
        <v>22.65</v>
      </c>
      <c r="D98" s="127">
        <v>1.0699999999999999E-2</v>
      </c>
      <c r="E98" s="129">
        <v>3.3500000000000002E-2</v>
      </c>
      <c r="F98" s="130">
        <v>22.86</v>
      </c>
      <c r="G98" s="131">
        <v>22.11</v>
      </c>
      <c r="H98" s="132">
        <v>49638</v>
      </c>
      <c r="I98" s="133">
        <v>0.62503472222222223</v>
      </c>
      <c r="J98" s="132">
        <f t="shared" si="18"/>
        <v>963</v>
      </c>
      <c r="K98" s="87">
        <f t="shared" si="21"/>
        <v>22.65</v>
      </c>
      <c r="L98" s="81">
        <f t="shared" si="19"/>
        <v>1.0699999999999999E-2</v>
      </c>
      <c r="M98" s="74">
        <f t="shared" si="20"/>
        <v>49638</v>
      </c>
      <c r="N98" s="134">
        <v>22.64</v>
      </c>
      <c r="O98" s="134">
        <v>22.65</v>
      </c>
      <c r="P98" s="134">
        <v>22.28</v>
      </c>
      <c r="Q98" s="73" t="b">
        <f t="shared" si="16"/>
        <v>0</v>
      </c>
    </row>
    <row r="99" spans="1:17">
      <c r="A99" s="73" t="s">
        <v>163</v>
      </c>
      <c r="B99" s="73" t="s">
        <v>1347</v>
      </c>
      <c r="C99" s="88">
        <v>30.42</v>
      </c>
      <c r="D99" s="109">
        <v>1.8100000000000002E-2</v>
      </c>
      <c r="E99" s="82">
        <v>3.6799999999999999E-2</v>
      </c>
      <c r="F99" s="110">
        <v>30.88</v>
      </c>
      <c r="G99" s="98">
        <v>29.78</v>
      </c>
      <c r="H99" s="75">
        <v>43465</v>
      </c>
      <c r="I99" s="45">
        <v>0.62503472222222223</v>
      </c>
      <c r="J99" s="132">
        <f t="shared" si="18"/>
        <v>2008</v>
      </c>
      <c r="K99" s="87">
        <f t="shared" si="21"/>
        <v>30.42</v>
      </c>
      <c r="L99" s="81">
        <f t="shared" si="19"/>
        <v>1.8100000000000002E-2</v>
      </c>
      <c r="M99" s="74">
        <f t="shared" si="20"/>
        <v>43465</v>
      </c>
      <c r="N99" s="93">
        <v>30.42</v>
      </c>
      <c r="O99" s="93">
        <v>30.44</v>
      </c>
      <c r="P99" s="93">
        <v>29.88</v>
      </c>
      <c r="Q99" s="73" t="b">
        <f t="shared" si="16"/>
        <v>0</v>
      </c>
    </row>
    <row r="100" spans="1:17">
      <c r="A100" s="73" t="s">
        <v>164</v>
      </c>
      <c r="B100" s="73" t="s">
        <v>1348</v>
      </c>
      <c r="C100" s="88">
        <v>19.7</v>
      </c>
      <c r="D100" s="105">
        <v>-4.0000000000000001E-3</v>
      </c>
      <c r="E100" s="82">
        <v>2.7300000000000001E-2</v>
      </c>
      <c r="F100" s="110">
        <v>19.97</v>
      </c>
      <c r="G100" s="98">
        <v>19.43</v>
      </c>
      <c r="H100" s="75">
        <v>36992</v>
      </c>
      <c r="I100" s="45">
        <v>0.62503472222222223</v>
      </c>
      <c r="J100" s="132">
        <f t="shared" si="18"/>
        <v>2019</v>
      </c>
      <c r="K100" s="87">
        <f t="shared" si="21"/>
        <v>19.7</v>
      </c>
      <c r="L100" s="81">
        <f t="shared" si="19"/>
        <v>-4.0000000000000001E-3</v>
      </c>
      <c r="M100" s="74">
        <f t="shared" si="20"/>
        <v>36992</v>
      </c>
      <c r="N100" s="93">
        <v>19.670000000000002</v>
      </c>
      <c r="O100" s="93">
        <v>19.7</v>
      </c>
      <c r="P100" s="93">
        <v>19.8</v>
      </c>
      <c r="Q100" s="73" t="b">
        <f t="shared" si="16"/>
        <v>0</v>
      </c>
    </row>
    <row r="101" spans="1:17">
      <c r="A101" s="124" t="s">
        <v>68</v>
      </c>
      <c r="B101" s="124" t="s">
        <v>1249</v>
      </c>
      <c r="C101" s="126">
        <v>4.9400000000000004</v>
      </c>
      <c r="D101" s="127">
        <v>1.23E-2</v>
      </c>
      <c r="E101" s="129">
        <v>3.2800000000000003E-2</v>
      </c>
      <c r="F101" s="130">
        <v>4.9800000000000004</v>
      </c>
      <c r="G101" s="131">
        <v>4.82</v>
      </c>
      <c r="H101" s="132">
        <v>30275</v>
      </c>
      <c r="I101" s="133">
        <v>0.62503472222222223</v>
      </c>
      <c r="J101" s="132">
        <f t="shared" si="18"/>
        <v>2027</v>
      </c>
      <c r="K101" s="87">
        <f t="shared" si="21"/>
        <v>4.9400000000000004</v>
      </c>
      <c r="L101" s="81">
        <f t="shared" si="19"/>
        <v>1.23E-2</v>
      </c>
      <c r="M101" s="74">
        <f t="shared" si="20"/>
        <v>30275</v>
      </c>
      <c r="N101" s="134">
        <v>4.93</v>
      </c>
      <c r="O101" s="134">
        <v>4.9400000000000004</v>
      </c>
      <c r="P101" s="134">
        <v>4.8499999999999996</v>
      </c>
      <c r="Q101" s="73" t="b">
        <f t="shared" si="16"/>
        <v>0</v>
      </c>
    </row>
    <row r="102" spans="1:17">
      <c r="A102" s="124" t="s">
        <v>69</v>
      </c>
      <c r="B102" s="124" t="s">
        <v>1293</v>
      </c>
      <c r="C102" s="126">
        <v>67.7</v>
      </c>
      <c r="D102" s="127">
        <v>6.4000000000000003E-3</v>
      </c>
      <c r="E102" s="129">
        <v>2.3800000000000002E-2</v>
      </c>
      <c r="F102" s="130">
        <v>67.78</v>
      </c>
      <c r="G102" s="131">
        <v>66.180000000000007</v>
      </c>
      <c r="H102" s="132">
        <v>11433</v>
      </c>
      <c r="I102" s="133">
        <v>0.62503472222222223</v>
      </c>
      <c r="J102" s="132">
        <f t="shared" si="18"/>
        <v>2032</v>
      </c>
      <c r="K102" s="87">
        <f t="shared" si="21"/>
        <v>67.7</v>
      </c>
      <c r="L102" s="81">
        <f t="shared" si="19"/>
        <v>6.4000000000000003E-3</v>
      </c>
      <c r="M102" s="74">
        <f t="shared" si="20"/>
        <v>11433</v>
      </c>
      <c r="N102" s="134">
        <v>67.680000000000007</v>
      </c>
      <c r="O102" s="134">
        <v>67.7</v>
      </c>
      <c r="P102" s="134">
        <v>66.61</v>
      </c>
      <c r="Q102" s="73" t="b">
        <f t="shared" si="16"/>
        <v>0</v>
      </c>
    </row>
    <row r="103" spans="1:17">
      <c r="A103" s="73" t="s">
        <v>165</v>
      </c>
      <c r="B103" s="73" t="s">
        <v>1349</v>
      </c>
      <c r="C103" s="88">
        <v>22.35</v>
      </c>
      <c r="D103" s="109">
        <v>2.0500000000000001E-2</v>
      </c>
      <c r="E103" s="82">
        <v>5.3900000000000003E-2</v>
      </c>
      <c r="F103" s="110">
        <v>22.86</v>
      </c>
      <c r="G103" s="98">
        <v>21.68</v>
      </c>
      <c r="H103" s="75">
        <v>32256</v>
      </c>
      <c r="I103" s="45">
        <v>0.62503472222222223</v>
      </c>
      <c r="J103" s="132">
        <f t="shared" si="18"/>
        <v>2050</v>
      </c>
      <c r="K103" s="87">
        <f t="shared" si="21"/>
        <v>22.35</v>
      </c>
      <c r="L103" s="81">
        <f t="shared" si="19"/>
        <v>2.0500000000000001E-2</v>
      </c>
      <c r="M103" s="74">
        <f t="shared" si="20"/>
        <v>32256</v>
      </c>
      <c r="N103" s="93">
        <v>22.35</v>
      </c>
      <c r="O103" s="93">
        <v>22.37</v>
      </c>
      <c r="P103" s="93">
        <v>22.07</v>
      </c>
      <c r="Q103" s="73" t="b">
        <f t="shared" si="16"/>
        <v>0</v>
      </c>
    </row>
    <row r="104" spans="1:17">
      <c r="A104" s="124" t="s">
        <v>96</v>
      </c>
      <c r="B104" s="124" t="s">
        <v>1350</v>
      </c>
      <c r="C104" s="126">
        <v>3.96</v>
      </c>
      <c r="D104" s="128">
        <v>-5.0000000000000001E-3</v>
      </c>
      <c r="E104" s="129">
        <v>2.2599999999999999E-2</v>
      </c>
      <c r="F104" s="174">
        <v>3.98</v>
      </c>
      <c r="G104" s="131">
        <v>3.89</v>
      </c>
      <c r="H104" s="132">
        <v>1665</v>
      </c>
      <c r="I104" s="133">
        <v>0.62503472222222223</v>
      </c>
      <c r="J104" s="132">
        <f t="shared" si="18"/>
        <v>2068</v>
      </c>
      <c r="K104" s="87">
        <f t="shared" si="21"/>
        <v>3.96</v>
      </c>
      <c r="L104" s="81">
        <f t="shared" si="19"/>
        <v>-5.0000000000000001E-3</v>
      </c>
      <c r="M104" s="74">
        <f t="shared" si="20"/>
        <v>1665</v>
      </c>
      <c r="N104" s="134">
        <v>3.96</v>
      </c>
      <c r="O104" s="134">
        <v>3.97</v>
      </c>
      <c r="P104" s="134">
        <v>3.98</v>
      </c>
      <c r="Q104" s="73" t="b">
        <f t="shared" si="16"/>
        <v>0</v>
      </c>
    </row>
    <row r="105" spans="1:17">
      <c r="A105" s="124" t="s">
        <v>70</v>
      </c>
      <c r="B105" s="124" t="s">
        <v>1351</v>
      </c>
      <c r="C105" s="126">
        <v>8.5</v>
      </c>
      <c r="D105" s="128">
        <v>-7.0000000000000001E-3</v>
      </c>
      <c r="E105" s="129">
        <v>1.6400000000000001E-2</v>
      </c>
      <c r="F105" s="174">
        <v>8.56</v>
      </c>
      <c r="G105" s="131">
        <v>8.42</v>
      </c>
      <c r="H105" s="132">
        <v>22176</v>
      </c>
      <c r="I105" s="133">
        <v>0.62503472222222223</v>
      </c>
      <c r="J105" s="132">
        <f t="shared" si="18"/>
        <v>2078</v>
      </c>
      <c r="K105" s="87">
        <f t="shared" si="21"/>
        <v>8.5</v>
      </c>
      <c r="L105" s="81">
        <f t="shared" si="19"/>
        <v>-7.0000000000000001E-3</v>
      </c>
      <c r="M105" s="74">
        <f t="shared" si="20"/>
        <v>22176</v>
      </c>
      <c r="N105" s="134">
        <v>8.49</v>
      </c>
      <c r="O105" s="134">
        <v>8.5</v>
      </c>
      <c r="P105" s="134">
        <v>8.5</v>
      </c>
      <c r="Q105" s="73" t="b">
        <f t="shared" si="16"/>
        <v>0</v>
      </c>
    </row>
    <row r="106" spans="1:17">
      <c r="A106" s="124" t="s">
        <v>84</v>
      </c>
      <c r="B106" s="124" t="s">
        <v>1352</v>
      </c>
      <c r="C106" s="126">
        <v>4.45</v>
      </c>
      <c r="D106" s="128">
        <v>-1.77E-2</v>
      </c>
      <c r="E106" s="129">
        <v>1.9900000000000001E-2</v>
      </c>
      <c r="F106" s="130">
        <v>4.54</v>
      </c>
      <c r="G106" s="131">
        <v>4.45</v>
      </c>
      <c r="H106" s="132">
        <v>8170</v>
      </c>
      <c r="I106" s="133">
        <v>0.62503472222222223</v>
      </c>
      <c r="J106" s="132">
        <f t="shared" si="18"/>
        <v>2092</v>
      </c>
      <c r="K106" s="87">
        <f t="shared" si="21"/>
        <v>4.45</v>
      </c>
      <c r="L106" s="81">
        <f t="shared" si="19"/>
        <v>-1.77E-2</v>
      </c>
      <c r="M106" s="74">
        <f t="shared" si="20"/>
        <v>8170</v>
      </c>
      <c r="N106" s="134">
        <v>4.45</v>
      </c>
      <c r="O106" s="134">
        <v>4.49</v>
      </c>
      <c r="P106" s="134">
        <v>4.51</v>
      </c>
      <c r="Q106" s="73" t="b">
        <f t="shared" si="16"/>
        <v>0</v>
      </c>
    </row>
    <row r="107" spans="1:17">
      <c r="A107" s="73" t="s">
        <v>162</v>
      </c>
      <c r="B107" s="73" t="s">
        <v>1353</v>
      </c>
      <c r="C107" s="88">
        <v>25.61</v>
      </c>
      <c r="D107" s="105">
        <v>-8.8999999999999999E-3</v>
      </c>
      <c r="E107" s="82">
        <v>1.7000000000000001E-2</v>
      </c>
      <c r="F107" s="110">
        <v>26.02</v>
      </c>
      <c r="G107" s="98">
        <v>25.58</v>
      </c>
      <c r="H107" s="75">
        <v>57048</v>
      </c>
      <c r="I107" s="45">
        <v>0.62503472222222223</v>
      </c>
      <c r="J107" s="132">
        <f t="shared" si="18"/>
        <v>2142</v>
      </c>
      <c r="K107" s="87">
        <f t="shared" si="21"/>
        <v>25.61</v>
      </c>
      <c r="L107" s="81">
        <f t="shared" si="19"/>
        <v>-8.8999999999999999E-3</v>
      </c>
      <c r="M107" s="74">
        <f t="shared" si="20"/>
        <v>57048</v>
      </c>
      <c r="N107" s="93">
        <v>25.61</v>
      </c>
      <c r="O107" s="93">
        <v>25.62</v>
      </c>
      <c r="P107" s="93">
        <v>25.97</v>
      </c>
      <c r="Q107" s="73" t="b">
        <f t="shared" si="16"/>
        <v>0</v>
      </c>
    </row>
    <row r="108" spans="1:17">
      <c r="A108" s="73" t="s">
        <v>166</v>
      </c>
      <c r="B108" s="73" t="s">
        <v>253</v>
      </c>
      <c r="C108" s="88">
        <v>14.88</v>
      </c>
      <c r="D108" s="109">
        <v>1.2999999999999999E-3</v>
      </c>
      <c r="E108" s="82">
        <v>1.8800000000000001E-2</v>
      </c>
      <c r="F108" s="110">
        <v>14.98</v>
      </c>
      <c r="G108" s="98">
        <v>14.7</v>
      </c>
      <c r="H108" s="75">
        <v>37962</v>
      </c>
      <c r="I108" s="45">
        <v>0.62503472222222223</v>
      </c>
      <c r="J108" s="132">
        <f t="shared" si="18"/>
        <v>2236</v>
      </c>
      <c r="K108" s="87">
        <f t="shared" si="21"/>
        <v>14.88</v>
      </c>
      <c r="L108" s="81">
        <f t="shared" si="19"/>
        <v>1.2999999999999999E-3</v>
      </c>
      <c r="M108" s="74">
        <f t="shared" si="20"/>
        <v>37962</v>
      </c>
      <c r="N108" s="93">
        <v>14.88</v>
      </c>
      <c r="O108" s="93">
        <v>14.89</v>
      </c>
      <c r="P108" s="93">
        <v>14.74</v>
      </c>
      <c r="Q108" s="73" t="b">
        <f t="shared" si="16"/>
        <v>0</v>
      </c>
    </row>
    <row r="109" spans="1:17">
      <c r="A109" s="124" t="s">
        <v>118</v>
      </c>
      <c r="B109" s="124" t="s">
        <v>1354</v>
      </c>
      <c r="C109" s="126">
        <v>20.64</v>
      </c>
      <c r="D109" s="127">
        <v>6.7999999999999996E-3</v>
      </c>
      <c r="E109" s="129">
        <v>3.0700000000000002E-2</v>
      </c>
      <c r="F109" s="130">
        <v>20.93</v>
      </c>
      <c r="G109" s="131">
        <v>20.3</v>
      </c>
      <c r="H109" s="132">
        <v>19369</v>
      </c>
      <c r="I109" s="133">
        <v>0.62503472222222223</v>
      </c>
      <c r="J109" s="132">
        <f t="shared" si="18"/>
        <v>2268</v>
      </c>
      <c r="K109" s="87">
        <f t="shared" si="21"/>
        <v>20.64</v>
      </c>
      <c r="L109" s="81">
        <f t="shared" si="19"/>
        <v>6.7999999999999996E-3</v>
      </c>
      <c r="M109" s="74">
        <f t="shared" si="20"/>
        <v>19369</v>
      </c>
      <c r="N109" s="134">
        <v>20.6</v>
      </c>
      <c r="O109" s="134">
        <v>20.64</v>
      </c>
      <c r="P109" s="134">
        <v>20.36</v>
      </c>
      <c r="Q109" s="73" t="b">
        <f t="shared" si="16"/>
        <v>0</v>
      </c>
    </row>
    <row r="110" spans="1:17">
      <c r="A110" s="124" t="s">
        <v>30</v>
      </c>
      <c r="B110" s="124" t="s">
        <v>1355</v>
      </c>
      <c r="C110" s="126">
        <v>38.549999999999997</v>
      </c>
      <c r="D110" s="127">
        <v>4.19E-2</v>
      </c>
      <c r="E110" s="129">
        <v>5.7799999999999997E-2</v>
      </c>
      <c r="F110" s="130">
        <v>38.56</v>
      </c>
      <c r="G110" s="131">
        <v>36.42</v>
      </c>
      <c r="H110" s="132">
        <v>86363</v>
      </c>
      <c r="I110" s="133">
        <v>0.62503472222222223</v>
      </c>
      <c r="J110" s="132">
        <f t="shared" si="18"/>
        <v>2271</v>
      </c>
      <c r="K110" s="87">
        <f t="shared" si="21"/>
        <v>38.549999999999997</v>
      </c>
      <c r="L110" s="81">
        <f t="shared" si="19"/>
        <v>4.19E-2</v>
      </c>
      <c r="M110" s="74">
        <f t="shared" si="20"/>
        <v>86363</v>
      </c>
      <c r="N110" s="134">
        <v>38.54</v>
      </c>
      <c r="O110" s="134">
        <v>38.549999999999997</v>
      </c>
      <c r="P110" s="134">
        <v>36.9</v>
      </c>
      <c r="Q110" s="73" t="b">
        <f t="shared" si="16"/>
        <v>0</v>
      </c>
    </row>
    <row r="111" spans="1:17">
      <c r="A111" s="124" t="s">
        <v>119</v>
      </c>
      <c r="B111" s="124" t="s">
        <v>1273</v>
      </c>
      <c r="C111" s="126">
        <v>27.35</v>
      </c>
      <c r="D111" s="128">
        <v>-8.3000000000000001E-3</v>
      </c>
      <c r="E111" s="129">
        <v>1.9199999999999998E-2</v>
      </c>
      <c r="F111" s="130">
        <v>27.71</v>
      </c>
      <c r="G111" s="131">
        <v>27.18</v>
      </c>
      <c r="H111" s="132">
        <v>15899</v>
      </c>
      <c r="I111" s="133">
        <v>0.62503472222222223</v>
      </c>
      <c r="J111" s="132">
        <f t="shared" si="18"/>
        <v>2281</v>
      </c>
      <c r="K111" s="87">
        <f t="shared" si="21"/>
        <v>27.35</v>
      </c>
      <c r="L111" s="81">
        <f t="shared" si="19"/>
        <v>-8.3000000000000001E-3</v>
      </c>
      <c r="M111" s="74">
        <f t="shared" si="20"/>
        <v>15899</v>
      </c>
      <c r="N111" s="134">
        <v>27.34</v>
      </c>
      <c r="O111" s="134">
        <v>27.35</v>
      </c>
      <c r="P111" s="134">
        <v>27.38</v>
      </c>
      <c r="Q111" s="73" t="b">
        <f t="shared" si="16"/>
        <v>0</v>
      </c>
    </row>
    <row r="112" spans="1:17">
      <c r="A112" s="73" t="s">
        <v>180</v>
      </c>
      <c r="B112" s="125" t="s">
        <v>1250</v>
      </c>
      <c r="C112" s="88">
        <v>19.93</v>
      </c>
      <c r="D112" s="105">
        <v>-8.9999999999999993E-3</v>
      </c>
      <c r="E112" s="82">
        <v>1.9900000000000001E-2</v>
      </c>
      <c r="F112" s="110">
        <v>20.28</v>
      </c>
      <c r="G112" s="98">
        <v>19.88</v>
      </c>
      <c r="H112" s="75">
        <v>11516</v>
      </c>
      <c r="I112" s="45">
        <v>0.62503472222222223</v>
      </c>
      <c r="J112" s="132">
        <f t="shared" si="18"/>
        <v>2294</v>
      </c>
      <c r="K112" s="87">
        <f t="shared" si="21"/>
        <v>19.93</v>
      </c>
      <c r="L112" s="81">
        <f t="shared" si="19"/>
        <v>-8.9999999999999993E-3</v>
      </c>
      <c r="M112" s="74">
        <f t="shared" si="20"/>
        <v>11516</v>
      </c>
      <c r="N112" s="93">
        <v>19.93</v>
      </c>
      <c r="O112" s="93">
        <v>19.940000000000001</v>
      </c>
      <c r="P112" s="93">
        <v>20.010000000000002</v>
      </c>
      <c r="Q112" s="73" t="b">
        <f t="shared" si="16"/>
        <v>0</v>
      </c>
    </row>
    <row r="113" spans="1:17">
      <c r="A113" s="124" t="s">
        <v>113</v>
      </c>
      <c r="B113" s="124" t="s">
        <v>1356</v>
      </c>
      <c r="C113" s="126">
        <v>105.51</v>
      </c>
      <c r="D113" s="127">
        <v>1.21E-2</v>
      </c>
      <c r="E113" s="129">
        <v>2.06E-2</v>
      </c>
      <c r="F113" s="130">
        <v>105.95</v>
      </c>
      <c r="G113" s="131">
        <v>103.8</v>
      </c>
      <c r="H113" s="132">
        <v>53580</v>
      </c>
      <c r="I113" s="133">
        <v>0.62503472222222223</v>
      </c>
      <c r="J113" s="132">
        <f t="shared" si="18"/>
        <v>2304</v>
      </c>
      <c r="K113" s="87">
        <f t="shared" si="21"/>
        <v>105.51</v>
      </c>
      <c r="L113" s="81">
        <f t="shared" si="19"/>
        <v>1.21E-2</v>
      </c>
      <c r="M113" s="74">
        <f t="shared" si="20"/>
        <v>53580</v>
      </c>
      <c r="N113" s="134">
        <v>105.5</v>
      </c>
      <c r="O113" s="134">
        <v>105.51</v>
      </c>
      <c r="P113" s="134">
        <v>104.01</v>
      </c>
      <c r="Q113" s="73" t="b">
        <f t="shared" si="16"/>
        <v>0</v>
      </c>
    </row>
    <row r="114" spans="1:17">
      <c r="A114" s="73" t="s">
        <v>167</v>
      </c>
      <c r="B114" s="73" t="s">
        <v>254</v>
      </c>
      <c r="C114" s="88">
        <v>11.96</v>
      </c>
      <c r="D114" s="105">
        <v>-4.1999999999999997E-3</v>
      </c>
      <c r="E114" s="82">
        <v>1.4200000000000001E-2</v>
      </c>
      <c r="F114" s="110">
        <v>12.08</v>
      </c>
      <c r="G114" s="98">
        <v>11.91</v>
      </c>
      <c r="H114" s="75">
        <v>6427</v>
      </c>
      <c r="I114" s="45">
        <v>0.62503472222222223</v>
      </c>
      <c r="J114" s="132">
        <f t="shared" si="18"/>
        <v>2372</v>
      </c>
      <c r="K114" s="87">
        <f t="shared" si="21"/>
        <v>11.96</v>
      </c>
      <c r="L114" s="81">
        <f t="shared" si="19"/>
        <v>-4.1999999999999997E-3</v>
      </c>
      <c r="M114" s="74">
        <f t="shared" si="20"/>
        <v>6427</v>
      </c>
      <c r="N114" s="93">
        <v>11.96</v>
      </c>
      <c r="O114" s="93">
        <v>11.98</v>
      </c>
      <c r="P114" s="93">
        <v>12.01</v>
      </c>
      <c r="Q114" s="73" t="b">
        <f t="shared" si="16"/>
        <v>0</v>
      </c>
    </row>
    <row r="115" spans="1:17">
      <c r="A115" s="124" t="s">
        <v>31</v>
      </c>
      <c r="B115" s="124" t="s">
        <v>1251</v>
      </c>
      <c r="C115" s="126">
        <v>27.47</v>
      </c>
      <c r="D115" s="128">
        <v>-8.6999999999999994E-3</v>
      </c>
      <c r="E115" s="129">
        <v>1.95E-2</v>
      </c>
      <c r="F115" s="130">
        <v>27.85</v>
      </c>
      <c r="G115" s="131">
        <v>27.31</v>
      </c>
      <c r="H115" s="132">
        <v>109195</v>
      </c>
      <c r="I115" s="133">
        <v>0.62503472222222223</v>
      </c>
      <c r="J115" s="132">
        <f t="shared" si="18"/>
        <v>2415</v>
      </c>
      <c r="K115" s="87">
        <f t="shared" si="21"/>
        <v>27.47</v>
      </c>
      <c r="L115" s="81">
        <f t="shared" si="19"/>
        <v>-8.6999999999999994E-3</v>
      </c>
      <c r="M115" s="74">
        <f t="shared" si="20"/>
        <v>109195</v>
      </c>
      <c r="N115" s="134">
        <v>27.47</v>
      </c>
      <c r="O115" s="134">
        <v>27.48</v>
      </c>
      <c r="P115" s="134">
        <v>27.75</v>
      </c>
      <c r="Q115" s="73" t="b">
        <f t="shared" si="16"/>
        <v>0</v>
      </c>
    </row>
    <row r="116" spans="1:17">
      <c r="A116" s="124" t="s">
        <v>32</v>
      </c>
      <c r="B116" s="124" t="s">
        <v>1357</v>
      </c>
      <c r="C116" s="126">
        <v>3.52</v>
      </c>
      <c r="D116" s="128" t="s">
        <v>1252</v>
      </c>
      <c r="E116" s="129">
        <v>0</v>
      </c>
      <c r="F116" s="131">
        <v>0</v>
      </c>
      <c r="G116" s="131">
        <v>0</v>
      </c>
      <c r="H116" s="132">
        <v>0</v>
      </c>
      <c r="I116" s="133">
        <v>0.62503472222222223</v>
      </c>
      <c r="J116" s="132">
        <f t="shared" si="18"/>
        <v>2450</v>
      </c>
      <c r="K116" s="87">
        <f t="shared" si="21"/>
        <v>3.52</v>
      </c>
      <c r="L116" s="81" t="str">
        <f t="shared" si="19"/>
        <v>停牌</v>
      </c>
      <c r="M116" s="74">
        <f t="shared" si="20"/>
        <v>0</v>
      </c>
      <c r="N116" s="134">
        <v>0</v>
      </c>
      <c r="O116" s="134">
        <v>0</v>
      </c>
      <c r="P116" s="134">
        <v>0</v>
      </c>
      <c r="Q116" s="73" t="b">
        <f t="shared" si="16"/>
        <v>0</v>
      </c>
    </row>
    <row r="117" spans="1:17">
      <c r="A117" s="124" t="s">
        <v>120</v>
      </c>
      <c r="B117" s="124" t="s">
        <v>224</v>
      </c>
      <c r="C117" s="126">
        <v>23.43</v>
      </c>
      <c r="D117" s="172">
        <v>0</v>
      </c>
      <c r="E117" s="129">
        <v>2.01E-2</v>
      </c>
      <c r="F117" s="130">
        <v>23.52</v>
      </c>
      <c r="G117" s="131">
        <v>23.05</v>
      </c>
      <c r="H117" s="132">
        <v>47325</v>
      </c>
      <c r="I117" s="133">
        <v>0.62503472222222223</v>
      </c>
      <c r="J117" s="132">
        <f t="shared" si="18"/>
        <v>2463</v>
      </c>
      <c r="K117" s="87">
        <f t="shared" si="21"/>
        <v>23.43</v>
      </c>
      <c r="L117" s="81">
        <f t="shared" si="19"/>
        <v>0</v>
      </c>
      <c r="M117" s="74">
        <f t="shared" si="20"/>
        <v>47325</v>
      </c>
      <c r="N117" s="134">
        <v>23.43</v>
      </c>
      <c r="O117" s="134">
        <v>23.44</v>
      </c>
      <c r="P117" s="134">
        <v>23.09</v>
      </c>
      <c r="Q117" s="73" t="b">
        <f t="shared" ref="Q117:Q159" si="22">A117=A118</f>
        <v>0</v>
      </c>
    </row>
    <row r="118" spans="1:17">
      <c r="A118" s="124" t="s">
        <v>33</v>
      </c>
      <c r="B118" s="124" t="s">
        <v>1358</v>
      </c>
      <c r="C118" s="126">
        <v>34.03</v>
      </c>
      <c r="D118" s="128">
        <v>-1.3299999999999999E-2</v>
      </c>
      <c r="E118" s="129">
        <v>3.4799999999999998E-2</v>
      </c>
      <c r="F118" s="131">
        <v>34.380000000000003</v>
      </c>
      <c r="G118" s="131">
        <v>33.18</v>
      </c>
      <c r="H118" s="132">
        <v>52617</v>
      </c>
      <c r="I118" s="133">
        <v>0.62503472222222223</v>
      </c>
      <c r="J118" s="132">
        <f t="shared" si="18"/>
        <v>2508</v>
      </c>
      <c r="K118" s="87">
        <f t="shared" si="21"/>
        <v>34.03</v>
      </c>
      <c r="L118" s="81">
        <f t="shared" si="19"/>
        <v>-1.3299999999999999E-2</v>
      </c>
      <c r="M118" s="74">
        <f t="shared" si="20"/>
        <v>52617</v>
      </c>
      <c r="N118" s="134">
        <v>34.020000000000003</v>
      </c>
      <c r="O118" s="134">
        <v>34.03</v>
      </c>
      <c r="P118" s="134">
        <v>34.020000000000003</v>
      </c>
      <c r="Q118" s="73" t="b">
        <f t="shared" si="22"/>
        <v>0</v>
      </c>
    </row>
    <row r="119" spans="1:17">
      <c r="A119" s="124" t="s">
        <v>89</v>
      </c>
      <c r="B119" s="124" t="s">
        <v>1359</v>
      </c>
      <c r="C119" s="126">
        <v>5.34</v>
      </c>
      <c r="D119" s="127">
        <v>1.9099999999999999E-2</v>
      </c>
      <c r="E119" s="129">
        <v>3.44E-2</v>
      </c>
      <c r="F119" s="130">
        <v>5.36</v>
      </c>
      <c r="G119" s="131">
        <v>5.18</v>
      </c>
      <c r="H119" s="132">
        <v>1446</v>
      </c>
      <c r="I119" s="133">
        <v>0.62503472222222223</v>
      </c>
      <c r="J119" s="132">
        <f t="shared" ref="J119:J150" si="23">RIGHT(A119,6)+0</f>
        <v>2529</v>
      </c>
      <c r="K119" s="87">
        <f t="shared" si="21"/>
        <v>5.34</v>
      </c>
      <c r="L119" s="81">
        <f t="shared" ref="L119:L150" si="24">D119</f>
        <v>1.9099999999999999E-2</v>
      </c>
      <c r="M119" s="74">
        <f t="shared" ref="M119:M150" si="25">H119</f>
        <v>1446</v>
      </c>
      <c r="N119" s="134">
        <v>5.33</v>
      </c>
      <c r="O119" s="134">
        <v>5.34</v>
      </c>
      <c r="P119" s="134">
        <v>5.2</v>
      </c>
      <c r="Q119" s="73" t="b">
        <f t="shared" si="22"/>
        <v>0</v>
      </c>
    </row>
    <row r="120" spans="1:17">
      <c r="A120" s="124" t="s">
        <v>34</v>
      </c>
      <c r="B120" s="124" t="s">
        <v>1360</v>
      </c>
      <c r="C120" s="126">
        <v>5.3</v>
      </c>
      <c r="D120" s="172">
        <v>0</v>
      </c>
      <c r="E120" s="129">
        <v>1.7000000000000001E-2</v>
      </c>
      <c r="F120" s="130">
        <v>5.34</v>
      </c>
      <c r="G120" s="131">
        <v>5.25</v>
      </c>
      <c r="H120" s="132">
        <v>3769</v>
      </c>
      <c r="I120" s="133">
        <v>0.62503472222222223</v>
      </c>
      <c r="J120" s="132">
        <f t="shared" si="23"/>
        <v>2562</v>
      </c>
      <c r="K120" s="87">
        <f t="shared" ref="K120:K151" si="26">C120+0</f>
        <v>5.3</v>
      </c>
      <c r="L120" s="81">
        <f t="shared" si="24"/>
        <v>0</v>
      </c>
      <c r="M120" s="74">
        <f t="shared" si="25"/>
        <v>3769</v>
      </c>
      <c r="N120" s="134">
        <v>5.29</v>
      </c>
      <c r="O120" s="134">
        <v>5.3</v>
      </c>
      <c r="P120" s="134">
        <v>5.27</v>
      </c>
      <c r="Q120" s="73" t="b">
        <f t="shared" si="22"/>
        <v>0</v>
      </c>
    </row>
    <row r="121" spans="1:17">
      <c r="A121" s="124" t="s">
        <v>128</v>
      </c>
      <c r="B121" s="124" t="s">
        <v>1298</v>
      </c>
      <c r="C121" s="126">
        <v>25.85</v>
      </c>
      <c r="D121" s="127">
        <v>7.3999999999999996E-2</v>
      </c>
      <c r="E121" s="129">
        <v>9.5600000000000004E-2</v>
      </c>
      <c r="F121" s="130">
        <v>25.95</v>
      </c>
      <c r="G121" s="131">
        <v>23.65</v>
      </c>
      <c r="H121" s="132">
        <v>47661</v>
      </c>
      <c r="I121" s="133">
        <v>0.62503472222222223</v>
      </c>
      <c r="J121" s="132">
        <f t="shared" si="23"/>
        <v>2572</v>
      </c>
      <c r="K121" s="87">
        <f t="shared" si="26"/>
        <v>25.85</v>
      </c>
      <c r="L121" s="81">
        <f t="shared" si="24"/>
        <v>7.3999999999999996E-2</v>
      </c>
      <c r="M121" s="74">
        <f t="shared" si="25"/>
        <v>47661</v>
      </c>
      <c r="N121" s="134">
        <v>25.84</v>
      </c>
      <c r="O121" s="134">
        <v>25.85</v>
      </c>
      <c r="P121" s="134">
        <v>24.07</v>
      </c>
      <c r="Q121" s="73" t="b">
        <f t="shared" si="22"/>
        <v>0</v>
      </c>
    </row>
    <row r="122" spans="1:17">
      <c r="A122" s="124" t="s">
        <v>131</v>
      </c>
      <c r="B122" s="124" t="s">
        <v>1361</v>
      </c>
      <c r="C122" s="126">
        <v>6.35</v>
      </c>
      <c r="D122" s="127">
        <v>6.3E-3</v>
      </c>
      <c r="E122" s="129">
        <v>4.5999999999999999E-2</v>
      </c>
      <c r="F122" s="130">
        <v>6.52</v>
      </c>
      <c r="G122" s="131">
        <v>6.23</v>
      </c>
      <c r="H122" s="132">
        <v>18936</v>
      </c>
      <c r="I122" s="133">
        <v>0.62503472222222223</v>
      </c>
      <c r="J122" s="132">
        <f t="shared" si="23"/>
        <v>2583</v>
      </c>
      <c r="K122" s="87">
        <f t="shared" si="26"/>
        <v>6.35</v>
      </c>
      <c r="L122" s="81">
        <f t="shared" si="24"/>
        <v>6.3E-3</v>
      </c>
      <c r="M122" s="74">
        <f t="shared" si="25"/>
        <v>18936</v>
      </c>
      <c r="N122" s="134">
        <v>6.34</v>
      </c>
      <c r="O122" s="134">
        <v>6.35</v>
      </c>
      <c r="P122" s="134">
        <v>6.23</v>
      </c>
      <c r="Q122" s="73" t="b">
        <f t="shared" si="22"/>
        <v>0</v>
      </c>
    </row>
    <row r="123" spans="1:17">
      <c r="A123" s="124" t="s">
        <v>149</v>
      </c>
      <c r="B123" s="124" t="s">
        <v>1274</v>
      </c>
      <c r="C123" s="126">
        <v>22.36</v>
      </c>
      <c r="D123" s="128">
        <v>-8.9999999999999998E-4</v>
      </c>
      <c r="E123" s="129">
        <v>1.9199999999999998E-2</v>
      </c>
      <c r="F123" s="130">
        <v>22.63</v>
      </c>
      <c r="G123" s="131">
        <v>22.2</v>
      </c>
      <c r="H123" s="132">
        <v>11376</v>
      </c>
      <c r="I123" s="133">
        <v>0.62503472222222223</v>
      </c>
      <c r="J123" s="132">
        <f t="shared" si="23"/>
        <v>2597</v>
      </c>
      <c r="K123" s="87">
        <f t="shared" si="26"/>
        <v>22.36</v>
      </c>
      <c r="L123" s="81">
        <f t="shared" si="24"/>
        <v>-8.9999999999999998E-4</v>
      </c>
      <c r="M123" s="74">
        <f t="shared" si="25"/>
        <v>11376</v>
      </c>
      <c r="N123" s="134">
        <v>22.35</v>
      </c>
      <c r="O123" s="134">
        <v>22.36</v>
      </c>
      <c r="P123" s="134">
        <v>22.32</v>
      </c>
      <c r="Q123" s="73" t="b">
        <f t="shared" si="22"/>
        <v>0</v>
      </c>
    </row>
    <row r="124" spans="1:17">
      <c r="A124" s="124" t="s">
        <v>35</v>
      </c>
      <c r="B124" s="124" t="s">
        <v>1362</v>
      </c>
      <c r="C124" s="126">
        <v>15.62</v>
      </c>
      <c r="D124" s="128">
        <v>-1.8200000000000001E-2</v>
      </c>
      <c r="E124" s="129">
        <v>3.7100000000000001E-2</v>
      </c>
      <c r="F124" s="130">
        <v>16.18</v>
      </c>
      <c r="G124" s="131">
        <v>15.59</v>
      </c>
      <c r="H124" s="132">
        <v>28368</v>
      </c>
      <c r="I124" s="133">
        <v>0.62503472222222223</v>
      </c>
      <c r="J124" s="132">
        <f t="shared" si="23"/>
        <v>2601</v>
      </c>
      <c r="K124" s="87">
        <f t="shared" si="26"/>
        <v>15.62</v>
      </c>
      <c r="L124" s="81">
        <f t="shared" si="24"/>
        <v>-1.8200000000000001E-2</v>
      </c>
      <c r="M124" s="74">
        <f t="shared" si="25"/>
        <v>28368</v>
      </c>
      <c r="N124" s="134">
        <v>15.62</v>
      </c>
      <c r="O124" s="134">
        <v>15.63</v>
      </c>
      <c r="P124" s="134">
        <v>15.91</v>
      </c>
      <c r="Q124" s="73" t="b">
        <f t="shared" si="22"/>
        <v>0</v>
      </c>
    </row>
    <row r="125" spans="1:17">
      <c r="A125" s="124" t="s">
        <v>142</v>
      </c>
      <c r="B125" s="124" t="s">
        <v>246</v>
      </c>
      <c r="C125" s="126">
        <v>99.509</v>
      </c>
      <c r="D125" s="127">
        <v>1.6999999999999999E-3</v>
      </c>
      <c r="E125" s="129">
        <v>3.0999999999999999E-3</v>
      </c>
      <c r="F125" s="130">
        <v>99.51</v>
      </c>
      <c r="G125" s="131">
        <v>99.2</v>
      </c>
      <c r="H125" s="132">
        <v>21989</v>
      </c>
      <c r="I125" s="133">
        <v>0.69100694444444455</v>
      </c>
      <c r="J125" s="132">
        <f t="shared" si="23"/>
        <v>112188</v>
      </c>
      <c r="K125" s="87">
        <f t="shared" si="26"/>
        <v>99.509</v>
      </c>
      <c r="L125" s="81">
        <f t="shared" si="24"/>
        <v>1.6999999999999999E-3</v>
      </c>
      <c r="M125" s="74">
        <f t="shared" si="25"/>
        <v>21989</v>
      </c>
      <c r="N125" s="134">
        <v>99.501999999999995</v>
      </c>
      <c r="O125" s="134">
        <v>99.51</v>
      </c>
      <c r="P125" s="134">
        <v>99.2</v>
      </c>
      <c r="Q125" s="73" t="b">
        <f t="shared" si="22"/>
        <v>0</v>
      </c>
    </row>
    <row r="126" spans="1:17">
      <c r="A126" s="73" t="s">
        <v>289</v>
      </c>
      <c r="B126" s="73" t="s">
        <v>286</v>
      </c>
      <c r="C126" s="88">
        <v>94.3</v>
      </c>
      <c r="D126" s="109">
        <v>0</v>
      </c>
      <c r="E126" s="82">
        <v>2.0999999999999999E-3</v>
      </c>
      <c r="F126" s="110">
        <v>94.5</v>
      </c>
      <c r="G126" s="110">
        <v>94.3</v>
      </c>
      <c r="H126" s="75">
        <v>9</v>
      </c>
      <c r="I126" s="45">
        <v>0.62503472222222223</v>
      </c>
      <c r="J126" s="75">
        <f t="shared" si="23"/>
        <v>112279</v>
      </c>
      <c r="K126" s="87">
        <f t="shared" si="26"/>
        <v>94.3</v>
      </c>
      <c r="L126" s="81">
        <f t="shared" si="24"/>
        <v>0</v>
      </c>
      <c r="M126" s="74">
        <f t="shared" si="25"/>
        <v>9</v>
      </c>
      <c r="N126" s="93">
        <v>85.06</v>
      </c>
      <c r="O126" s="93">
        <v>94.3</v>
      </c>
      <c r="P126" s="93">
        <v>94.5</v>
      </c>
      <c r="Q126" s="73" t="e">
        <f>A126=#REF!</f>
        <v>#REF!</v>
      </c>
    </row>
    <row r="127" spans="1:17">
      <c r="A127" s="73" t="s">
        <v>700</v>
      </c>
      <c r="B127" s="73" t="s">
        <v>1275</v>
      </c>
      <c r="C127" s="88">
        <v>100.61</v>
      </c>
      <c r="D127" s="109">
        <v>4.5999999999999999E-3</v>
      </c>
      <c r="E127" s="82">
        <v>0.01</v>
      </c>
      <c r="F127" s="110">
        <v>101</v>
      </c>
      <c r="G127" s="98">
        <v>100.001</v>
      </c>
      <c r="H127" s="75">
        <v>309</v>
      </c>
      <c r="I127" s="45">
        <v>0.62503472222222223</v>
      </c>
      <c r="J127" s="75">
        <f t="shared" si="23"/>
        <v>123004</v>
      </c>
      <c r="K127" s="87">
        <f t="shared" si="26"/>
        <v>100.61</v>
      </c>
      <c r="L127" s="81">
        <f t="shared" si="24"/>
        <v>4.5999999999999999E-3</v>
      </c>
      <c r="M127" s="74">
        <f t="shared" si="25"/>
        <v>309</v>
      </c>
      <c r="N127" s="93">
        <v>100.61</v>
      </c>
      <c r="O127" s="93">
        <v>100.74</v>
      </c>
      <c r="P127" s="93">
        <v>100.15</v>
      </c>
      <c r="Q127" s="73" t="e">
        <f>A127=#REF!</f>
        <v>#REF!</v>
      </c>
    </row>
    <row r="128" spans="1:17">
      <c r="A128" s="73" t="s">
        <v>701</v>
      </c>
      <c r="B128" s="73" t="s">
        <v>716</v>
      </c>
      <c r="C128" s="88">
        <v>99.8</v>
      </c>
      <c r="D128" s="109">
        <v>4.5999999999999999E-3</v>
      </c>
      <c r="E128" s="82">
        <v>8.3999999999999995E-3</v>
      </c>
      <c r="F128" s="110">
        <v>100</v>
      </c>
      <c r="G128" s="98">
        <v>99.162000000000006</v>
      </c>
      <c r="H128" s="75">
        <v>277</v>
      </c>
      <c r="I128" s="45">
        <v>0.62503472222222223</v>
      </c>
      <c r="J128" s="75">
        <f t="shared" si="23"/>
        <v>123023</v>
      </c>
      <c r="K128" s="87">
        <f t="shared" si="26"/>
        <v>99.8</v>
      </c>
      <c r="L128" s="81">
        <f t="shared" si="24"/>
        <v>4.5999999999999999E-3</v>
      </c>
      <c r="M128" s="74">
        <f t="shared" si="25"/>
        <v>277</v>
      </c>
      <c r="N128" s="93">
        <v>99.8</v>
      </c>
      <c r="O128" s="93">
        <v>99.801000000000002</v>
      </c>
      <c r="P128" s="93">
        <v>99.7</v>
      </c>
      <c r="Q128" s="73" t="b">
        <f t="shared" si="22"/>
        <v>0</v>
      </c>
    </row>
    <row r="129" spans="1:17">
      <c r="A129" s="73" t="s">
        <v>702</v>
      </c>
      <c r="B129" s="73" t="s">
        <v>1363</v>
      </c>
      <c r="C129" s="88">
        <v>103.6</v>
      </c>
      <c r="D129" s="105">
        <v>-1.9E-3</v>
      </c>
      <c r="E129" s="82">
        <v>4.7999999999999996E-3</v>
      </c>
      <c r="F129" s="154">
        <v>103.8</v>
      </c>
      <c r="G129" s="98">
        <v>103.3</v>
      </c>
      <c r="H129" s="75">
        <v>266</v>
      </c>
      <c r="I129" s="45">
        <v>0.62503472222222223</v>
      </c>
      <c r="J129" s="75">
        <f t="shared" si="23"/>
        <v>123024</v>
      </c>
      <c r="K129" s="87">
        <f t="shared" si="26"/>
        <v>103.6</v>
      </c>
      <c r="L129" s="81">
        <f t="shared" si="24"/>
        <v>-1.9E-3</v>
      </c>
      <c r="M129" s="74">
        <f t="shared" si="25"/>
        <v>266</v>
      </c>
      <c r="N129" s="93">
        <v>103.45</v>
      </c>
      <c r="O129" s="93">
        <v>103.6</v>
      </c>
      <c r="P129" s="93">
        <v>103.601</v>
      </c>
      <c r="Q129" s="73" t="b">
        <f t="shared" si="22"/>
        <v>0</v>
      </c>
    </row>
    <row r="130" spans="1:17">
      <c r="A130" s="73" t="s">
        <v>703</v>
      </c>
      <c r="B130" s="73" t="s">
        <v>1364</v>
      </c>
      <c r="C130" s="88">
        <v>109.9</v>
      </c>
      <c r="D130" s="109">
        <v>1.0999999999999999E-2</v>
      </c>
      <c r="E130" s="82">
        <v>1.9E-2</v>
      </c>
      <c r="F130" s="110">
        <v>110.161</v>
      </c>
      <c r="G130" s="98">
        <v>108.1</v>
      </c>
      <c r="H130" s="75">
        <v>452</v>
      </c>
      <c r="I130" s="45">
        <v>0.62503472222222223</v>
      </c>
      <c r="J130" s="75">
        <f t="shared" si="23"/>
        <v>123026</v>
      </c>
      <c r="K130" s="87">
        <f t="shared" si="26"/>
        <v>109.9</v>
      </c>
      <c r="L130" s="81">
        <f t="shared" si="24"/>
        <v>1.0999999999999999E-2</v>
      </c>
      <c r="M130" s="74">
        <f t="shared" si="25"/>
        <v>452</v>
      </c>
      <c r="N130" s="93">
        <v>109.9</v>
      </c>
      <c r="O130" s="93">
        <v>109.91</v>
      </c>
      <c r="P130" s="93">
        <v>108.1</v>
      </c>
      <c r="Q130" s="73" t="b">
        <f t="shared" si="22"/>
        <v>0</v>
      </c>
    </row>
    <row r="131" spans="1:17">
      <c r="A131" s="73" t="s">
        <v>704</v>
      </c>
      <c r="B131" s="73" t="s">
        <v>1365</v>
      </c>
      <c r="C131" s="88">
        <v>106.38</v>
      </c>
      <c r="D131" s="109">
        <v>1.6000000000000001E-3</v>
      </c>
      <c r="E131" s="82">
        <v>1.2200000000000001E-2</v>
      </c>
      <c r="F131" s="110">
        <v>106.81</v>
      </c>
      <c r="G131" s="98">
        <v>105.511</v>
      </c>
      <c r="H131" s="75">
        <v>159</v>
      </c>
      <c r="I131" s="45">
        <v>0.62503472222222223</v>
      </c>
      <c r="J131" s="75">
        <f t="shared" si="23"/>
        <v>123028</v>
      </c>
      <c r="K131" s="87">
        <f t="shared" si="26"/>
        <v>106.38</v>
      </c>
      <c r="L131" s="81">
        <f t="shared" si="24"/>
        <v>1.6000000000000001E-3</v>
      </c>
      <c r="M131" s="74">
        <f t="shared" si="25"/>
        <v>159</v>
      </c>
      <c r="N131" s="93">
        <v>106.38</v>
      </c>
      <c r="O131" s="93">
        <v>106.43</v>
      </c>
      <c r="P131" s="93">
        <v>105.55</v>
      </c>
      <c r="Q131" s="73" t="b">
        <f t="shared" si="22"/>
        <v>0</v>
      </c>
    </row>
    <row r="132" spans="1:17">
      <c r="A132" s="73" t="s">
        <v>705</v>
      </c>
      <c r="B132" s="73" t="s">
        <v>717</v>
      </c>
      <c r="C132" s="88">
        <v>118.68</v>
      </c>
      <c r="D132" s="109">
        <v>1.9E-3</v>
      </c>
      <c r="E132" s="82">
        <v>1.46E-2</v>
      </c>
      <c r="F132" s="110">
        <v>119.44</v>
      </c>
      <c r="G132" s="98">
        <v>117.709</v>
      </c>
      <c r="H132" s="75">
        <v>4737</v>
      </c>
      <c r="I132" s="45">
        <v>0.62503472222222223</v>
      </c>
      <c r="J132" s="75">
        <f t="shared" si="23"/>
        <v>123030</v>
      </c>
      <c r="K132" s="87">
        <f t="shared" si="26"/>
        <v>118.68</v>
      </c>
      <c r="L132" s="81">
        <f t="shared" si="24"/>
        <v>1.9E-3</v>
      </c>
      <c r="M132" s="74">
        <f t="shared" si="25"/>
        <v>4737</v>
      </c>
      <c r="N132" s="93">
        <v>118.68</v>
      </c>
      <c r="O132" s="93">
        <v>118.69199999999999</v>
      </c>
      <c r="P132" s="93">
        <v>118.01</v>
      </c>
      <c r="Q132" s="73" t="b">
        <f t="shared" si="22"/>
        <v>0</v>
      </c>
    </row>
    <row r="133" spans="1:17">
      <c r="A133" s="73" t="s">
        <v>706</v>
      </c>
      <c r="B133" s="73" t="s">
        <v>1366</v>
      </c>
      <c r="C133" s="88">
        <v>114.65</v>
      </c>
      <c r="D133" s="105">
        <v>-5.4000000000000003E-3</v>
      </c>
      <c r="E133" s="82">
        <v>2.01E-2</v>
      </c>
      <c r="F133" s="110">
        <v>116.2</v>
      </c>
      <c r="G133" s="98">
        <v>113.88</v>
      </c>
      <c r="H133" s="75">
        <v>12614</v>
      </c>
      <c r="I133" s="45">
        <v>0.62503472222222223</v>
      </c>
      <c r="J133" s="75">
        <f t="shared" si="23"/>
        <v>123032</v>
      </c>
      <c r="K133" s="87">
        <f t="shared" si="26"/>
        <v>114.65</v>
      </c>
      <c r="L133" s="81">
        <f t="shared" si="24"/>
        <v>-5.4000000000000003E-3</v>
      </c>
      <c r="M133" s="74">
        <f t="shared" si="25"/>
        <v>12614</v>
      </c>
      <c r="N133" s="93">
        <v>114.6</v>
      </c>
      <c r="O133" s="93">
        <v>114.65</v>
      </c>
      <c r="P133" s="93">
        <v>114</v>
      </c>
      <c r="Q133" s="73" t="b">
        <f t="shared" si="22"/>
        <v>0</v>
      </c>
    </row>
    <row r="134" spans="1:17">
      <c r="A134" s="73" t="s">
        <v>707</v>
      </c>
      <c r="B134" s="73" t="s">
        <v>1367</v>
      </c>
      <c r="C134" s="88">
        <v>149.87700000000001</v>
      </c>
      <c r="D134" s="105">
        <v>-3.1800000000000002E-2</v>
      </c>
      <c r="E134" s="82">
        <v>4.7E-2</v>
      </c>
      <c r="F134" s="110">
        <v>156.35</v>
      </c>
      <c r="G134" s="98">
        <v>149.07</v>
      </c>
      <c r="H134" s="75">
        <v>32754</v>
      </c>
      <c r="I134" s="45">
        <v>0.62503472222222223</v>
      </c>
      <c r="J134" s="75">
        <f t="shared" si="23"/>
        <v>123034</v>
      </c>
      <c r="K134" s="87">
        <f t="shared" si="26"/>
        <v>149.87700000000001</v>
      </c>
      <c r="L134" s="81">
        <f t="shared" si="24"/>
        <v>-3.1800000000000002E-2</v>
      </c>
      <c r="M134" s="74">
        <f t="shared" si="25"/>
        <v>32754</v>
      </c>
      <c r="N134" s="93">
        <v>149.87</v>
      </c>
      <c r="O134" s="93">
        <v>149.87700000000001</v>
      </c>
      <c r="P134" s="93">
        <v>153.19999999999999</v>
      </c>
      <c r="Q134" s="73" t="b">
        <f t="shared" si="22"/>
        <v>0</v>
      </c>
    </row>
    <row r="135" spans="1:17">
      <c r="A135" s="73" t="s">
        <v>267</v>
      </c>
      <c r="B135" s="73" t="s">
        <v>1253</v>
      </c>
      <c r="C135" s="88">
        <v>215</v>
      </c>
      <c r="D135" s="105">
        <v>-5.7000000000000002E-2</v>
      </c>
      <c r="E135" s="82">
        <v>6.8500000000000005E-2</v>
      </c>
      <c r="F135" s="110">
        <v>229.6</v>
      </c>
      <c r="G135" s="98">
        <v>213.98</v>
      </c>
      <c r="H135" s="75">
        <v>82658</v>
      </c>
      <c r="I135" s="45">
        <v>0.62503472222222223</v>
      </c>
      <c r="J135" s="75">
        <f t="shared" si="23"/>
        <v>127004</v>
      </c>
      <c r="K135" s="87">
        <f t="shared" si="26"/>
        <v>215</v>
      </c>
      <c r="L135" s="81">
        <f t="shared" si="24"/>
        <v>-5.7000000000000002E-2</v>
      </c>
      <c r="M135" s="74">
        <f t="shared" si="25"/>
        <v>82658</v>
      </c>
      <c r="N135" s="93">
        <v>215</v>
      </c>
      <c r="O135" s="93">
        <v>215.01</v>
      </c>
      <c r="P135" s="93">
        <v>223.5</v>
      </c>
      <c r="Q135" s="73" t="e">
        <f>A135=#REF!</f>
        <v>#REF!</v>
      </c>
    </row>
    <row r="136" spans="1:17">
      <c r="A136" s="73" t="s">
        <v>708</v>
      </c>
      <c r="B136" s="73" t="s">
        <v>697</v>
      </c>
      <c r="C136" s="88">
        <v>105.654</v>
      </c>
      <c r="D136" s="109">
        <v>2.5000000000000001E-3</v>
      </c>
      <c r="E136" s="82">
        <v>4.7000000000000002E-3</v>
      </c>
      <c r="F136" s="110">
        <v>105.7</v>
      </c>
      <c r="G136" s="98">
        <v>105.2</v>
      </c>
      <c r="H136" s="75">
        <v>275</v>
      </c>
      <c r="I136" s="45">
        <v>0.62503472222222223</v>
      </c>
      <c r="J136" s="75">
        <f t="shared" si="23"/>
        <v>128010</v>
      </c>
      <c r="K136" s="87">
        <f t="shared" si="26"/>
        <v>105.654</v>
      </c>
      <c r="L136" s="81">
        <f t="shared" si="24"/>
        <v>2.5000000000000001E-3</v>
      </c>
      <c r="M136" s="74">
        <f t="shared" si="25"/>
        <v>275</v>
      </c>
      <c r="N136" s="93">
        <v>105.504</v>
      </c>
      <c r="O136" s="93">
        <v>105.654</v>
      </c>
      <c r="P136" s="93">
        <v>105.495</v>
      </c>
      <c r="Q136" s="73" t="e">
        <f>A136=#REF!</f>
        <v>#REF!</v>
      </c>
    </row>
    <row r="137" spans="1:17">
      <c r="A137" s="73" t="s">
        <v>268</v>
      </c>
      <c r="B137" s="73" t="s">
        <v>718</v>
      </c>
      <c r="C137" s="88">
        <v>99.998999999999995</v>
      </c>
      <c r="D137" s="105" t="s">
        <v>1252</v>
      </c>
      <c r="E137" s="82">
        <v>0</v>
      </c>
      <c r="F137" s="98">
        <v>0</v>
      </c>
      <c r="G137" s="98">
        <v>0</v>
      </c>
      <c r="H137" s="75">
        <v>0</v>
      </c>
      <c r="I137" s="45">
        <v>0.62503472222222223</v>
      </c>
      <c r="J137" s="75">
        <f t="shared" si="23"/>
        <v>128012</v>
      </c>
      <c r="K137" s="87">
        <f t="shared" si="26"/>
        <v>99.998999999999995</v>
      </c>
      <c r="L137" s="81" t="str">
        <f t="shared" si="24"/>
        <v>停牌</v>
      </c>
      <c r="M137" s="74">
        <f t="shared" si="25"/>
        <v>0</v>
      </c>
      <c r="N137" s="93">
        <v>0</v>
      </c>
      <c r="O137" s="93">
        <v>0</v>
      </c>
      <c r="P137" s="93">
        <v>0</v>
      </c>
      <c r="Q137" s="73" t="e">
        <f>A137=#REF!</f>
        <v>#REF!</v>
      </c>
    </row>
    <row r="138" spans="1:17">
      <c r="A138" s="73" t="s">
        <v>269</v>
      </c>
      <c r="B138" s="73" t="s">
        <v>1276</v>
      </c>
      <c r="C138" s="88">
        <v>101.571</v>
      </c>
      <c r="D138" s="109">
        <v>1.9E-3</v>
      </c>
      <c r="E138" s="82">
        <v>3.2000000000000002E-3</v>
      </c>
      <c r="F138" s="110">
        <v>101.68</v>
      </c>
      <c r="G138" s="98">
        <v>101.351</v>
      </c>
      <c r="H138" s="75">
        <v>458</v>
      </c>
      <c r="I138" s="45">
        <v>0.62503472222222223</v>
      </c>
      <c r="J138" s="75">
        <f t="shared" si="23"/>
        <v>128013</v>
      </c>
      <c r="K138" s="87">
        <f t="shared" si="26"/>
        <v>101.571</v>
      </c>
      <c r="L138" s="81">
        <f t="shared" si="24"/>
        <v>1.9E-3</v>
      </c>
      <c r="M138" s="74">
        <f t="shared" si="25"/>
        <v>458</v>
      </c>
      <c r="N138" s="93">
        <v>101.571</v>
      </c>
      <c r="O138" s="93">
        <v>101.572</v>
      </c>
      <c r="P138" s="93">
        <v>101.38</v>
      </c>
      <c r="Q138" s="73" t="e">
        <f>A138=#REF!</f>
        <v>#REF!</v>
      </c>
    </row>
    <row r="139" spans="1:17">
      <c r="A139" s="73" t="s">
        <v>709</v>
      </c>
      <c r="B139" s="73" t="s">
        <v>1368</v>
      </c>
      <c r="C139" s="88">
        <v>103.098</v>
      </c>
      <c r="D139" s="109">
        <v>1E-3</v>
      </c>
      <c r="E139" s="82">
        <v>6.4000000000000003E-3</v>
      </c>
      <c r="F139" s="110">
        <v>103.20699999999999</v>
      </c>
      <c r="G139" s="98">
        <v>102.54300000000001</v>
      </c>
      <c r="H139" s="75">
        <v>171</v>
      </c>
      <c r="I139" s="45">
        <v>0.62503472222222223</v>
      </c>
      <c r="J139" s="75">
        <f t="shared" si="23"/>
        <v>128014</v>
      </c>
      <c r="K139" s="87">
        <f t="shared" si="26"/>
        <v>103.098</v>
      </c>
      <c r="L139" s="81">
        <f t="shared" si="24"/>
        <v>1E-3</v>
      </c>
      <c r="M139" s="74">
        <f t="shared" si="25"/>
        <v>171</v>
      </c>
      <c r="N139" s="93">
        <v>103</v>
      </c>
      <c r="O139" s="93">
        <v>103.098</v>
      </c>
      <c r="P139" s="93">
        <v>102.7</v>
      </c>
      <c r="Q139" s="73" t="e">
        <f>A139=#REF!</f>
        <v>#REF!</v>
      </c>
    </row>
    <row r="140" spans="1:17">
      <c r="A140" s="73" t="s">
        <v>270</v>
      </c>
      <c r="B140" s="73" t="s">
        <v>1369</v>
      </c>
      <c r="C140" s="88">
        <v>102.21</v>
      </c>
      <c r="D140" s="109">
        <v>5.4999999999999997E-3</v>
      </c>
      <c r="E140" s="82">
        <v>2.4400000000000002E-2</v>
      </c>
      <c r="F140" s="110">
        <v>103.31</v>
      </c>
      <c r="G140" s="98">
        <v>100.82899999999999</v>
      </c>
      <c r="H140" s="75">
        <v>3411</v>
      </c>
      <c r="I140" s="45">
        <v>0.62503472222222223</v>
      </c>
      <c r="J140" s="75">
        <f t="shared" si="23"/>
        <v>128015</v>
      </c>
      <c r="K140" s="87">
        <f t="shared" si="26"/>
        <v>102.21</v>
      </c>
      <c r="L140" s="81">
        <f t="shared" si="24"/>
        <v>5.4999999999999997E-3</v>
      </c>
      <c r="M140" s="74">
        <f t="shared" si="25"/>
        <v>3411</v>
      </c>
      <c r="N140" s="93">
        <v>102.21</v>
      </c>
      <c r="O140" s="93">
        <v>102.29900000000001</v>
      </c>
      <c r="P140" s="93">
        <v>101.06</v>
      </c>
      <c r="Q140" s="73" t="e">
        <f>A140=#REF!</f>
        <v>#REF!</v>
      </c>
    </row>
    <row r="141" spans="1:17">
      <c r="A141" s="73" t="s">
        <v>271</v>
      </c>
      <c r="B141" s="73" t="s">
        <v>1370</v>
      </c>
      <c r="C141" s="88">
        <v>100.2</v>
      </c>
      <c r="D141" s="109">
        <v>3.0999999999999999E-3</v>
      </c>
      <c r="E141" s="82">
        <v>1.2800000000000001E-2</v>
      </c>
      <c r="F141" s="110">
        <v>100.79900000000001</v>
      </c>
      <c r="G141" s="98">
        <v>99.521000000000001</v>
      </c>
      <c r="H141" s="75">
        <v>1230</v>
      </c>
      <c r="I141" s="45">
        <v>0.62503472222222223</v>
      </c>
      <c r="J141" s="75">
        <f t="shared" si="23"/>
        <v>128018</v>
      </c>
      <c r="K141" s="87">
        <f t="shared" si="26"/>
        <v>100.2</v>
      </c>
      <c r="L141" s="81">
        <f t="shared" si="24"/>
        <v>3.0999999999999999E-3</v>
      </c>
      <c r="M141" s="74">
        <f t="shared" si="25"/>
        <v>1230</v>
      </c>
      <c r="N141" s="93">
        <v>99.944999999999993</v>
      </c>
      <c r="O141" s="93">
        <v>100.2</v>
      </c>
      <c r="P141" s="93">
        <v>99.521000000000001</v>
      </c>
      <c r="Q141" s="73" t="e">
        <f>A141=#REF!</f>
        <v>#REF!</v>
      </c>
    </row>
    <row r="142" spans="1:17">
      <c r="A142" s="73" t="s">
        <v>710</v>
      </c>
      <c r="B142" s="73" t="s">
        <v>1371</v>
      </c>
      <c r="C142" s="88">
        <v>108.46</v>
      </c>
      <c r="D142" s="109">
        <v>3.2000000000000001E-2</v>
      </c>
      <c r="E142" s="82">
        <v>4.24E-2</v>
      </c>
      <c r="F142" s="110">
        <v>109</v>
      </c>
      <c r="G142" s="98">
        <v>104.54300000000001</v>
      </c>
      <c r="H142" s="75">
        <v>11425</v>
      </c>
      <c r="I142" s="45">
        <v>0.62503472222222223</v>
      </c>
      <c r="J142" s="75">
        <f t="shared" si="23"/>
        <v>128022</v>
      </c>
      <c r="K142" s="87">
        <f t="shared" si="26"/>
        <v>108.46</v>
      </c>
      <c r="L142" s="81">
        <f t="shared" si="24"/>
        <v>3.2000000000000001E-2</v>
      </c>
      <c r="M142" s="74">
        <f t="shared" si="25"/>
        <v>11425</v>
      </c>
      <c r="N142" s="93">
        <v>108.4</v>
      </c>
      <c r="O142" s="93">
        <v>108.46</v>
      </c>
      <c r="P142" s="93">
        <v>104.98</v>
      </c>
      <c r="Q142" s="73" t="e">
        <f>A142=#REF!</f>
        <v>#REF!</v>
      </c>
    </row>
    <row r="143" spans="1:17">
      <c r="A143" s="73" t="s">
        <v>272</v>
      </c>
      <c r="B143" s="73" t="s">
        <v>1372</v>
      </c>
      <c r="C143" s="88">
        <v>99</v>
      </c>
      <c r="D143" s="109">
        <v>1.6400000000000001E-2</v>
      </c>
      <c r="E143" s="82">
        <v>1.6299999999999999E-2</v>
      </c>
      <c r="F143" s="110">
        <v>99</v>
      </c>
      <c r="G143" s="110">
        <v>97.414000000000001</v>
      </c>
      <c r="H143" s="75">
        <v>815</v>
      </c>
      <c r="I143" s="45">
        <v>0.62503472222222223</v>
      </c>
      <c r="J143" s="75">
        <f t="shared" si="23"/>
        <v>128023</v>
      </c>
      <c r="K143" s="87">
        <f t="shared" si="26"/>
        <v>99</v>
      </c>
      <c r="L143" s="81">
        <f t="shared" si="24"/>
        <v>1.6400000000000001E-2</v>
      </c>
      <c r="M143" s="74">
        <f t="shared" si="25"/>
        <v>815</v>
      </c>
      <c r="N143" s="93">
        <v>98.697999999999993</v>
      </c>
      <c r="O143" s="93">
        <v>99</v>
      </c>
      <c r="P143" s="93">
        <v>97.5</v>
      </c>
      <c r="Q143" s="73" t="e">
        <f>A143=#REF!</f>
        <v>#REF!</v>
      </c>
    </row>
    <row r="144" spans="1:17">
      <c r="A144" s="73" t="s">
        <v>273</v>
      </c>
      <c r="B144" s="73" t="s">
        <v>1373</v>
      </c>
      <c r="C144" s="88">
        <v>101.19</v>
      </c>
      <c r="D144" s="109">
        <v>1.9E-3</v>
      </c>
      <c r="E144" s="82">
        <v>9.9000000000000008E-3</v>
      </c>
      <c r="F144" s="110">
        <v>101.6</v>
      </c>
      <c r="G144" s="98">
        <v>100.6</v>
      </c>
      <c r="H144" s="75">
        <v>857</v>
      </c>
      <c r="I144" s="45">
        <v>0.62503472222222223</v>
      </c>
      <c r="J144" s="75">
        <f t="shared" si="23"/>
        <v>128026</v>
      </c>
      <c r="K144" s="87">
        <f t="shared" si="26"/>
        <v>101.19</v>
      </c>
      <c r="L144" s="81">
        <f t="shared" si="24"/>
        <v>1.9E-3</v>
      </c>
      <c r="M144" s="74">
        <f t="shared" si="25"/>
        <v>857</v>
      </c>
      <c r="N144" s="93">
        <v>101.13</v>
      </c>
      <c r="O144" s="93">
        <v>101.19</v>
      </c>
      <c r="P144" s="93">
        <v>100.6</v>
      </c>
      <c r="Q144" s="73" t="e">
        <f>A144=#REF!</f>
        <v>#REF!</v>
      </c>
    </row>
    <row r="145" spans="1:17">
      <c r="A145" s="73" t="s">
        <v>274</v>
      </c>
      <c r="B145" s="73" t="s">
        <v>1374</v>
      </c>
      <c r="C145" s="88">
        <v>99.885000000000005</v>
      </c>
      <c r="D145" s="109">
        <v>7.0000000000000001E-3</v>
      </c>
      <c r="E145" s="82">
        <v>8.8999999999999999E-3</v>
      </c>
      <c r="F145" s="110">
        <v>99.885000000000005</v>
      </c>
      <c r="G145" s="98">
        <v>99</v>
      </c>
      <c r="H145" s="75">
        <v>569</v>
      </c>
      <c r="I145" s="45">
        <v>0.62503472222222223</v>
      </c>
      <c r="J145" s="75">
        <f t="shared" si="23"/>
        <v>128032</v>
      </c>
      <c r="K145" s="87">
        <f t="shared" si="26"/>
        <v>99.885000000000005</v>
      </c>
      <c r="L145" s="81">
        <f t="shared" si="24"/>
        <v>7.0000000000000001E-3</v>
      </c>
      <c r="M145" s="74">
        <f t="shared" si="25"/>
        <v>569</v>
      </c>
      <c r="N145" s="93">
        <v>99.8</v>
      </c>
      <c r="O145" s="93">
        <v>99.887</v>
      </c>
      <c r="P145" s="93">
        <v>99.19</v>
      </c>
      <c r="Q145" s="73" t="b">
        <f t="shared" si="22"/>
        <v>0</v>
      </c>
    </row>
    <row r="146" spans="1:17">
      <c r="A146" s="73" t="s">
        <v>275</v>
      </c>
      <c r="B146" s="73" t="s">
        <v>1375</v>
      </c>
      <c r="C146" s="88">
        <v>100.199</v>
      </c>
      <c r="D146" s="109">
        <v>7.6E-3</v>
      </c>
      <c r="E146" s="82">
        <v>7.7999999999999996E-3</v>
      </c>
      <c r="F146" s="110">
        <v>100.279</v>
      </c>
      <c r="G146" s="110">
        <v>99.5</v>
      </c>
      <c r="H146" s="75">
        <v>105</v>
      </c>
      <c r="I146" s="45">
        <v>0.62503472222222223</v>
      </c>
      <c r="J146" s="75">
        <f t="shared" si="23"/>
        <v>128037</v>
      </c>
      <c r="K146" s="87">
        <f t="shared" si="26"/>
        <v>100.199</v>
      </c>
      <c r="L146" s="81">
        <f t="shared" si="24"/>
        <v>7.6E-3</v>
      </c>
      <c r="M146" s="74">
        <f t="shared" si="25"/>
        <v>105</v>
      </c>
      <c r="N146" s="93">
        <v>100.131</v>
      </c>
      <c r="O146" s="93">
        <v>100.199</v>
      </c>
      <c r="P146" s="93">
        <v>99.63</v>
      </c>
      <c r="Q146" s="73" t="b">
        <f t="shared" si="22"/>
        <v>0</v>
      </c>
    </row>
    <row r="147" spans="1:17">
      <c r="A147" s="73" t="s">
        <v>711</v>
      </c>
      <c r="B147" s="73" t="s">
        <v>1299</v>
      </c>
      <c r="C147" s="88">
        <v>106.5</v>
      </c>
      <c r="D147" s="109">
        <v>8.0000000000000004E-4</v>
      </c>
      <c r="E147" s="82">
        <v>1.17E-2</v>
      </c>
      <c r="F147" s="110">
        <v>106.848</v>
      </c>
      <c r="G147" s="98">
        <v>105.60299999999999</v>
      </c>
      <c r="H147" s="75">
        <v>142</v>
      </c>
      <c r="I147" s="45">
        <v>0.62503472222222223</v>
      </c>
      <c r="J147" s="75">
        <f t="shared" si="23"/>
        <v>128049</v>
      </c>
      <c r="K147" s="87">
        <f t="shared" si="26"/>
        <v>106.5</v>
      </c>
      <c r="L147" s="81">
        <f t="shared" si="24"/>
        <v>8.0000000000000004E-4</v>
      </c>
      <c r="M147" s="74">
        <f t="shared" si="25"/>
        <v>142</v>
      </c>
      <c r="N147" s="93">
        <v>106.477</v>
      </c>
      <c r="O147" s="93">
        <v>106.5</v>
      </c>
      <c r="P147" s="93">
        <v>105.60299999999999</v>
      </c>
      <c r="Q147" s="73" t="b">
        <f t="shared" si="22"/>
        <v>0</v>
      </c>
    </row>
    <row r="148" spans="1:17">
      <c r="A148" s="73" t="s">
        <v>712</v>
      </c>
      <c r="B148" s="73" t="s">
        <v>1376</v>
      </c>
      <c r="C148" s="88">
        <v>197.001</v>
      </c>
      <c r="D148" s="105">
        <v>-1.4999999999999999E-2</v>
      </c>
      <c r="E148" s="82">
        <v>3.5499999999999997E-2</v>
      </c>
      <c r="F148" s="110">
        <v>203.6</v>
      </c>
      <c r="G148" s="98">
        <v>196.5</v>
      </c>
      <c r="H148" s="75">
        <v>90076</v>
      </c>
      <c r="I148" s="45">
        <v>0.62503472222222223</v>
      </c>
      <c r="J148" s="75">
        <f t="shared" si="23"/>
        <v>128053</v>
      </c>
      <c r="K148" s="87">
        <f t="shared" si="26"/>
        <v>197.001</v>
      </c>
      <c r="L148" s="81">
        <f t="shared" si="24"/>
        <v>-1.4999999999999999E-2</v>
      </c>
      <c r="M148" s="74">
        <f t="shared" si="25"/>
        <v>90076</v>
      </c>
      <c r="N148" s="93">
        <v>197.001</v>
      </c>
      <c r="O148" s="93">
        <v>197.00200000000001</v>
      </c>
      <c r="P148" s="93">
        <v>200</v>
      </c>
      <c r="Q148" s="73" t="b">
        <f t="shared" si="22"/>
        <v>0</v>
      </c>
    </row>
    <row r="149" spans="1:17">
      <c r="A149" s="73" t="s">
        <v>713</v>
      </c>
      <c r="B149" s="73" t="s">
        <v>1377</v>
      </c>
      <c r="C149" s="88">
        <v>104.23</v>
      </c>
      <c r="D149" s="109">
        <v>8.0000000000000004E-4</v>
      </c>
      <c r="E149" s="82">
        <v>6.7999999999999996E-3</v>
      </c>
      <c r="F149" s="110">
        <v>104.6</v>
      </c>
      <c r="G149" s="98">
        <v>103.88800000000001</v>
      </c>
      <c r="H149" s="75">
        <v>2603</v>
      </c>
      <c r="I149" s="45">
        <v>0.62503472222222223</v>
      </c>
      <c r="J149" s="75">
        <f t="shared" si="23"/>
        <v>128056</v>
      </c>
      <c r="K149" s="87">
        <f t="shared" si="26"/>
        <v>104.23</v>
      </c>
      <c r="L149" s="81">
        <f t="shared" si="24"/>
        <v>8.0000000000000004E-4</v>
      </c>
      <c r="M149" s="74">
        <f t="shared" si="25"/>
        <v>2603</v>
      </c>
      <c r="N149" s="93">
        <v>104.23</v>
      </c>
      <c r="O149" s="93">
        <v>104.23099999999999</v>
      </c>
      <c r="P149" s="93">
        <v>104.001</v>
      </c>
      <c r="Q149" s="73" t="e">
        <f>A149=#REF!</f>
        <v>#REF!</v>
      </c>
    </row>
    <row r="150" spans="1:17">
      <c r="A150" s="73" t="s">
        <v>276</v>
      </c>
      <c r="B150" s="73" t="s">
        <v>1378</v>
      </c>
      <c r="C150" s="88">
        <v>81.120999999999995</v>
      </c>
      <c r="D150" s="105">
        <v>-1.9E-3</v>
      </c>
      <c r="E150" s="82">
        <v>7.4000000000000003E-3</v>
      </c>
      <c r="F150" s="110">
        <v>81.597999999999999</v>
      </c>
      <c r="G150" s="98">
        <v>81</v>
      </c>
      <c r="H150" s="75">
        <v>862</v>
      </c>
      <c r="I150" s="45">
        <v>0.62503472222222223</v>
      </c>
      <c r="J150" s="75">
        <f t="shared" si="23"/>
        <v>128062</v>
      </c>
      <c r="K150" s="87">
        <f t="shared" si="26"/>
        <v>81.120999999999995</v>
      </c>
      <c r="L150" s="81">
        <f t="shared" si="24"/>
        <v>-1.9E-3</v>
      </c>
      <c r="M150" s="74">
        <f t="shared" si="25"/>
        <v>862</v>
      </c>
      <c r="N150" s="93">
        <v>81.120999999999995</v>
      </c>
      <c r="O150" s="93">
        <v>81.122</v>
      </c>
      <c r="P150" s="93">
        <v>81.299000000000007</v>
      </c>
      <c r="Q150" s="73" t="b">
        <f t="shared" si="22"/>
        <v>0</v>
      </c>
    </row>
    <row r="151" spans="1:17">
      <c r="A151" s="73" t="s">
        <v>277</v>
      </c>
      <c r="B151" s="73" t="s">
        <v>1379</v>
      </c>
      <c r="C151" s="88">
        <v>114.99</v>
      </c>
      <c r="D151" s="109">
        <v>2.5899999999999999E-2</v>
      </c>
      <c r="E151" s="82">
        <v>3.1199999999999999E-2</v>
      </c>
      <c r="F151" s="110">
        <v>116</v>
      </c>
      <c r="G151" s="110">
        <v>112.5</v>
      </c>
      <c r="H151" s="75">
        <v>2369</v>
      </c>
      <c r="I151" s="45">
        <v>0.62503472222222223</v>
      </c>
      <c r="J151" s="75">
        <f t="shared" ref="J151:J159" si="27">RIGHT(A151,6)+0</f>
        <v>128065</v>
      </c>
      <c r="K151" s="87">
        <f t="shared" si="26"/>
        <v>114.99</v>
      </c>
      <c r="L151" s="81">
        <f t="shared" ref="L151:L159" si="28">D151</f>
        <v>2.5899999999999999E-2</v>
      </c>
      <c r="M151" s="74">
        <f t="shared" ref="M151:M159" si="29">H151</f>
        <v>2369</v>
      </c>
      <c r="N151" s="93">
        <v>114.99</v>
      </c>
      <c r="O151" s="93">
        <v>114.995</v>
      </c>
      <c r="P151" s="93">
        <v>112.5</v>
      </c>
      <c r="Q151" s="73" t="b">
        <f t="shared" si="22"/>
        <v>0</v>
      </c>
    </row>
    <row r="152" spans="1:17">
      <c r="A152" s="73" t="s">
        <v>714</v>
      </c>
      <c r="B152" s="73" t="s">
        <v>1380</v>
      </c>
      <c r="C152" s="88">
        <v>114</v>
      </c>
      <c r="D152" s="109">
        <v>1.06E-2</v>
      </c>
      <c r="E152" s="82">
        <v>3.4099999999999998E-2</v>
      </c>
      <c r="F152" s="110">
        <v>114.84</v>
      </c>
      <c r="G152" s="98">
        <v>110.999</v>
      </c>
      <c r="H152" s="75">
        <v>4564</v>
      </c>
      <c r="I152" s="45">
        <v>0.62503472222222223</v>
      </c>
      <c r="J152" s="75">
        <f t="shared" si="27"/>
        <v>128066</v>
      </c>
      <c r="K152" s="87">
        <f t="shared" ref="K152:K159" si="30">C152+0</f>
        <v>114</v>
      </c>
      <c r="L152" s="81">
        <f t="shared" si="28"/>
        <v>1.06E-2</v>
      </c>
      <c r="M152" s="74">
        <f t="shared" si="29"/>
        <v>4564</v>
      </c>
      <c r="N152" s="93">
        <v>113.995</v>
      </c>
      <c r="O152" s="93">
        <v>114</v>
      </c>
      <c r="P152" s="93">
        <v>112.79900000000001</v>
      </c>
      <c r="Q152" s="73" t="b">
        <f t="shared" si="22"/>
        <v>0</v>
      </c>
    </row>
    <row r="153" spans="1:17">
      <c r="A153" s="73" t="s">
        <v>715</v>
      </c>
      <c r="B153" s="73" t="s">
        <v>1286</v>
      </c>
      <c r="C153" s="88">
        <v>103.97</v>
      </c>
      <c r="D153" s="109">
        <v>3.7000000000000002E-3</v>
      </c>
      <c r="E153" s="82">
        <v>8.8999999999999999E-3</v>
      </c>
      <c r="F153" s="110">
        <v>104</v>
      </c>
      <c r="G153" s="98">
        <v>103.08</v>
      </c>
      <c r="H153" s="75">
        <v>518</v>
      </c>
      <c r="I153" s="45">
        <v>0.62503472222222223</v>
      </c>
      <c r="J153" s="75">
        <f t="shared" si="27"/>
        <v>128076</v>
      </c>
      <c r="K153" s="87">
        <f t="shared" si="30"/>
        <v>103.97</v>
      </c>
      <c r="L153" s="81">
        <f t="shared" si="28"/>
        <v>3.7000000000000002E-3</v>
      </c>
      <c r="M153" s="74">
        <f t="shared" si="29"/>
        <v>518</v>
      </c>
      <c r="N153" s="93">
        <v>103.97</v>
      </c>
      <c r="O153" s="93">
        <v>103.971</v>
      </c>
      <c r="P153" s="93">
        <v>103.08</v>
      </c>
      <c r="Q153" s="73" t="b">
        <f t="shared" si="22"/>
        <v>0</v>
      </c>
    </row>
    <row r="154" spans="1:17">
      <c r="A154" s="73" t="s">
        <v>188</v>
      </c>
      <c r="B154" s="73" t="s">
        <v>229</v>
      </c>
      <c r="C154" s="88">
        <v>1.0269999999999999</v>
      </c>
      <c r="D154" s="167">
        <v>0</v>
      </c>
      <c r="E154" s="82">
        <v>1E-3</v>
      </c>
      <c r="F154" s="154">
        <v>1.0269999999999999</v>
      </c>
      <c r="G154" s="98">
        <v>1.026</v>
      </c>
      <c r="H154" s="75">
        <v>38</v>
      </c>
      <c r="I154" s="45">
        <v>0.62503472222222223</v>
      </c>
      <c r="J154" s="75">
        <f t="shared" si="27"/>
        <v>150175</v>
      </c>
      <c r="K154" s="87">
        <f t="shared" si="30"/>
        <v>1.0269999999999999</v>
      </c>
      <c r="L154" s="81">
        <f t="shared" si="28"/>
        <v>0</v>
      </c>
      <c r="M154" s="74">
        <f t="shared" si="29"/>
        <v>38</v>
      </c>
      <c r="N154" s="93">
        <v>1.026</v>
      </c>
      <c r="O154" s="93">
        <v>1.028</v>
      </c>
      <c r="P154" s="93">
        <v>1.026</v>
      </c>
      <c r="Q154" s="73" t="b">
        <f t="shared" si="22"/>
        <v>0</v>
      </c>
    </row>
    <row r="155" spans="1:17">
      <c r="A155" s="124" t="s">
        <v>36</v>
      </c>
      <c r="B155" s="124" t="s">
        <v>1254</v>
      </c>
      <c r="C155" s="126">
        <v>17.7</v>
      </c>
      <c r="D155" s="128">
        <v>-2.4799999999999999E-2</v>
      </c>
      <c r="E155" s="129">
        <v>2.87E-2</v>
      </c>
      <c r="F155" s="131">
        <v>18.12</v>
      </c>
      <c r="G155" s="131">
        <v>17.600000000000001</v>
      </c>
      <c r="H155" s="132">
        <v>34195</v>
      </c>
      <c r="I155" s="133">
        <v>0.62503472222222223</v>
      </c>
      <c r="J155" s="132">
        <f t="shared" si="27"/>
        <v>300115</v>
      </c>
      <c r="K155" s="87">
        <f t="shared" si="30"/>
        <v>17.7</v>
      </c>
      <c r="L155" s="81">
        <f t="shared" si="28"/>
        <v>-2.4799999999999999E-2</v>
      </c>
      <c r="M155" s="74">
        <f t="shared" si="29"/>
        <v>34195</v>
      </c>
      <c r="N155" s="134">
        <v>17.690000000000001</v>
      </c>
      <c r="O155" s="134">
        <v>17.7</v>
      </c>
      <c r="P155" s="134">
        <v>18.12</v>
      </c>
      <c r="Q155" s="73" t="b">
        <f t="shared" si="22"/>
        <v>0</v>
      </c>
    </row>
    <row r="156" spans="1:17">
      <c r="A156" s="73" t="s">
        <v>168</v>
      </c>
      <c r="B156" s="73" t="s">
        <v>1255</v>
      </c>
      <c r="C156" s="88">
        <v>18.28</v>
      </c>
      <c r="D156" s="109">
        <v>2.29E-2</v>
      </c>
      <c r="E156" s="82">
        <v>6.7199999999999996E-2</v>
      </c>
      <c r="F156" s="110">
        <v>18.77</v>
      </c>
      <c r="G156" s="98">
        <v>17.57</v>
      </c>
      <c r="H156" s="75">
        <v>48020</v>
      </c>
      <c r="I156" s="45">
        <v>0.62503472222222223</v>
      </c>
      <c r="J156" s="132">
        <f t="shared" si="27"/>
        <v>300144</v>
      </c>
      <c r="K156" s="87">
        <f t="shared" si="30"/>
        <v>18.28</v>
      </c>
      <c r="L156" s="81">
        <f t="shared" si="28"/>
        <v>2.29E-2</v>
      </c>
      <c r="M156" s="74">
        <f t="shared" si="29"/>
        <v>48020</v>
      </c>
      <c r="N156" s="93">
        <v>18.28</v>
      </c>
      <c r="O156" s="93">
        <v>18.29</v>
      </c>
      <c r="P156" s="93">
        <v>17.8</v>
      </c>
      <c r="Q156" s="73" t="b">
        <f t="shared" si="22"/>
        <v>0</v>
      </c>
    </row>
    <row r="157" spans="1:17">
      <c r="A157" s="73" t="s">
        <v>169</v>
      </c>
      <c r="B157" s="73" t="s">
        <v>1381</v>
      </c>
      <c r="C157" s="88">
        <v>14.4</v>
      </c>
      <c r="D157" s="105">
        <v>-1.6400000000000001E-2</v>
      </c>
      <c r="E157" s="82">
        <v>2.8000000000000001E-2</v>
      </c>
      <c r="F157" s="110">
        <v>14.78</v>
      </c>
      <c r="G157" s="98">
        <v>14.37</v>
      </c>
      <c r="H157" s="75">
        <v>14864</v>
      </c>
      <c r="I157" s="45">
        <v>0.62503472222222223</v>
      </c>
      <c r="J157" s="132">
        <f t="shared" si="27"/>
        <v>300203</v>
      </c>
      <c r="K157" s="87">
        <f t="shared" si="30"/>
        <v>14.4</v>
      </c>
      <c r="L157" s="81">
        <f t="shared" si="28"/>
        <v>-1.6400000000000001E-2</v>
      </c>
      <c r="M157" s="74">
        <f t="shared" si="29"/>
        <v>14864</v>
      </c>
      <c r="N157" s="93">
        <v>14.39</v>
      </c>
      <c r="O157" s="93">
        <v>14.4</v>
      </c>
      <c r="P157" s="93">
        <v>14.59</v>
      </c>
      <c r="Q157" s="73" t="b">
        <f t="shared" si="22"/>
        <v>0</v>
      </c>
    </row>
    <row r="158" spans="1:17">
      <c r="A158" s="73" t="s">
        <v>170</v>
      </c>
      <c r="B158" s="73" t="s">
        <v>1382</v>
      </c>
      <c r="C158" s="88">
        <v>5.69</v>
      </c>
      <c r="D158" s="109">
        <v>3.27E-2</v>
      </c>
      <c r="E158" s="82">
        <v>4.7199999999999999E-2</v>
      </c>
      <c r="F158" s="110">
        <v>5.74</v>
      </c>
      <c r="G158" s="98">
        <v>5.48</v>
      </c>
      <c r="H158" s="75">
        <v>18790</v>
      </c>
      <c r="I158" s="45">
        <v>0.62503472222222223</v>
      </c>
      <c r="J158" s="132">
        <f t="shared" si="27"/>
        <v>300296</v>
      </c>
      <c r="K158" s="87">
        <f t="shared" si="30"/>
        <v>5.69</v>
      </c>
      <c r="L158" s="81">
        <f t="shared" si="28"/>
        <v>3.27E-2</v>
      </c>
      <c r="M158" s="74">
        <f t="shared" si="29"/>
        <v>18790</v>
      </c>
      <c r="N158" s="93">
        <v>5.69</v>
      </c>
      <c r="O158" s="93">
        <v>5.7</v>
      </c>
      <c r="P158" s="93">
        <v>5.48</v>
      </c>
      <c r="Q158" s="73" t="b">
        <f t="shared" si="22"/>
        <v>0</v>
      </c>
    </row>
    <row r="159" spans="1:17">
      <c r="A159" s="124" t="s">
        <v>65</v>
      </c>
      <c r="B159" s="124" t="s">
        <v>1383</v>
      </c>
      <c r="C159" s="126">
        <v>2086.6660000000002</v>
      </c>
      <c r="D159" s="127">
        <v>1.54E-2</v>
      </c>
      <c r="E159" s="129">
        <v>2.2599999999999999E-2</v>
      </c>
      <c r="F159" s="130">
        <v>2090.2959999999998</v>
      </c>
      <c r="G159" s="131">
        <v>2043.953</v>
      </c>
      <c r="H159" s="132">
        <v>11856654</v>
      </c>
      <c r="I159" s="133">
        <v>0.62503472222222223</v>
      </c>
      <c r="J159" s="132">
        <f t="shared" si="27"/>
        <v>399006</v>
      </c>
      <c r="K159" s="87">
        <f t="shared" si="30"/>
        <v>2086.6660000000002</v>
      </c>
      <c r="L159" s="81">
        <f t="shared" si="28"/>
        <v>1.54E-2</v>
      </c>
      <c r="M159" s="74">
        <f t="shared" si="29"/>
        <v>11856654</v>
      </c>
      <c r="N159" s="134">
        <v>0</v>
      </c>
      <c r="O159" s="134">
        <v>0</v>
      </c>
      <c r="P159" s="134">
        <v>2049.7539999999999</v>
      </c>
      <c r="Q159" s="73" t="b">
        <f t="shared" si="22"/>
        <v>0</v>
      </c>
    </row>
    <row r="160" spans="1:17">
      <c r="A160" s="73" t="s">
        <v>793</v>
      </c>
      <c r="B160" s="73" t="s">
        <v>830</v>
      </c>
      <c r="C160" s="88">
        <v>3.37</v>
      </c>
      <c r="D160" s="109">
        <v>1.11E-2</v>
      </c>
      <c r="E160" s="82">
        <v>2.2499999999999999E-2</v>
      </c>
      <c r="F160" s="110">
        <v>3.3780000000000001</v>
      </c>
      <c r="G160" s="98">
        <v>3.3029999999999999</v>
      </c>
      <c r="H160" s="75">
        <v>7285</v>
      </c>
      <c r="I160" s="45">
        <v>0.62503472222222223</v>
      </c>
      <c r="J160" s="132">
        <f t="shared" ref="J160:J184" si="31">RIGHT(A160,6)+0</f>
        <v>159928</v>
      </c>
      <c r="K160" s="87">
        <f t="shared" ref="K160:K183" si="32">C160+0</f>
        <v>3.37</v>
      </c>
      <c r="L160" s="81">
        <f t="shared" ref="L160:L183" si="33">D160</f>
        <v>1.11E-2</v>
      </c>
      <c r="M160" s="74">
        <f t="shared" ref="M160:M183" si="34">H160</f>
        <v>7285</v>
      </c>
      <c r="N160" s="93">
        <v>3.37</v>
      </c>
      <c r="O160" s="93">
        <v>3.371</v>
      </c>
      <c r="P160" s="93">
        <v>3.3029999999999999</v>
      </c>
    </row>
    <row r="161" spans="1:16">
      <c r="A161" s="73" t="s">
        <v>794</v>
      </c>
      <c r="B161" s="73" t="s">
        <v>1256</v>
      </c>
      <c r="C161" s="88">
        <v>1.373</v>
      </c>
      <c r="D161" s="105">
        <v>-6.9999999999999999E-4</v>
      </c>
      <c r="E161" s="82">
        <v>6.6E-3</v>
      </c>
      <c r="F161" s="110">
        <v>1.381</v>
      </c>
      <c r="G161" s="98">
        <v>1.3720000000000001</v>
      </c>
      <c r="H161" s="75">
        <v>136</v>
      </c>
      <c r="I161" s="45">
        <v>0.62503472222222223</v>
      </c>
      <c r="J161" s="132">
        <f t="shared" si="31"/>
        <v>161912</v>
      </c>
      <c r="K161" s="87">
        <f t="shared" si="32"/>
        <v>1.373</v>
      </c>
      <c r="L161" s="81">
        <f t="shared" si="33"/>
        <v>-6.9999999999999999E-4</v>
      </c>
      <c r="M161" s="74">
        <f t="shared" si="34"/>
        <v>136</v>
      </c>
      <c r="N161" s="93">
        <v>1.373</v>
      </c>
      <c r="O161" s="93">
        <v>1.375</v>
      </c>
      <c r="P161" s="93">
        <v>1.377</v>
      </c>
    </row>
    <row r="162" spans="1:16">
      <c r="A162" s="73" t="s">
        <v>795</v>
      </c>
      <c r="B162" s="73" t="s">
        <v>1300</v>
      </c>
      <c r="C162" s="88">
        <v>1.2370000000000001</v>
      </c>
      <c r="D162" s="109">
        <v>4.8999999999999998E-3</v>
      </c>
      <c r="E162" s="82">
        <v>1.46E-2</v>
      </c>
      <c r="F162" s="110">
        <v>1.24</v>
      </c>
      <c r="G162" s="98">
        <v>1.222</v>
      </c>
      <c r="H162" s="75">
        <v>3250</v>
      </c>
      <c r="I162" s="45">
        <v>0.62503472222222223</v>
      </c>
      <c r="J162" s="132">
        <f t="shared" si="31"/>
        <v>163417</v>
      </c>
      <c r="K162" s="87">
        <f t="shared" si="32"/>
        <v>1.2370000000000001</v>
      </c>
      <c r="L162" s="81">
        <f t="shared" si="33"/>
        <v>4.8999999999999998E-3</v>
      </c>
      <c r="M162" s="74">
        <f t="shared" si="34"/>
        <v>3250</v>
      </c>
      <c r="N162" s="93">
        <v>1.2370000000000001</v>
      </c>
      <c r="O162" s="93">
        <v>1.238</v>
      </c>
      <c r="P162" s="93">
        <v>1.224</v>
      </c>
    </row>
    <row r="163" spans="1:16">
      <c r="A163" s="73" t="s">
        <v>795</v>
      </c>
      <c r="B163" s="73" t="s">
        <v>1300</v>
      </c>
      <c r="C163" s="88">
        <v>1.2370000000000001</v>
      </c>
      <c r="D163" s="109">
        <v>4.8999999999999998E-3</v>
      </c>
      <c r="E163" s="82">
        <v>1.46E-2</v>
      </c>
      <c r="F163" s="110">
        <v>1.24</v>
      </c>
      <c r="G163" s="98">
        <v>1.222</v>
      </c>
      <c r="H163" s="75">
        <v>3250</v>
      </c>
      <c r="I163" s="45">
        <v>0.62503472222222223</v>
      </c>
      <c r="J163" s="132">
        <f t="shared" si="31"/>
        <v>163417</v>
      </c>
      <c r="K163" s="87">
        <f t="shared" si="32"/>
        <v>1.2370000000000001</v>
      </c>
      <c r="L163" s="81">
        <f t="shared" si="33"/>
        <v>4.8999999999999998E-3</v>
      </c>
      <c r="M163" s="74">
        <f t="shared" si="34"/>
        <v>3250</v>
      </c>
      <c r="N163" s="93">
        <v>1.2370000000000001</v>
      </c>
      <c r="O163" s="93">
        <v>1.238</v>
      </c>
      <c r="P163" s="93">
        <v>1.224</v>
      </c>
    </row>
    <row r="164" spans="1:16">
      <c r="A164" s="73" t="s">
        <v>796</v>
      </c>
      <c r="B164" s="73" t="s">
        <v>1294</v>
      </c>
      <c r="C164" s="88">
        <v>1.4339999999999999</v>
      </c>
      <c r="D164" s="105">
        <v>-5.4999999999999997E-3</v>
      </c>
      <c r="E164" s="82">
        <v>8.9999999999999993E-3</v>
      </c>
      <c r="F164" s="98">
        <v>1.4410000000000001</v>
      </c>
      <c r="G164" s="98">
        <v>1.4279999999999999</v>
      </c>
      <c r="H164" s="75">
        <v>241</v>
      </c>
      <c r="I164" s="45">
        <v>0.62503472222222223</v>
      </c>
      <c r="J164" s="132">
        <f t="shared" si="31"/>
        <v>164906</v>
      </c>
      <c r="K164" s="87">
        <f t="shared" si="32"/>
        <v>1.4339999999999999</v>
      </c>
      <c r="L164" s="81">
        <f t="shared" si="33"/>
        <v>-5.4999999999999997E-3</v>
      </c>
      <c r="M164" s="74">
        <f t="shared" si="34"/>
        <v>241</v>
      </c>
      <c r="N164" s="93">
        <v>1.4339999999999999</v>
      </c>
      <c r="O164" s="93">
        <v>1.4350000000000001</v>
      </c>
      <c r="P164" s="93">
        <v>1.44</v>
      </c>
    </row>
    <row r="165" spans="1:16">
      <c r="A165" s="73" t="s">
        <v>797</v>
      </c>
      <c r="B165" s="73" t="s">
        <v>1287</v>
      </c>
      <c r="C165" s="88">
        <v>1.3660000000000001</v>
      </c>
      <c r="D165" s="109">
        <v>3.7000000000000002E-3</v>
      </c>
      <c r="E165" s="82">
        <v>1.47E-2</v>
      </c>
      <c r="F165" s="110">
        <v>1.377</v>
      </c>
      <c r="G165" s="98">
        <v>1.357</v>
      </c>
      <c r="H165" s="75">
        <v>3</v>
      </c>
      <c r="I165" s="45">
        <v>0.62503472222222223</v>
      </c>
      <c r="J165" s="132">
        <f t="shared" si="31"/>
        <v>166023</v>
      </c>
      <c r="K165" s="87">
        <f t="shared" si="32"/>
        <v>1.3660000000000001</v>
      </c>
      <c r="L165" s="81">
        <f t="shared" si="33"/>
        <v>3.7000000000000002E-3</v>
      </c>
      <c r="M165" s="74">
        <f t="shared" si="34"/>
        <v>3</v>
      </c>
      <c r="N165" s="93">
        <v>1.359</v>
      </c>
      <c r="O165" s="93">
        <v>1.3660000000000001</v>
      </c>
      <c r="P165" s="93">
        <v>1.377</v>
      </c>
    </row>
    <row r="166" spans="1:16">
      <c r="A166" s="73" t="s">
        <v>798</v>
      </c>
      <c r="B166" s="73" t="s">
        <v>831</v>
      </c>
      <c r="C166" s="88">
        <v>0.872</v>
      </c>
      <c r="D166" s="109">
        <v>2.3E-3</v>
      </c>
      <c r="E166" s="82">
        <v>8.0000000000000002E-3</v>
      </c>
      <c r="F166" s="110">
        <v>0.873</v>
      </c>
      <c r="G166" s="98">
        <v>0.86599999999999999</v>
      </c>
      <c r="H166" s="75">
        <v>127</v>
      </c>
      <c r="I166" s="45">
        <v>0.62503472222222223</v>
      </c>
      <c r="J166" s="132">
        <f t="shared" si="31"/>
        <v>166024</v>
      </c>
      <c r="K166" s="87">
        <f t="shared" si="32"/>
        <v>0.872</v>
      </c>
      <c r="L166" s="81">
        <f t="shared" si="33"/>
        <v>2.3E-3</v>
      </c>
      <c r="M166" s="74">
        <f t="shared" si="34"/>
        <v>127</v>
      </c>
      <c r="N166" s="93">
        <v>0.871</v>
      </c>
      <c r="O166" s="93">
        <v>0.872</v>
      </c>
      <c r="P166" s="93">
        <v>0.86899999999999999</v>
      </c>
    </row>
    <row r="167" spans="1:16">
      <c r="A167" s="73" t="s">
        <v>799</v>
      </c>
      <c r="B167" s="73" t="s">
        <v>437</v>
      </c>
      <c r="C167" s="88">
        <v>1.0189999999999999</v>
      </c>
      <c r="D167" s="109">
        <v>8.8999999999999999E-3</v>
      </c>
      <c r="E167" s="82">
        <v>1.5800000000000002E-2</v>
      </c>
      <c r="F167" s="110">
        <v>1.0209999999999999</v>
      </c>
      <c r="G167" s="98">
        <v>1.0049999999999999</v>
      </c>
      <c r="H167" s="75">
        <v>1034</v>
      </c>
      <c r="I167" s="45">
        <v>0.62503472222222223</v>
      </c>
      <c r="J167" s="132">
        <f t="shared" si="31"/>
        <v>168103</v>
      </c>
      <c r="K167" s="87">
        <f t="shared" si="32"/>
        <v>1.0189999999999999</v>
      </c>
      <c r="L167" s="81">
        <f t="shared" si="33"/>
        <v>8.8999999999999999E-3</v>
      </c>
      <c r="M167" s="74">
        <f t="shared" si="34"/>
        <v>1034</v>
      </c>
      <c r="N167" s="93">
        <v>1.018</v>
      </c>
      <c r="O167" s="93">
        <v>1.0189999999999999</v>
      </c>
      <c r="P167" s="93">
        <v>1.0049999999999999</v>
      </c>
    </row>
    <row r="168" spans="1:16">
      <c r="A168" s="73" t="s">
        <v>757</v>
      </c>
      <c r="B168" s="73" t="s">
        <v>1257</v>
      </c>
      <c r="C168" s="88">
        <v>1.508</v>
      </c>
      <c r="D168" s="109">
        <v>0.01</v>
      </c>
      <c r="E168" s="82">
        <v>6.7000000000000002E-3</v>
      </c>
      <c r="F168" s="110">
        <v>1.5089999999999999</v>
      </c>
      <c r="G168" s="110">
        <v>1.4990000000000001</v>
      </c>
      <c r="H168" s="75">
        <v>165</v>
      </c>
      <c r="I168" s="45">
        <v>0.625</v>
      </c>
      <c r="J168" s="132">
        <f t="shared" si="31"/>
        <v>501038</v>
      </c>
      <c r="K168" s="87">
        <f t="shared" si="32"/>
        <v>1.508</v>
      </c>
      <c r="L168" s="81">
        <f t="shared" si="33"/>
        <v>0.01</v>
      </c>
      <c r="M168" s="74">
        <f t="shared" si="34"/>
        <v>165</v>
      </c>
      <c r="N168" s="93">
        <v>1.508</v>
      </c>
      <c r="O168" s="93">
        <v>1.5089999999999999</v>
      </c>
      <c r="P168" s="93">
        <v>1.504</v>
      </c>
    </row>
    <row r="169" spans="1:16">
      <c r="A169" s="73" t="s">
        <v>758</v>
      </c>
      <c r="B169" s="73" t="s">
        <v>1277</v>
      </c>
      <c r="C169" s="88">
        <v>1.5629999999999999</v>
      </c>
      <c r="D169" s="105">
        <v>-1.2999999999999999E-3</v>
      </c>
      <c r="E169" s="82">
        <v>6.4000000000000003E-3</v>
      </c>
      <c r="F169" s="110">
        <v>1.573</v>
      </c>
      <c r="G169" s="98">
        <v>1.5629999999999999</v>
      </c>
      <c r="H169" s="75">
        <v>129</v>
      </c>
      <c r="I169" s="45">
        <v>0.625</v>
      </c>
      <c r="J169" s="132">
        <f t="shared" si="31"/>
        <v>501046</v>
      </c>
      <c r="K169" s="87">
        <f t="shared" si="32"/>
        <v>1.5629999999999999</v>
      </c>
      <c r="L169" s="81">
        <f t="shared" si="33"/>
        <v>-1.2999999999999999E-3</v>
      </c>
      <c r="M169" s="74">
        <f t="shared" si="34"/>
        <v>129</v>
      </c>
      <c r="N169" s="93">
        <v>1.5629999999999999</v>
      </c>
      <c r="O169" s="93">
        <v>1.5649999999999999</v>
      </c>
      <c r="P169" s="93">
        <v>1.5640000000000001</v>
      </c>
    </row>
    <row r="170" spans="1:16">
      <c r="A170" s="73" t="s">
        <v>759</v>
      </c>
      <c r="B170" s="73" t="s">
        <v>952</v>
      </c>
      <c r="C170" s="88">
        <v>1.0569999999999999</v>
      </c>
      <c r="D170" s="109">
        <v>1.9E-3</v>
      </c>
      <c r="E170" s="82">
        <v>8.5000000000000006E-3</v>
      </c>
      <c r="F170" s="110">
        <v>1.0640000000000001</v>
      </c>
      <c r="G170" s="154">
        <v>1.0549999999999999</v>
      </c>
      <c r="H170" s="75">
        <v>46</v>
      </c>
      <c r="I170" s="45">
        <v>0.625</v>
      </c>
      <c r="J170" s="132">
        <f t="shared" si="31"/>
        <v>501063</v>
      </c>
      <c r="K170" s="87">
        <f t="shared" si="32"/>
        <v>1.0569999999999999</v>
      </c>
      <c r="L170" s="81">
        <f t="shared" si="33"/>
        <v>1.9E-3</v>
      </c>
      <c r="M170" s="74">
        <f t="shared" si="34"/>
        <v>46</v>
      </c>
      <c r="N170" s="93">
        <v>1.0580000000000001</v>
      </c>
      <c r="O170" s="93">
        <v>1.06</v>
      </c>
      <c r="P170" s="93">
        <v>1.0549999999999999</v>
      </c>
    </row>
    <row r="171" spans="1:16">
      <c r="A171" s="73" t="s">
        <v>760</v>
      </c>
      <c r="B171" s="73" t="s">
        <v>1384</v>
      </c>
      <c r="C171" s="88">
        <v>1.073</v>
      </c>
      <c r="D171" s="109">
        <v>1.4200000000000001E-2</v>
      </c>
      <c r="E171" s="82">
        <v>1.89E-2</v>
      </c>
      <c r="F171" s="110">
        <v>1.075</v>
      </c>
      <c r="G171" s="98">
        <v>1.0549999999999999</v>
      </c>
      <c r="H171" s="75">
        <v>265</v>
      </c>
      <c r="I171" s="45">
        <v>0.62501157407407404</v>
      </c>
      <c r="J171" s="132">
        <f t="shared" si="31"/>
        <v>501075</v>
      </c>
      <c r="K171" s="87">
        <f t="shared" si="32"/>
        <v>1.073</v>
      </c>
      <c r="L171" s="81">
        <f t="shared" si="33"/>
        <v>1.4200000000000001E-2</v>
      </c>
      <c r="M171" s="74">
        <f t="shared" si="34"/>
        <v>265</v>
      </c>
      <c r="N171" s="93">
        <v>1.071</v>
      </c>
      <c r="O171" s="93">
        <v>1.073</v>
      </c>
      <c r="P171" s="93">
        <v>1.06</v>
      </c>
    </row>
    <row r="172" spans="1:16">
      <c r="A172" s="73" t="s">
        <v>761</v>
      </c>
      <c r="B172" s="73" t="s">
        <v>1385</v>
      </c>
      <c r="C172" s="88">
        <v>1.212</v>
      </c>
      <c r="D172" s="109">
        <v>1.4200000000000001E-2</v>
      </c>
      <c r="E172" s="82">
        <v>2.18E-2</v>
      </c>
      <c r="F172" s="110">
        <v>1.214</v>
      </c>
      <c r="G172" s="98">
        <v>1.1879999999999999</v>
      </c>
      <c r="H172" s="75">
        <v>579</v>
      </c>
      <c r="I172" s="45">
        <v>0.625</v>
      </c>
      <c r="J172" s="132">
        <f t="shared" si="31"/>
        <v>501078</v>
      </c>
      <c r="K172" s="87">
        <f t="shared" si="32"/>
        <v>1.212</v>
      </c>
      <c r="L172" s="81">
        <f t="shared" si="33"/>
        <v>1.4200000000000001E-2</v>
      </c>
      <c r="M172" s="74">
        <f t="shared" si="34"/>
        <v>579</v>
      </c>
      <c r="N172" s="93">
        <v>1.212</v>
      </c>
      <c r="O172" s="93">
        <v>1.2130000000000001</v>
      </c>
      <c r="P172" s="93">
        <v>1.1919999999999999</v>
      </c>
    </row>
    <row r="173" spans="1:16">
      <c r="A173" s="73" t="s">
        <v>762</v>
      </c>
      <c r="B173" s="73" t="s">
        <v>800</v>
      </c>
      <c r="C173" s="88">
        <v>1.0629999999999999</v>
      </c>
      <c r="D173" s="109">
        <v>5.7000000000000002E-3</v>
      </c>
      <c r="E173" s="82">
        <v>1.5100000000000001E-2</v>
      </c>
      <c r="F173" s="110">
        <v>1.0660000000000001</v>
      </c>
      <c r="G173" s="98">
        <v>1.05</v>
      </c>
      <c r="H173" s="75">
        <v>126</v>
      </c>
      <c r="I173" s="45">
        <v>0.62501157407407404</v>
      </c>
      <c r="J173" s="132">
        <f t="shared" si="31"/>
        <v>501082</v>
      </c>
      <c r="K173" s="87">
        <f t="shared" si="32"/>
        <v>1.0629999999999999</v>
      </c>
      <c r="L173" s="81">
        <f t="shared" si="33"/>
        <v>5.7000000000000002E-3</v>
      </c>
      <c r="M173" s="74">
        <f t="shared" si="34"/>
        <v>126</v>
      </c>
      <c r="N173" s="93">
        <v>1.0629999999999999</v>
      </c>
      <c r="O173" s="93">
        <v>1.0640000000000001</v>
      </c>
      <c r="P173" s="93">
        <v>1.0569999999999999</v>
      </c>
    </row>
    <row r="174" spans="1:16">
      <c r="A174" s="73" t="s">
        <v>763</v>
      </c>
      <c r="B174" s="73" t="s">
        <v>1278</v>
      </c>
      <c r="C174" s="88">
        <v>2.802</v>
      </c>
      <c r="D174" s="109">
        <v>4.0000000000000002E-4</v>
      </c>
      <c r="E174" s="82">
        <v>1.04E-2</v>
      </c>
      <c r="F174" s="110">
        <v>2.8090000000000002</v>
      </c>
      <c r="G174" s="98">
        <v>2.78</v>
      </c>
      <c r="H174" s="75">
        <v>69948</v>
      </c>
      <c r="I174" s="45">
        <v>0.625</v>
      </c>
      <c r="J174" s="132">
        <f t="shared" si="31"/>
        <v>510050</v>
      </c>
      <c r="K174" s="87">
        <f t="shared" si="32"/>
        <v>2.802</v>
      </c>
      <c r="L174" s="81">
        <f t="shared" si="33"/>
        <v>4.0000000000000002E-4</v>
      </c>
      <c r="M174" s="74">
        <f t="shared" si="34"/>
        <v>69948</v>
      </c>
      <c r="N174" s="93">
        <v>2.8</v>
      </c>
      <c r="O174" s="93">
        <v>2.802</v>
      </c>
      <c r="P174" s="93">
        <v>2.78</v>
      </c>
    </row>
    <row r="175" spans="1:16">
      <c r="A175" s="73" t="s">
        <v>764</v>
      </c>
      <c r="B175" s="73" t="s">
        <v>1258</v>
      </c>
      <c r="C175" s="88">
        <v>3.8660000000000001</v>
      </c>
      <c r="D175" s="109">
        <v>4.1999999999999997E-3</v>
      </c>
      <c r="E175" s="82">
        <v>1.1900000000000001E-2</v>
      </c>
      <c r="F175" s="110">
        <v>3.8690000000000002</v>
      </c>
      <c r="G175" s="98">
        <v>3.823</v>
      </c>
      <c r="H175" s="75">
        <v>96670</v>
      </c>
      <c r="I175" s="45">
        <v>0.625</v>
      </c>
      <c r="J175" s="132">
        <f t="shared" si="31"/>
        <v>510300</v>
      </c>
      <c r="K175" s="87">
        <f t="shared" si="32"/>
        <v>3.8660000000000001</v>
      </c>
      <c r="L175" s="81">
        <f t="shared" si="33"/>
        <v>4.1999999999999997E-3</v>
      </c>
      <c r="M175" s="74">
        <f t="shared" si="34"/>
        <v>96670</v>
      </c>
      <c r="N175" s="93">
        <v>3.8660000000000001</v>
      </c>
      <c r="O175" s="93">
        <v>3.8679999999999999</v>
      </c>
      <c r="P175" s="93">
        <v>3.83</v>
      </c>
    </row>
    <row r="176" spans="1:16">
      <c r="A176" s="73" t="s">
        <v>765</v>
      </c>
      <c r="B176" s="73" t="s">
        <v>1259</v>
      </c>
      <c r="C176" s="88">
        <v>1.1180000000000001</v>
      </c>
      <c r="D176" s="105">
        <v>-4.4999999999999997E-3</v>
      </c>
      <c r="E176" s="82">
        <v>1.34E-2</v>
      </c>
      <c r="F176" s="110">
        <v>1.1240000000000001</v>
      </c>
      <c r="G176" s="98">
        <v>1.109</v>
      </c>
      <c r="H176" s="75">
        <v>127603</v>
      </c>
      <c r="I176" s="45">
        <v>0.625</v>
      </c>
      <c r="J176" s="132">
        <f t="shared" si="31"/>
        <v>510900</v>
      </c>
      <c r="K176" s="87">
        <f t="shared" si="32"/>
        <v>1.1180000000000001</v>
      </c>
      <c r="L176" s="81">
        <f t="shared" si="33"/>
        <v>-4.4999999999999997E-3</v>
      </c>
      <c r="M176" s="74">
        <f t="shared" si="34"/>
        <v>127603</v>
      </c>
      <c r="N176" s="93">
        <v>1.1180000000000001</v>
      </c>
      <c r="O176" s="93">
        <v>1.119</v>
      </c>
      <c r="P176" s="93">
        <v>1.111</v>
      </c>
    </row>
    <row r="177" spans="1:16">
      <c r="A177" s="73" t="s">
        <v>766</v>
      </c>
      <c r="B177" s="73" t="s">
        <v>1279</v>
      </c>
      <c r="C177" s="88">
        <v>2.1579999999999999</v>
      </c>
      <c r="D177" s="109">
        <v>1.03E-2</v>
      </c>
      <c r="E177" s="82">
        <v>2.1499999999999998E-2</v>
      </c>
      <c r="F177" s="110">
        <v>2.1669999999999998</v>
      </c>
      <c r="G177" s="98">
        <v>2.121</v>
      </c>
      <c r="H177" s="75">
        <v>2733</v>
      </c>
      <c r="I177" s="45">
        <v>0.625</v>
      </c>
      <c r="J177" s="132">
        <f t="shared" si="31"/>
        <v>512010</v>
      </c>
      <c r="K177" s="87">
        <f t="shared" si="32"/>
        <v>2.1579999999999999</v>
      </c>
      <c r="L177" s="81">
        <f t="shared" si="33"/>
        <v>1.03E-2</v>
      </c>
      <c r="M177" s="74">
        <f t="shared" si="34"/>
        <v>2733</v>
      </c>
      <c r="N177" s="93">
        <v>2.1579999999999999</v>
      </c>
      <c r="O177" s="93">
        <v>2.1589999999999998</v>
      </c>
      <c r="P177" s="93">
        <v>2.1240000000000001</v>
      </c>
    </row>
    <row r="178" spans="1:16">
      <c r="A178" s="73" t="s">
        <v>767</v>
      </c>
      <c r="B178" s="73" t="s">
        <v>1386</v>
      </c>
      <c r="C178" s="88">
        <v>0.80900000000000005</v>
      </c>
      <c r="D178" s="105">
        <v>-6.1000000000000004E-3</v>
      </c>
      <c r="E178" s="82">
        <v>8.6E-3</v>
      </c>
      <c r="F178" s="98">
        <v>0.81299999999999994</v>
      </c>
      <c r="G178" s="98">
        <v>0.80600000000000005</v>
      </c>
      <c r="H178" s="75">
        <v>2427</v>
      </c>
      <c r="I178" s="45">
        <v>0.62501157407407404</v>
      </c>
      <c r="J178" s="132">
        <f t="shared" si="31"/>
        <v>512200</v>
      </c>
      <c r="K178" s="87">
        <f t="shared" si="32"/>
        <v>0.80900000000000005</v>
      </c>
      <c r="L178" s="81">
        <f t="shared" si="33"/>
        <v>-6.1000000000000004E-3</v>
      </c>
      <c r="M178" s="74">
        <f t="shared" si="34"/>
        <v>2427</v>
      </c>
      <c r="N178" s="93">
        <v>0.80800000000000005</v>
      </c>
      <c r="O178" s="93">
        <v>0.80900000000000005</v>
      </c>
      <c r="P178" s="93">
        <v>0.81100000000000005</v>
      </c>
    </row>
    <row r="179" spans="1:16">
      <c r="A179" s="73" t="s">
        <v>768</v>
      </c>
      <c r="B179" s="73" t="s">
        <v>1280</v>
      </c>
      <c r="C179" s="88">
        <v>1.004</v>
      </c>
      <c r="D179" s="105">
        <v>-4.0000000000000001E-3</v>
      </c>
      <c r="E179" s="82">
        <v>6.0000000000000001E-3</v>
      </c>
      <c r="F179" s="98">
        <v>1.0069999999999999</v>
      </c>
      <c r="G179" s="98">
        <v>1.0009999999999999</v>
      </c>
      <c r="H179" s="75">
        <v>94</v>
      </c>
      <c r="I179" s="45">
        <v>0.62501157407407404</v>
      </c>
      <c r="J179" s="132">
        <f t="shared" si="31"/>
        <v>512700</v>
      </c>
      <c r="K179" s="87">
        <f t="shared" si="32"/>
        <v>1.004</v>
      </c>
      <c r="L179" s="81">
        <f t="shared" si="33"/>
        <v>-4.0000000000000001E-3</v>
      </c>
      <c r="M179" s="74">
        <f t="shared" si="34"/>
        <v>94</v>
      </c>
      <c r="N179" s="93">
        <v>1.004</v>
      </c>
      <c r="O179" s="93">
        <v>1.0049999999999999</v>
      </c>
      <c r="P179" s="93">
        <v>1.0049999999999999</v>
      </c>
    </row>
    <row r="180" spans="1:16">
      <c r="A180" s="73" t="s">
        <v>769</v>
      </c>
      <c r="B180" s="73" t="s">
        <v>1387</v>
      </c>
      <c r="C180" s="88">
        <v>1.9750000000000001</v>
      </c>
      <c r="D180" s="105">
        <v>-1E-3</v>
      </c>
      <c r="E180" s="82">
        <v>2.53E-2</v>
      </c>
      <c r="F180" s="110">
        <v>2.0019999999999998</v>
      </c>
      <c r="G180" s="98">
        <v>1.952</v>
      </c>
      <c r="H180" s="75">
        <v>64287</v>
      </c>
      <c r="I180" s="45">
        <v>0.625</v>
      </c>
      <c r="J180" s="132">
        <f t="shared" si="31"/>
        <v>512760</v>
      </c>
      <c r="K180" s="87">
        <f t="shared" si="32"/>
        <v>1.9750000000000001</v>
      </c>
      <c r="L180" s="81">
        <f t="shared" si="33"/>
        <v>-1E-3</v>
      </c>
      <c r="M180" s="74">
        <f t="shared" si="34"/>
        <v>64287</v>
      </c>
      <c r="N180" s="93">
        <v>1.972</v>
      </c>
      <c r="O180" s="93">
        <v>1.974</v>
      </c>
      <c r="P180" s="93">
        <v>1.96</v>
      </c>
    </row>
    <row r="181" spans="1:16">
      <c r="A181" s="73" t="s">
        <v>792</v>
      </c>
      <c r="B181" s="73" t="s">
        <v>1295</v>
      </c>
      <c r="C181" s="88">
        <v>1.5489999999999999</v>
      </c>
      <c r="D181" s="109">
        <v>1.9E-3</v>
      </c>
      <c r="E181" s="82">
        <v>1.49E-2</v>
      </c>
      <c r="F181" s="110">
        <v>1.5640000000000001</v>
      </c>
      <c r="G181" s="98">
        <v>1.5409999999999999</v>
      </c>
      <c r="H181" s="75">
        <v>6405</v>
      </c>
      <c r="I181" s="45">
        <v>0.625</v>
      </c>
      <c r="J181" s="132">
        <f t="shared" si="31"/>
        <v>513050</v>
      </c>
      <c r="K181" s="87">
        <f t="shared" si="32"/>
        <v>1.5489999999999999</v>
      </c>
      <c r="L181" s="81">
        <f t="shared" si="33"/>
        <v>1.9E-3</v>
      </c>
      <c r="M181" s="74">
        <f t="shared" si="34"/>
        <v>6405</v>
      </c>
      <c r="N181" s="93">
        <v>1.55</v>
      </c>
      <c r="O181" s="93">
        <v>1.5529999999999999</v>
      </c>
      <c r="P181" s="93">
        <v>1.546</v>
      </c>
    </row>
    <row r="182" spans="1:16">
      <c r="A182" s="73" t="s">
        <v>770</v>
      </c>
      <c r="B182" s="73" t="s">
        <v>1388</v>
      </c>
      <c r="C182" s="88">
        <v>3.73</v>
      </c>
      <c r="D182" s="105">
        <v>-7.1999999999999998E-3</v>
      </c>
      <c r="E182" s="82">
        <v>1.2999999999999999E-2</v>
      </c>
      <c r="F182" s="110">
        <v>3.7730000000000001</v>
      </c>
      <c r="G182" s="98">
        <v>3.7240000000000002</v>
      </c>
      <c r="H182" s="75">
        <v>9796</v>
      </c>
      <c r="I182" s="45">
        <v>0.625</v>
      </c>
      <c r="J182" s="132">
        <f t="shared" si="31"/>
        <v>513100</v>
      </c>
      <c r="K182" s="87">
        <f t="shared" si="32"/>
        <v>3.73</v>
      </c>
      <c r="L182" s="81">
        <f t="shared" si="33"/>
        <v>-7.1999999999999998E-3</v>
      </c>
      <c r="M182" s="74">
        <f t="shared" si="34"/>
        <v>9796</v>
      </c>
      <c r="N182" s="93">
        <v>3.73</v>
      </c>
      <c r="O182" s="93">
        <v>3.7309999999999999</v>
      </c>
      <c r="P182" s="93">
        <v>3.7440000000000002</v>
      </c>
    </row>
    <row r="183" spans="1:16">
      <c r="A183" s="73" t="s">
        <v>771</v>
      </c>
      <c r="B183" s="73" t="s">
        <v>1389</v>
      </c>
      <c r="C183" s="88">
        <v>1.393</v>
      </c>
      <c r="D183" s="109">
        <v>5.7999999999999996E-3</v>
      </c>
      <c r="E183" s="82">
        <v>1.95E-2</v>
      </c>
      <c r="F183" s="110">
        <v>1.4</v>
      </c>
      <c r="G183" s="98">
        <v>1.373</v>
      </c>
      <c r="H183" s="75">
        <v>24871</v>
      </c>
      <c r="I183" s="45">
        <v>0.625</v>
      </c>
      <c r="J183" s="132">
        <f t="shared" si="31"/>
        <v>515000</v>
      </c>
      <c r="K183" s="87">
        <f t="shared" si="32"/>
        <v>1.393</v>
      </c>
      <c r="L183" s="81">
        <f t="shared" si="33"/>
        <v>5.7999999999999996E-3</v>
      </c>
      <c r="M183" s="74">
        <f t="shared" si="34"/>
        <v>24871</v>
      </c>
      <c r="N183" s="93">
        <v>1.3919999999999999</v>
      </c>
      <c r="O183" s="93">
        <v>1.393</v>
      </c>
      <c r="P183" s="93">
        <v>1.3740000000000001</v>
      </c>
    </row>
    <row r="184" spans="1:16">
      <c r="A184" s="73" t="s">
        <v>851</v>
      </c>
      <c r="B184" s="73" t="s">
        <v>1388</v>
      </c>
      <c r="C184" s="88">
        <v>2.0920000000000001</v>
      </c>
      <c r="D184" s="105">
        <v>-4.7999999999999996E-3</v>
      </c>
      <c r="E184" s="82">
        <v>0.01</v>
      </c>
      <c r="F184" s="110">
        <v>2.1040000000000001</v>
      </c>
      <c r="G184" s="98">
        <v>2.0830000000000002</v>
      </c>
      <c r="H184" s="75">
        <v>2794</v>
      </c>
      <c r="I184" s="45">
        <v>0.62503472222222223</v>
      </c>
      <c r="J184" s="75">
        <f t="shared" si="31"/>
        <v>159941</v>
      </c>
      <c r="K184" s="87">
        <f t="shared" ref="K184" si="35">C184+0</f>
        <v>2.0920000000000001</v>
      </c>
      <c r="L184" s="81">
        <f t="shared" ref="L184" si="36">D184</f>
        <v>-4.7999999999999996E-3</v>
      </c>
      <c r="M184" s="74">
        <f t="shared" ref="M184" si="37">H184</f>
        <v>2794</v>
      </c>
      <c r="N184" s="93">
        <v>2.0920000000000001</v>
      </c>
      <c r="O184" s="93">
        <v>2.093</v>
      </c>
      <c r="P184" s="93">
        <v>2.1030000000000002</v>
      </c>
    </row>
    <row r="185" spans="1:16">
      <c r="A185" s="73" t="s">
        <v>869</v>
      </c>
      <c r="B185" s="73" t="s">
        <v>1260</v>
      </c>
      <c r="C185" s="88">
        <v>106.36</v>
      </c>
      <c r="D185" s="109">
        <v>5.7999999999999996E-3</v>
      </c>
      <c r="E185" s="82">
        <v>9.7999999999999997E-3</v>
      </c>
      <c r="F185" s="110">
        <v>106.58</v>
      </c>
      <c r="G185" s="98">
        <v>105.54</v>
      </c>
      <c r="H185" s="75">
        <v>988</v>
      </c>
      <c r="I185" s="45">
        <v>0.62532407407407409</v>
      </c>
      <c r="J185" s="75">
        <f t="shared" ref="J185:J207" si="38">RIGHT(A185,6)+0</f>
        <v>110043</v>
      </c>
      <c r="K185" s="87">
        <f t="shared" ref="K185:K207" si="39">C185+0</f>
        <v>106.36</v>
      </c>
      <c r="L185" s="81">
        <f t="shared" ref="L185:L207" si="40">D185</f>
        <v>5.7999999999999996E-3</v>
      </c>
      <c r="M185" s="74">
        <f t="shared" ref="M185:M207" si="41">H185</f>
        <v>988</v>
      </c>
      <c r="N185" s="93">
        <v>106.36</v>
      </c>
      <c r="O185" s="93">
        <v>106.52</v>
      </c>
      <c r="P185" s="93">
        <v>105.76</v>
      </c>
    </row>
    <row r="186" spans="1:16">
      <c r="A186" s="73" t="s">
        <v>870</v>
      </c>
      <c r="B186" s="73" t="s">
        <v>985</v>
      </c>
      <c r="C186" s="88">
        <v>124.55</v>
      </c>
      <c r="D186" s="109">
        <v>1.41E-2</v>
      </c>
      <c r="E186" s="82">
        <v>1.95E-2</v>
      </c>
      <c r="F186" s="110">
        <v>124.82</v>
      </c>
      <c r="G186" s="98">
        <v>122.42</v>
      </c>
      <c r="H186" s="75">
        <v>10661</v>
      </c>
      <c r="I186" s="45">
        <v>0.62532407407407409</v>
      </c>
      <c r="J186" s="75">
        <f t="shared" si="38"/>
        <v>110051</v>
      </c>
      <c r="K186" s="87">
        <f t="shared" si="39"/>
        <v>124.55</v>
      </c>
      <c r="L186" s="81">
        <f t="shared" si="40"/>
        <v>1.41E-2</v>
      </c>
      <c r="M186" s="74">
        <f t="shared" si="41"/>
        <v>10661</v>
      </c>
      <c r="N186" s="93">
        <v>124.56</v>
      </c>
      <c r="O186" s="93">
        <v>124.76</v>
      </c>
      <c r="P186" s="93">
        <v>122.42</v>
      </c>
    </row>
    <row r="187" spans="1:16">
      <c r="A187" s="73" t="s">
        <v>871</v>
      </c>
      <c r="B187" s="73" t="s">
        <v>1390</v>
      </c>
      <c r="C187" s="88">
        <v>104.87</v>
      </c>
      <c r="D187" s="105">
        <v>-2.9999999999999997E-4</v>
      </c>
      <c r="E187" s="82">
        <v>4.3E-3</v>
      </c>
      <c r="F187" s="110">
        <v>105.09</v>
      </c>
      <c r="G187" s="98">
        <v>104.64</v>
      </c>
      <c r="H187" s="75">
        <v>19309</v>
      </c>
      <c r="I187" s="45">
        <v>0.62532407407407409</v>
      </c>
      <c r="J187" s="75">
        <f t="shared" si="38"/>
        <v>110059</v>
      </c>
      <c r="K187" s="87">
        <f t="shared" si="39"/>
        <v>104.87</v>
      </c>
      <c r="L187" s="81">
        <f t="shared" si="40"/>
        <v>-2.9999999999999997E-4</v>
      </c>
      <c r="M187" s="74">
        <f t="shared" si="41"/>
        <v>19309</v>
      </c>
      <c r="N187" s="93">
        <v>104.85</v>
      </c>
      <c r="O187" s="93">
        <v>104.88</v>
      </c>
      <c r="P187" s="93">
        <v>104.8</v>
      </c>
    </row>
    <row r="188" spans="1:16">
      <c r="A188" s="73" t="s">
        <v>872</v>
      </c>
      <c r="B188" s="73" t="s">
        <v>1391</v>
      </c>
      <c r="C188" s="88">
        <v>106.12</v>
      </c>
      <c r="D188" s="109">
        <v>2.0999999999999999E-3</v>
      </c>
      <c r="E188" s="82">
        <v>1.23E-2</v>
      </c>
      <c r="F188" s="110">
        <v>107</v>
      </c>
      <c r="G188" s="98">
        <v>105.7</v>
      </c>
      <c r="H188" s="75">
        <v>528</v>
      </c>
      <c r="I188" s="45">
        <v>0.62532407407407409</v>
      </c>
      <c r="J188" s="75">
        <f t="shared" si="38"/>
        <v>110064</v>
      </c>
      <c r="K188" s="87">
        <f t="shared" si="39"/>
        <v>106.12</v>
      </c>
      <c r="L188" s="81">
        <f t="shared" si="40"/>
        <v>2.0999999999999999E-3</v>
      </c>
      <c r="M188" s="74">
        <f t="shared" si="41"/>
        <v>528</v>
      </c>
      <c r="N188" s="93">
        <v>106.11</v>
      </c>
      <c r="O188" s="93">
        <v>106.31</v>
      </c>
      <c r="P188" s="93">
        <v>105.9</v>
      </c>
    </row>
    <row r="189" spans="1:16">
      <c r="A189" s="73" t="s">
        <v>873</v>
      </c>
      <c r="B189" s="73" t="s">
        <v>1301</v>
      </c>
      <c r="C189" s="88">
        <v>102.8</v>
      </c>
      <c r="D189" s="109">
        <v>1.09E-2</v>
      </c>
      <c r="E189" s="82">
        <v>1.4200000000000001E-2</v>
      </c>
      <c r="F189" s="110">
        <v>103</v>
      </c>
      <c r="G189" s="98">
        <v>101.56</v>
      </c>
      <c r="H189" s="75">
        <v>3274</v>
      </c>
      <c r="I189" s="45">
        <v>0.62532407407407409</v>
      </c>
      <c r="J189" s="75">
        <f t="shared" si="38"/>
        <v>113017</v>
      </c>
      <c r="K189" s="87">
        <f t="shared" si="39"/>
        <v>102.8</v>
      </c>
      <c r="L189" s="81">
        <f t="shared" si="40"/>
        <v>1.09E-2</v>
      </c>
      <c r="M189" s="74">
        <f t="shared" si="41"/>
        <v>3274</v>
      </c>
      <c r="N189" s="93">
        <v>102.79</v>
      </c>
      <c r="O189" s="93">
        <v>102.8</v>
      </c>
      <c r="P189" s="93">
        <v>102.51</v>
      </c>
    </row>
    <row r="190" spans="1:16">
      <c r="A190" s="73" t="s">
        <v>874</v>
      </c>
      <c r="B190" s="73" t="s">
        <v>1392</v>
      </c>
      <c r="C190" s="88">
        <v>106.9</v>
      </c>
      <c r="D190" s="109">
        <v>5.9999999999999995E-4</v>
      </c>
      <c r="E190" s="82">
        <v>5.5999999999999999E-3</v>
      </c>
      <c r="F190" s="110">
        <v>107.19</v>
      </c>
      <c r="G190" s="98">
        <v>106.59</v>
      </c>
      <c r="H190" s="75">
        <v>4307</v>
      </c>
      <c r="I190" s="45">
        <v>0.62532407407407409</v>
      </c>
      <c r="J190" s="75">
        <f t="shared" si="38"/>
        <v>113021</v>
      </c>
      <c r="K190" s="87">
        <f t="shared" si="39"/>
        <v>106.9</v>
      </c>
      <c r="L190" s="81">
        <f t="shared" si="40"/>
        <v>5.9999999999999995E-4</v>
      </c>
      <c r="M190" s="74">
        <f t="shared" si="41"/>
        <v>4307</v>
      </c>
      <c r="N190" s="93">
        <v>106.9</v>
      </c>
      <c r="O190" s="93">
        <v>107</v>
      </c>
      <c r="P190" s="93">
        <v>106.98</v>
      </c>
    </row>
    <row r="191" spans="1:16">
      <c r="A191" s="73" t="s">
        <v>875</v>
      </c>
      <c r="B191" s="73" t="s">
        <v>1393</v>
      </c>
      <c r="C191" s="88">
        <v>102.82</v>
      </c>
      <c r="D191" s="109">
        <v>1.1999999999999999E-3</v>
      </c>
      <c r="E191" s="82">
        <v>4.4000000000000003E-3</v>
      </c>
      <c r="F191" s="110">
        <v>102.98</v>
      </c>
      <c r="G191" s="98">
        <v>102.53</v>
      </c>
      <c r="H191" s="75">
        <v>721</v>
      </c>
      <c r="I191" s="45">
        <v>0.62532407407407409</v>
      </c>
      <c r="J191" s="75">
        <f t="shared" si="38"/>
        <v>113024</v>
      </c>
      <c r="K191" s="87">
        <f t="shared" si="39"/>
        <v>102.82</v>
      </c>
      <c r="L191" s="81">
        <f t="shared" si="40"/>
        <v>1.1999999999999999E-3</v>
      </c>
      <c r="M191" s="74">
        <f t="shared" si="41"/>
        <v>721</v>
      </c>
      <c r="N191" s="93">
        <v>102.8</v>
      </c>
      <c r="O191" s="93">
        <v>102.89</v>
      </c>
      <c r="P191" s="93">
        <v>102.71</v>
      </c>
    </row>
    <row r="192" spans="1:16">
      <c r="A192" s="73" t="s">
        <v>876</v>
      </c>
      <c r="B192" s="73" t="s">
        <v>1394</v>
      </c>
      <c r="C192" s="88">
        <v>101.79</v>
      </c>
      <c r="D192" s="109">
        <v>1.1999999999999999E-3</v>
      </c>
      <c r="E192" s="82">
        <v>3.5000000000000001E-3</v>
      </c>
      <c r="F192" s="110">
        <v>101.94</v>
      </c>
      <c r="G192" s="98">
        <v>101.58</v>
      </c>
      <c r="H192" s="75">
        <v>4301</v>
      </c>
      <c r="I192" s="45">
        <v>0.62532407407407409</v>
      </c>
      <c r="J192" s="75">
        <f t="shared" si="38"/>
        <v>113026</v>
      </c>
      <c r="K192" s="87">
        <f t="shared" si="39"/>
        <v>101.79</v>
      </c>
      <c r="L192" s="81">
        <f t="shared" si="40"/>
        <v>1.1999999999999999E-3</v>
      </c>
      <c r="M192" s="74">
        <f t="shared" si="41"/>
        <v>4301</v>
      </c>
      <c r="N192" s="93">
        <v>101.74</v>
      </c>
      <c r="O192" s="93">
        <v>101.82</v>
      </c>
      <c r="P192" s="93">
        <v>101.67</v>
      </c>
    </row>
    <row r="193" spans="1:16">
      <c r="A193" s="73" t="s">
        <v>877</v>
      </c>
      <c r="B193" s="73" t="s">
        <v>1395</v>
      </c>
      <c r="C193" s="88">
        <v>105.69</v>
      </c>
      <c r="D193" s="109">
        <v>1.15E-2</v>
      </c>
      <c r="E193" s="82">
        <v>1.89E-2</v>
      </c>
      <c r="F193" s="110">
        <v>105.97</v>
      </c>
      <c r="G193" s="98">
        <v>103.99</v>
      </c>
      <c r="H193" s="75">
        <v>624</v>
      </c>
      <c r="I193" s="45">
        <v>0.62532407407407409</v>
      </c>
      <c r="J193" s="75">
        <f t="shared" si="38"/>
        <v>113505</v>
      </c>
      <c r="K193" s="87">
        <f t="shared" si="39"/>
        <v>105.69</v>
      </c>
      <c r="L193" s="81">
        <f t="shared" si="40"/>
        <v>1.15E-2</v>
      </c>
      <c r="M193" s="74">
        <f t="shared" si="41"/>
        <v>624</v>
      </c>
      <c r="N193" s="93">
        <v>105.59</v>
      </c>
      <c r="O193" s="93">
        <v>105.7</v>
      </c>
      <c r="P193" s="93">
        <v>103.99</v>
      </c>
    </row>
    <row r="194" spans="1:16">
      <c r="A194" s="73" t="s">
        <v>878</v>
      </c>
      <c r="B194" s="73" t="s">
        <v>1396</v>
      </c>
      <c r="C194" s="88">
        <v>103.35</v>
      </c>
      <c r="D194" s="109">
        <v>5.4000000000000003E-3</v>
      </c>
      <c r="E194" s="82">
        <v>6.3E-3</v>
      </c>
      <c r="F194" s="110">
        <v>103.44</v>
      </c>
      <c r="G194" s="154">
        <v>102.79</v>
      </c>
      <c r="H194" s="75">
        <v>79</v>
      </c>
      <c r="I194" s="45">
        <v>0.62532407407407409</v>
      </c>
      <c r="J194" s="75">
        <f t="shared" si="38"/>
        <v>113508</v>
      </c>
      <c r="K194" s="87">
        <f t="shared" si="39"/>
        <v>103.35</v>
      </c>
      <c r="L194" s="81">
        <f t="shared" si="40"/>
        <v>5.4000000000000003E-3</v>
      </c>
      <c r="M194" s="74">
        <f t="shared" si="41"/>
        <v>79</v>
      </c>
      <c r="N194" s="93">
        <v>103.35</v>
      </c>
      <c r="O194" s="93">
        <v>103.43</v>
      </c>
      <c r="P194" s="93">
        <v>102.94</v>
      </c>
    </row>
    <row r="195" spans="1:16">
      <c r="A195" s="73" t="s">
        <v>879</v>
      </c>
      <c r="B195" s="73" t="s">
        <v>1397</v>
      </c>
      <c r="C195" s="88">
        <v>104.38</v>
      </c>
      <c r="D195" s="105">
        <v>-2.0000000000000001E-4</v>
      </c>
      <c r="E195" s="82">
        <v>6.6E-3</v>
      </c>
      <c r="F195" s="110">
        <v>104.89</v>
      </c>
      <c r="G195" s="98">
        <v>104.2</v>
      </c>
      <c r="H195" s="75">
        <v>1137</v>
      </c>
      <c r="I195" s="45">
        <v>0.62532407407407409</v>
      </c>
      <c r="J195" s="75">
        <f t="shared" si="38"/>
        <v>113516</v>
      </c>
      <c r="K195" s="87">
        <f t="shared" si="39"/>
        <v>104.38</v>
      </c>
      <c r="L195" s="81">
        <f t="shared" si="40"/>
        <v>-2.0000000000000001E-4</v>
      </c>
      <c r="M195" s="74">
        <f t="shared" si="41"/>
        <v>1137</v>
      </c>
      <c r="N195" s="93">
        <v>104.32</v>
      </c>
      <c r="O195" s="93">
        <v>104.56</v>
      </c>
      <c r="P195" s="93">
        <v>104.41</v>
      </c>
    </row>
    <row r="196" spans="1:16">
      <c r="A196" s="73" t="s">
        <v>880</v>
      </c>
      <c r="B196" s="73" t="s">
        <v>1398</v>
      </c>
      <c r="C196" s="88">
        <v>104.55</v>
      </c>
      <c r="D196" s="109">
        <v>6.8999999999999999E-3</v>
      </c>
      <c r="E196" s="82">
        <v>1.0800000000000001E-2</v>
      </c>
      <c r="F196" s="110">
        <v>104.98</v>
      </c>
      <c r="G196" s="110">
        <v>103.86</v>
      </c>
      <c r="H196" s="75">
        <v>89</v>
      </c>
      <c r="I196" s="45">
        <v>0.62532407407407409</v>
      </c>
      <c r="J196" s="75">
        <f t="shared" si="38"/>
        <v>113525</v>
      </c>
      <c r="K196" s="87">
        <f t="shared" si="39"/>
        <v>104.55</v>
      </c>
      <c r="L196" s="81">
        <f t="shared" si="40"/>
        <v>6.8999999999999999E-3</v>
      </c>
      <c r="M196" s="74">
        <f t="shared" si="41"/>
        <v>89</v>
      </c>
      <c r="N196" s="93">
        <v>104.56</v>
      </c>
      <c r="O196" s="93">
        <v>104.76</v>
      </c>
      <c r="P196" s="93">
        <v>103.86</v>
      </c>
    </row>
    <row r="197" spans="1:16">
      <c r="A197" s="73" t="s">
        <v>881</v>
      </c>
      <c r="B197" s="73" t="s">
        <v>1399</v>
      </c>
      <c r="C197" s="88">
        <v>102.62</v>
      </c>
      <c r="D197" s="109">
        <v>1.8E-3</v>
      </c>
      <c r="E197" s="82">
        <v>6.8999999999999999E-3</v>
      </c>
      <c r="F197" s="110">
        <v>102.79</v>
      </c>
      <c r="G197" s="98">
        <v>102.08</v>
      </c>
      <c r="H197" s="75">
        <v>559</v>
      </c>
      <c r="I197" s="45">
        <v>0.62532407407407409</v>
      </c>
      <c r="J197" s="75">
        <f t="shared" si="38"/>
        <v>113528</v>
      </c>
      <c r="K197" s="87">
        <f t="shared" si="39"/>
        <v>102.62</v>
      </c>
      <c r="L197" s="81">
        <f t="shared" si="40"/>
        <v>1.8E-3</v>
      </c>
      <c r="M197" s="74">
        <f t="shared" si="41"/>
        <v>559</v>
      </c>
      <c r="N197" s="93">
        <v>102.66</v>
      </c>
      <c r="O197" s="93">
        <v>102.74</v>
      </c>
      <c r="P197" s="93">
        <v>102.08</v>
      </c>
    </row>
    <row r="198" spans="1:16">
      <c r="A198" s="73" t="s">
        <v>882</v>
      </c>
      <c r="B198" s="73" t="s">
        <v>1400</v>
      </c>
      <c r="C198" s="88">
        <v>103.73</v>
      </c>
      <c r="D198" s="109">
        <v>5.7000000000000002E-3</v>
      </c>
      <c r="E198" s="82">
        <v>1.01E-2</v>
      </c>
      <c r="F198" s="110">
        <v>103.79</v>
      </c>
      <c r="G198" s="98">
        <v>102.75</v>
      </c>
      <c r="H198" s="75">
        <v>177</v>
      </c>
      <c r="I198" s="45">
        <v>0.62532407407407409</v>
      </c>
      <c r="J198" s="75">
        <f t="shared" si="38"/>
        <v>113532</v>
      </c>
      <c r="K198" s="87">
        <f t="shared" si="39"/>
        <v>103.73</v>
      </c>
      <c r="L198" s="81">
        <f t="shared" si="40"/>
        <v>5.7000000000000002E-3</v>
      </c>
      <c r="M198" s="74">
        <f t="shared" si="41"/>
        <v>177</v>
      </c>
      <c r="N198" s="93">
        <v>103.66</v>
      </c>
      <c r="O198" s="93">
        <v>103.79</v>
      </c>
      <c r="P198" s="93">
        <v>103.21</v>
      </c>
    </row>
    <row r="199" spans="1:16">
      <c r="A199" s="73" t="s">
        <v>883</v>
      </c>
      <c r="B199" s="73" t="s">
        <v>1401</v>
      </c>
      <c r="C199" s="88">
        <v>101.43</v>
      </c>
      <c r="D199" s="109">
        <v>9.1999999999999998E-3</v>
      </c>
      <c r="E199" s="82">
        <v>1.5100000000000001E-2</v>
      </c>
      <c r="F199" s="110">
        <v>101.51</v>
      </c>
      <c r="G199" s="98">
        <v>99.99</v>
      </c>
      <c r="H199" s="75">
        <v>652</v>
      </c>
      <c r="I199" s="45">
        <v>0.62532407407407409</v>
      </c>
      <c r="J199" s="75">
        <f t="shared" si="38"/>
        <v>113535</v>
      </c>
      <c r="K199" s="87">
        <f t="shared" si="39"/>
        <v>101.43</v>
      </c>
      <c r="L199" s="81">
        <f t="shared" si="40"/>
        <v>9.1999999999999998E-3</v>
      </c>
      <c r="M199" s="74">
        <f t="shared" si="41"/>
        <v>652</v>
      </c>
      <c r="N199" s="93">
        <v>101.43</v>
      </c>
      <c r="O199" s="93">
        <v>101.44</v>
      </c>
      <c r="P199" s="93">
        <v>100.17</v>
      </c>
    </row>
    <row r="200" spans="1:16">
      <c r="A200" s="73" t="s">
        <v>884</v>
      </c>
      <c r="B200" s="73" t="s">
        <v>1402</v>
      </c>
      <c r="C200" s="88">
        <v>107.52</v>
      </c>
      <c r="D200" s="109">
        <v>4.7999999999999996E-3</v>
      </c>
      <c r="E200" s="82">
        <v>8.0000000000000002E-3</v>
      </c>
      <c r="F200" s="110">
        <v>107.85</v>
      </c>
      <c r="G200" s="98">
        <v>106.99</v>
      </c>
      <c r="H200" s="75">
        <v>313</v>
      </c>
      <c r="I200" s="45">
        <v>0.62532407407407409</v>
      </c>
      <c r="J200" s="75">
        <f t="shared" si="38"/>
        <v>113545</v>
      </c>
      <c r="K200" s="87">
        <f t="shared" si="39"/>
        <v>107.52</v>
      </c>
      <c r="L200" s="81">
        <f t="shared" si="40"/>
        <v>4.7999999999999996E-3</v>
      </c>
      <c r="M200" s="74">
        <f t="shared" si="41"/>
        <v>313</v>
      </c>
      <c r="N200" s="93">
        <v>107.51</v>
      </c>
      <c r="O200" s="93">
        <v>107.57</v>
      </c>
      <c r="P200" s="93">
        <v>107.29</v>
      </c>
    </row>
    <row r="201" spans="1:16">
      <c r="A201" s="73" t="s">
        <v>885</v>
      </c>
      <c r="B201" s="73" t="s">
        <v>1281</v>
      </c>
      <c r="C201" s="88">
        <v>108.77</v>
      </c>
      <c r="D201" s="109">
        <v>1.4200000000000001E-2</v>
      </c>
      <c r="E201" s="82">
        <v>2.5499999999999998E-2</v>
      </c>
      <c r="F201" s="110">
        <v>109.08</v>
      </c>
      <c r="G201" s="98">
        <v>106.35</v>
      </c>
      <c r="H201" s="75">
        <v>261</v>
      </c>
      <c r="I201" s="45">
        <v>0.625</v>
      </c>
      <c r="J201" s="75">
        <f t="shared" si="38"/>
        <v>113549</v>
      </c>
      <c r="K201" s="87">
        <f t="shared" si="39"/>
        <v>108.77</v>
      </c>
      <c r="L201" s="81">
        <f t="shared" si="40"/>
        <v>1.4200000000000001E-2</v>
      </c>
      <c r="M201" s="74">
        <f t="shared" si="41"/>
        <v>261</v>
      </c>
      <c r="N201" s="93">
        <v>108.72</v>
      </c>
      <c r="O201" s="93">
        <v>108.77</v>
      </c>
      <c r="P201" s="93">
        <v>106.35</v>
      </c>
    </row>
    <row r="202" spans="1:16">
      <c r="A202" s="73" t="s">
        <v>886</v>
      </c>
      <c r="B202" s="73" t="s">
        <v>1282</v>
      </c>
      <c r="C202" s="88">
        <v>104.348</v>
      </c>
      <c r="D202" s="109">
        <v>1.6999999999999999E-3</v>
      </c>
      <c r="E202" s="82">
        <v>8.0000000000000002E-3</v>
      </c>
      <c r="F202" s="110">
        <v>104.43899999999999</v>
      </c>
      <c r="G202" s="98">
        <v>103.602</v>
      </c>
      <c r="H202" s="75">
        <v>334</v>
      </c>
      <c r="I202" s="45">
        <v>0.62503472222222223</v>
      </c>
      <c r="J202" s="75">
        <f t="shared" si="38"/>
        <v>128064</v>
      </c>
      <c r="K202" s="87">
        <f t="shared" si="39"/>
        <v>104.348</v>
      </c>
      <c r="L202" s="81">
        <f t="shared" si="40"/>
        <v>1.6999999999999999E-3</v>
      </c>
      <c r="M202" s="74">
        <f t="shared" si="41"/>
        <v>334</v>
      </c>
      <c r="N202" s="93">
        <v>104.31</v>
      </c>
      <c r="O202" s="93">
        <v>104.348</v>
      </c>
      <c r="P202" s="93">
        <v>103.7</v>
      </c>
    </row>
    <row r="203" spans="1:16">
      <c r="A203" s="73" t="s">
        <v>887</v>
      </c>
      <c r="B203" s="73" t="s">
        <v>1403</v>
      </c>
      <c r="C203" s="88">
        <v>109.32</v>
      </c>
      <c r="D203" s="109">
        <v>8.5000000000000006E-3</v>
      </c>
      <c r="E203" s="82">
        <v>2.6700000000000002E-2</v>
      </c>
      <c r="F203" s="110">
        <v>109.899</v>
      </c>
      <c r="G203" s="98">
        <v>107</v>
      </c>
      <c r="H203" s="75">
        <v>433</v>
      </c>
      <c r="I203" s="45">
        <v>0.62503472222222223</v>
      </c>
      <c r="J203" s="75">
        <f t="shared" si="38"/>
        <v>128071</v>
      </c>
      <c r="K203" s="87">
        <f t="shared" si="39"/>
        <v>109.32</v>
      </c>
      <c r="L203" s="81">
        <f t="shared" si="40"/>
        <v>8.5000000000000006E-3</v>
      </c>
      <c r="M203" s="74">
        <f t="shared" si="41"/>
        <v>433</v>
      </c>
      <c r="N203" s="93">
        <v>109.2</v>
      </c>
      <c r="O203" s="93">
        <v>109.32</v>
      </c>
      <c r="P203" s="93">
        <v>108.2</v>
      </c>
    </row>
    <row r="204" spans="1:16">
      <c r="A204" s="73" t="s">
        <v>888</v>
      </c>
      <c r="B204" s="73" t="s">
        <v>1404</v>
      </c>
      <c r="C204" s="88">
        <v>105.42100000000001</v>
      </c>
      <c r="D204" s="109">
        <v>1.0699999999999999E-2</v>
      </c>
      <c r="E204" s="82">
        <v>1.34E-2</v>
      </c>
      <c r="F204" s="110">
        <v>105.56</v>
      </c>
      <c r="G204" s="98">
        <v>104.161</v>
      </c>
      <c r="H204" s="75">
        <v>404</v>
      </c>
      <c r="I204" s="45">
        <v>0.62503472222222223</v>
      </c>
      <c r="J204" s="75">
        <f t="shared" si="38"/>
        <v>128082</v>
      </c>
      <c r="K204" s="87">
        <f t="shared" si="39"/>
        <v>105.42100000000001</v>
      </c>
      <c r="L204" s="81">
        <f t="shared" si="40"/>
        <v>1.0699999999999999E-2</v>
      </c>
      <c r="M204" s="74">
        <f t="shared" si="41"/>
        <v>404</v>
      </c>
      <c r="N204" s="93">
        <v>105.42</v>
      </c>
      <c r="O204" s="93">
        <v>105.42100000000001</v>
      </c>
      <c r="P204" s="93">
        <v>104.461</v>
      </c>
    </row>
    <row r="205" spans="1:16">
      <c r="A205" s="73" t="s">
        <v>889</v>
      </c>
      <c r="B205" s="73" t="s">
        <v>892</v>
      </c>
      <c r="C205" s="88">
        <v>108.88</v>
      </c>
      <c r="D205" s="109">
        <v>8.0999999999999996E-3</v>
      </c>
      <c r="E205" s="82">
        <v>1.3100000000000001E-2</v>
      </c>
      <c r="F205" s="110">
        <v>109.194</v>
      </c>
      <c r="G205" s="98">
        <v>107.78</v>
      </c>
      <c r="H205" s="75">
        <v>3415</v>
      </c>
      <c r="I205" s="45">
        <v>0.62503472222222223</v>
      </c>
      <c r="J205" s="75">
        <f t="shared" si="38"/>
        <v>128085</v>
      </c>
      <c r="K205" s="87">
        <f t="shared" si="39"/>
        <v>108.88</v>
      </c>
      <c r="L205" s="81">
        <f t="shared" si="40"/>
        <v>8.0999999999999996E-3</v>
      </c>
      <c r="M205" s="74">
        <f t="shared" si="41"/>
        <v>3415</v>
      </c>
      <c r="N205" s="93">
        <v>108.879</v>
      </c>
      <c r="O205" s="93">
        <v>108.88</v>
      </c>
      <c r="P205" s="93">
        <v>108.004</v>
      </c>
    </row>
    <row r="206" spans="1:16">
      <c r="A206" s="73" t="s">
        <v>890</v>
      </c>
      <c r="B206" s="73" t="s">
        <v>1405</v>
      </c>
      <c r="C206" s="88">
        <v>100.123</v>
      </c>
      <c r="D206" s="109">
        <v>1.03E-2</v>
      </c>
      <c r="E206" s="82">
        <v>1.6899999999999998E-2</v>
      </c>
      <c r="F206" s="110">
        <v>100.77</v>
      </c>
      <c r="G206" s="154">
        <v>99.1</v>
      </c>
      <c r="H206" s="75">
        <v>1844</v>
      </c>
      <c r="I206" s="45">
        <v>0.62503472222222223</v>
      </c>
      <c r="J206" s="75">
        <f t="shared" si="38"/>
        <v>128087</v>
      </c>
      <c r="K206" s="87">
        <f t="shared" si="39"/>
        <v>100.123</v>
      </c>
      <c r="L206" s="81">
        <f t="shared" si="40"/>
        <v>1.03E-2</v>
      </c>
      <c r="M206" s="74">
        <f t="shared" si="41"/>
        <v>1844</v>
      </c>
      <c r="N206" s="93">
        <v>100.12</v>
      </c>
      <c r="O206" s="93">
        <v>100.123</v>
      </c>
      <c r="P206" s="93">
        <v>99.1</v>
      </c>
    </row>
    <row r="207" spans="1:16">
      <c r="A207" s="73" t="s">
        <v>891</v>
      </c>
      <c r="B207" s="73" t="s">
        <v>893</v>
      </c>
      <c r="C207" s="88">
        <v>111.95</v>
      </c>
      <c r="D207" s="109">
        <v>1.6500000000000001E-2</v>
      </c>
      <c r="E207" s="82">
        <v>1.9699999999999999E-2</v>
      </c>
      <c r="F207" s="110">
        <v>112.18</v>
      </c>
      <c r="G207" s="98">
        <v>110.008</v>
      </c>
      <c r="H207" s="75">
        <v>2198</v>
      </c>
      <c r="I207" s="45">
        <v>0.62503472222222223</v>
      </c>
      <c r="J207" s="75">
        <f t="shared" si="38"/>
        <v>128092</v>
      </c>
      <c r="K207" s="87">
        <f t="shared" si="39"/>
        <v>111.95</v>
      </c>
      <c r="L207" s="81">
        <f t="shared" si="40"/>
        <v>1.6500000000000001E-2</v>
      </c>
      <c r="M207" s="74">
        <f t="shared" si="41"/>
        <v>2198</v>
      </c>
      <c r="N207" s="93">
        <v>111.849</v>
      </c>
      <c r="O207" s="93">
        <v>111.95</v>
      </c>
      <c r="P207" s="93">
        <v>110.13</v>
      </c>
    </row>
    <row r="208" spans="1:16">
      <c r="A208" s="73" t="s">
        <v>895</v>
      </c>
      <c r="B208" s="73" t="s">
        <v>1406</v>
      </c>
      <c r="C208" s="88">
        <v>109.4</v>
      </c>
      <c r="D208" s="109">
        <v>3.7000000000000002E-3</v>
      </c>
      <c r="E208" s="82">
        <v>9.1000000000000004E-3</v>
      </c>
      <c r="F208" s="110">
        <v>109.87</v>
      </c>
      <c r="G208" s="98">
        <v>108.88</v>
      </c>
      <c r="H208" s="75">
        <v>175</v>
      </c>
      <c r="I208" s="45">
        <v>0.62532407407407409</v>
      </c>
      <c r="J208" s="75">
        <f t="shared" ref="J208:J230" si="42">RIGHT(A208,6)+0</f>
        <v>110047</v>
      </c>
      <c r="K208" s="87">
        <f t="shared" ref="K208:K226" si="43">C208+0</f>
        <v>109.4</v>
      </c>
      <c r="L208" s="81">
        <f t="shared" ref="L208:L226" si="44">D208</f>
        <v>3.7000000000000002E-3</v>
      </c>
      <c r="M208" s="74">
        <f t="shared" ref="M208:M226" si="45">H208</f>
        <v>175</v>
      </c>
      <c r="N208" s="93">
        <v>109.4</v>
      </c>
      <c r="O208" s="93">
        <v>109.56</v>
      </c>
      <c r="P208" s="93">
        <v>109</v>
      </c>
    </row>
    <row r="209" spans="1:16">
      <c r="A209" s="73" t="s">
        <v>896</v>
      </c>
      <c r="B209" s="73" t="s">
        <v>1407</v>
      </c>
      <c r="C209" s="88">
        <v>109.35</v>
      </c>
      <c r="D209" s="109">
        <v>1.1000000000000001E-3</v>
      </c>
      <c r="E209" s="82">
        <v>6.1999999999999998E-3</v>
      </c>
      <c r="F209" s="110">
        <v>109.49</v>
      </c>
      <c r="G209" s="98">
        <v>108.81</v>
      </c>
      <c r="H209" s="75">
        <v>5684</v>
      </c>
      <c r="I209" s="45">
        <v>0.62532407407407409</v>
      </c>
      <c r="J209" s="75">
        <f t="shared" si="42"/>
        <v>110053</v>
      </c>
      <c r="K209" s="87">
        <f t="shared" si="43"/>
        <v>109.35</v>
      </c>
      <c r="L209" s="81">
        <f t="shared" si="44"/>
        <v>1.1000000000000001E-3</v>
      </c>
      <c r="M209" s="74">
        <f t="shared" si="45"/>
        <v>5684</v>
      </c>
      <c r="N209" s="93">
        <v>109.35</v>
      </c>
      <c r="O209" s="93">
        <v>109.48</v>
      </c>
      <c r="P209" s="93">
        <v>109.23</v>
      </c>
    </row>
    <row r="210" spans="1:16">
      <c r="A210" s="73" t="s">
        <v>897</v>
      </c>
      <c r="B210" s="73" t="s">
        <v>914</v>
      </c>
      <c r="C210" s="88">
        <v>113.04</v>
      </c>
      <c r="D210" s="109">
        <v>1.7600000000000001E-2</v>
      </c>
      <c r="E210" s="82">
        <v>2.8500000000000001E-2</v>
      </c>
      <c r="F210" s="110">
        <v>113.22</v>
      </c>
      <c r="G210" s="98">
        <v>110.05</v>
      </c>
      <c r="H210" s="75">
        <v>324</v>
      </c>
      <c r="I210" s="45">
        <v>0.62532407407407409</v>
      </c>
      <c r="J210" s="75">
        <f t="shared" si="42"/>
        <v>110060</v>
      </c>
      <c r="K210" s="87">
        <f t="shared" si="43"/>
        <v>113.04</v>
      </c>
      <c r="L210" s="81">
        <f t="shared" si="44"/>
        <v>1.7600000000000001E-2</v>
      </c>
      <c r="M210" s="74">
        <f t="shared" si="45"/>
        <v>324</v>
      </c>
      <c r="N210" s="93">
        <v>113</v>
      </c>
      <c r="O210" s="93">
        <v>113.16</v>
      </c>
      <c r="P210" s="93">
        <v>110.05</v>
      </c>
    </row>
    <row r="211" spans="1:16">
      <c r="A211" s="73" t="s">
        <v>898</v>
      </c>
      <c r="B211" s="73" t="s">
        <v>1408</v>
      </c>
      <c r="C211" s="88">
        <v>105.15</v>
      </c>
      <c r="D211" s="109">
        <v>6.1999999999999998E-3</v>
      </c>
      <c r="E211" s="82">
        <v>1.2699999999999999E-2</v>
      </c>
      <c r="F211" s="110">
        <v>105.5</v>
      </c>
      <c r="G211" s="98">
        <v>104.17</v>
      </c>
      <c r="H211" s="75">
        <v>460</v>
      </c>
      <c r="I211" s="45">
        <v>0.62532407407407409</v>
      </c>
      <c r="J211" s="75">
        <f t="shared" si="42"/>
        <v>113025</v>
      </c>
      <c r="K211" s="87">
        <f t="shared" si="43"/>
        <v>105.15</v>
      </c>
      <c r="L211" s="81">
        <f t="shared" si="44"/>
        <v>6.1999999999999998E-3</v>
      </c>
      <c r="M211" s="74">
        <f t="shared" si="45"/>
        <v>460</v>
      </c>
      <c r="N211" s="93">
        <v>105.09</v>
      </c>
      <c r="O211" s="93">
        <v>105.48</v>
      </c>
      <c r="P211" s="93">
        <v>104.36</v>
      </c>
    </row>
    <row r="212" spans="1:16">
      <c r="A212" s="73" t="s">
        <v>899</v>
      </c>
      <c r="B212" s="73" t="s">
        <v>1409</v>
      </c>
      <c r="C212" s="88">
        <v>102.1</v>
      </c>
      <c r="D212" s="109">
        <v>1.6999999999999999E-3</v>
      </c>
      <c r="E212" s="82">
        <v>6.0000000000000001E-3</v>
      </c>
      <c r="F212" s="110">
        <v>102.48</v>
      </c>
      <c r="G212" s="98">
        <v>101.87</v>
      </c>
      <c r="H212" s="75">
        <v>2287</v>
      </c>
      <c r="I212" s="45">
        <v>0.62532407407407409</v>
      </c>
      <c r="J212" s="75">
        <f t="shared" si="42"/>
        <v>113027</v>
      </c>
      <c r="K212" s="87">
        <f t="shared" si="43"/>
        <v>102.1</v>
      </c>
      <c r="L212" s="81">
        <f t="shared" si="44"/>
        <v>1.6999999999999999E-3</v>
      </c>
      <c r="M212" s="74">
        <f t="shared" si="45"/>
        <v>2287</v>
      </c>
      <c r="N212" s="93">
        <v>102.1</v>
      </c>
      <c r="O212" s="93">
        <v>102.14</v>
      </c>
      <c r="P212" s="93">
        <v>102.17</v>
      </c>
    </row>
    <row r="213" spans="1:16">
      <c r="A213" s="73" t="s">
        <v>900</v>
      </c>
      <c r="B213" s="73" t="s">
        <v>1410</v>
      </c>
      <c r="C213" s="88">
        <v>109.21</v>
      </c>
      <c r="D213" s="109">
        <v>1.0999999999999999E-2</v>
      </c>
      <c r="E213" s="82">
        <v>3.56E-2</v>
      </c>
      <c r="F213" s="110">
        <v>110.87</v>
      </c>
      <c r="G213" s="98">
        <v>107.02</v>
      </c>
      <c r="H213" s="75">
        <v>144</v>
      </c>
      <c r="I213" s="45">
        <v>0.62532407407407409</v>
      </c>
      <c r="J213" s="75">
        <f t="shared" si="42"/>
        <v>113030</v>
      </c>
      <c r="K213" s="87">
        <f t="shared" si="43"/>
        <v>109.21</v>
      </c>
      <c r="L213" s="81">
        <f t="shared" si="44"/>
        <v>1.0999999999999999E-2</v>
      </c>
      <c r="M213" s="74">
        <f t="shared" si="45"/>
        <v>144</v>
      </c>
      <c r="N213" s="93">
        <v>108.3</v>
      </c>
      <c r="O213" s="93">
        <v>108.99</v>
      </c>
      <c r="P213" s="93">
        <v>107.02</v>
      </c>
    </row>
    <row r="214" spans="1:16">
      <c r="A214" s="73" t="s">
        <v>901</v>
      </c>
      <c r="B214" s="73" t="s">
        <v>955</v>
      </c>
      <c r="C214" s="88">
        <v>113.23</v>
      </c>
      <c r="D214" s="109">
        <v>2.93E-2</v>
      </c>
      <c r="E214" s="82">
        <v>3.5900000000000001E-2</v>
      </c>
      <c r="F214" s="110">
        <v>113.25</v>
      </c>
      <c r="G214" s="98">
        <v>109.3</v>
      </c>
      <c r="H214" s="75">
        <v>1754</v>
      </c>
      <c r="I214" s="45">
        <v>0.62532407407407409</v>
      </c>
      <c r="J214" s="75">
        <f t="shared" si="42"/>
        <v>113542</v>
      </c>
      <c r="K214" s="87">
        <f t="shared" si="43"/>
        <v>113.23</v>
      </c>
      <c r="L214" s="81">
        <f t="shared" si="44"/>
        <v>2.93E-2</v>
      </c>
      <c r="M214" s="74">
        <f t="shared" si="45"/>
        <v>1754</v>
      </c>
      <c r="N214" s="93">
        <v>113.01</v>
      </c>
      <c r="O214" s="93">
        <v>113.23</v>
      </c>
      <c r="P214" s="93">
        <v>109.88</v>
      </c>
    </row>
    <row r="215" spans="1:16">
      <c r="A215" s="73" t="s">
        <v>902</v>
      </c>
      <c r="B215" s="73" t="s">
        <v>1411</v>
      </c>
      <c r="C215" s="88">
        <v>102.752</v>
      </c>
      <c r="D215" s="109">
        <v>5.4000000000000003E-3</v>
      </c>
      <c r="E215" s="82">
        <v>9.1000000000000004E-3</v>
      </c>
      <c r="F215" s="110">
        <v>102.93</v>
      </c>
      <c r="G215" s="98">
        <v>102.001</v>
      </c>
      <c r="H215" s="75">
        <v>579</v>
      </c>
      <c r="I215" s="45">
        <v>0.62503472222222223</v>
      </c>
      <c r="J215" s="75">
        <f t="shared" si="42"/>
        <v>123011</v>
      </c>
      <c r="K215" s="87">
        <f t="shared" si="43"/>
        <v>102.752</v>
      </c>
      <c r="L215" s="81">
        <f t="shared" si="44"/>
        <v>5.4000000000000003E-3</v>
      </c>
      <c r="M215" s="74">
        <f t="shared" si="45"/>
        <v>579</v>
      </c>
      <c r="N215" s="93">
        <v>102.752</v>
      </c>
      <c r="O215" s="93">
        <v>102.8</v>
      </c>
      <c r="P215" s="93">
        <v>102.589</v>
      </c>
    </row>
    <row r="216" spans="1:16">
      <c r="A216" s="73" t="s">
        <v>903</v>
      </c>
      <c r="B216" s="73" t="s">
        <v>1412</v>
      </c>
      <c r="C216" s="88">
        <v>136.11000000000001</v>
      </c>
      <c r="D216" s="105">
        <v>-4.48E-2</v>
      </c>
      <c r="E216" s="82">
        <v>5.5599999999999997E-2</v>
      </c>
      <c r="F216" s="110">
        <v>143.38900000000001</v>
      </c>
      <c r="G216" s="98">
        <v>135.46899999999999</v>
      </c>
      <c r="H216" s="75">
        <v>13985</v>
      </c>
      <c r="I216" s="45">
        <v>0.62503472222222223</v>
      </c>
      <c r="J216" s="75">
        <f t="shared" si="42"/>
        <v>123015</v>
      </c>
      <c r="K216" s="87">
        <f t="shared" si="43"/>
        <v>136.11000000000001</v>
      </c>
      <c r="L216" s="81">
        <f t="shared" si="44"/>
        <v>-4.48E-2</v>
      </c>
      <c r="M216" s="74">
        <f t="shared" si="45"/>
        <v>13985</v>
      </c>
      <c r="N216" s="93">
        <v>136.11000000000001</v>
      </c>
      <c r="O216" s="93">
        <v>136.12100000000001</v>
      </c>
      <c r="P216" s="93">
        <v>140</v>
      </c>
    </row>
    <row r="217" spans="1:16">
      <c r="A217" s="73" t="s">
        <v>904</v>
      </c>
      <c r="B217" s="73" t="s">
        <v>956</v>
      </c>
      <c r="C217" s="88">
        <v>106.30200000000001</v>
      </c>
      <c r="D217" s="105" t="s">
        <v>1252</v>
      </c>
      <c r="E217" s="82">
        <v>0</v>
      </c>
      <c r="F217" s="98">
        <v>0</v>
      </c>
      <c r="G217" s="98">
        <v>0</v>
      </c>
      <c r="H217" s="75">
        <v>0</v>
      </c>
      <c r="I217" s="45">
        <v>0.62503472222222223</v>
      </c>
      <c r="J217" s="75">
        <f t="shared" si="42"/>
        <v>123019</v>
      </c>
      <c r="K217" s="87">
        <f t="shared" si="43"/>
        <v>106.30200000000001</v>
      </c>
      <c r="L217" s="81" t="str">
        <f t="shared" si="44"/>
        <v>停牌</v>
      </c>
      <c r="M217" s="74">
        <f t="shared" si="45"/>
        <v>0</v>
      </c>
      <c r="N217" s="93">
        <v>0</v>
      </c>
      <c r="O217" s="93">
        <v>0</v>
      </c>
      <c r="P217" s="93">
        <v>0</v>
      </c>
    </row>
    <row r="218" spans="1:16">
      <c r="A218" s="73" t="s">
        <v>905</v>
      </c>
      <c r="B218" s="73" t="s">
        <v>1413</v>
      </c>
      <c r="C218" s="88">
        <v>114.88</v>
      </c>
      <c r="D218" s="109">
        <v>3.4000000000000002E-2</v>
      </c>
      <c r="E218" s="82">
        <v>3.1600000000000003E-2</v>
      </c>
      <c r="F218" s="110">
        <v>116.51300000000001</v>
      </c>
      <c r="G218" s="110">
        <v>113</v>
      </c>
      <c r="H218" s="75">
        <v>29380</v>
      </c>
      <c r="I218" s="45">
        <v>0.62503472222222223</v>
      </c>
      <c r="J218" s="75">
        <f t="shared" si="42"/>
        <v>127007</v>
      </c>
      <c r="K218" s="87">
        <f t="shared" si="43"/>
        <v>114.88</v>
      </c>
      <c r="L218" s="81">
        <f t="shared" si="44"/>
        <v>3.4000000000000002E-2</v>
      </c>
      <c r="M218" s="74">
        <f t="shared" si="45"/>
        <v>29380</v>
      </c>
      <c r="N218" s="93">
        <v>114.81</v>
      </c>
      <c r="O218" s="93">
        <v>114.88</v>
      </c>
      <c r="P218" s="93">
        <v>114.9</v>
      </c>
    </row>
    <row r="219" spans="1:16">
      <c r="A219" s="73" t="s">
        <v>906</v>
      </c>
      <c r="B219" s="73" t="s">
        <v>1261</v>
      </c>
      <c r="C219" s="88">
        <v>105</v>
      </c>
      <c r="D219" s="109">
        <v>3.8E-3</v>
      </c>
      <c r="E219" s="82">
        <v>0.01</v>
      </c>
      <c r="F219" s="110">
        <v>105.35</v>
      </c>
      <c r="G219" s="98">
        <v>104.3</v>
      </c>
      <c r="H219" s="75">
        <v>736</v>
      </c>
      <c r="I219" s="45">
        <v>0.62503472222222223</v>
      </c>
      <c r="J219" s="75">
        <f t="shared" si="42"/>
        <v>127011</v>
      </c>
      <c r="K219" s="87">
        <f t="shared" si="43"/>
        <v>105</v>
      </c>
      <c r="L219" s="81">
        <f t="shared" si="44"/>
        <v>3.8E-3</v>
      </c>
      <c r="M219" s="74">
        <f t="shared" si="45"/>
        <v>736</v>
      </c>
      <c r="N219" s="93">
        <v>105</v>
      </c>
      <c r="O219" s="93">
        <v>105.158</v>
      </c>
      <c r="P219" s="93">
        <v>104.401</v>
      </c>
    </row>
    <row r="220" spans="1:16">
      <c r="A220" s="73" t="s">
        <v>907</v>
      </c>
      <c r="B220" s="73" t="s">
        <v>957</v>
      </c>
      <c r="C220" s="88">
        <v>111.452</v>
      </c>
      <c r="D220" s="109">
        <v>4.1000000000000003E-3</v>
      </c>
      <c r="E220" s="82">
        <v>8.0000000000000002E-3</v>
      </c>
      <c r="F220" s="110">
        <v>111.89</v>
      </c>
      <c r="G220" s="154">
        <v>111</v>
      </c>
      <c r="H220" s="75">
        <v>30</v>
      </c>
      <c r="I220" s="45">
        <v>0.62503472222222223</v>
      </c>
      <c r="J220" s="75">
        <f t="shared" si="42"/>
        <v>127014</v>
      </c>
      <c r="K220" s="87">
        <f t="shared" si="43"/>
        <v>111.452</v>
      </c>
      <c r="L220" s="81">
        <f t="shared" si="44"/>
        <v>4.1000000000000003E-3</v>
      </c>
      <c r="M220" s="74">
        <f t="shared" si="45"/>
        <v>30</v>
      </c>
      <c r="N220" s="93">
        <v>111.452</v>
      </c>
      <c r="O220" s="93">
        <v>111.453</v>
      </c>
      <c r="P220" s="93">
        <v>111</v>
      </c>
    </row>
    <row r="221" spans="1:16">
      <c r="A221" s="73" t="s">
        <v>908</v>
      </c>
      <c r="B221" s="73" t="s">
        <v>1414</v>
      </c>
      <c r="C221" s="88">
        <v>115.7</v>
      </c>
      <c r="D221" s="109">
        <v>6.1000000000000004E-3</v>
      </c>
      <c r="E221" s="82">
        <v>1.03E-2</v>
      </c>
      <c r="F221" s="110">
        <v>115.70099999999999</v>
      </c>
      <c r="G221" s="98">
        <v>114.511</v>
      </c>
      <c r="H221" s="75">
        <v>528</v>
      </c>
      <c r="I221" s="45">
        <v>0.62503472222222223</v>
      </c>
      <c r="J221" s="75">
        <f t="shared" si="42"/>
        <v>128021</v>
      </c>
      <c r="K221" s="87">
        <f t="shared" si="43"/>
        <v>115.7</v>
      </c>
      <c r="L221" s="81">
        <f t="shared" si="44"/>
        <v>6.1000000000000004E-3</v>
      </c>
      <c r="M221" s="74">
        <f t="shared" si="45"/>
        <v>528</v>
      </c>
      <c r="N221" s="93">
        <v>115.7</v>
      </c>
      <c r="O221" s="93">
        <v>115.70099999999999</v>
      </c>
      <c r="P221" s="93">
        <v>114.511</v>
      </c>
    </row>
    <row r="222" spans="1:16">
      <c r="A222" s="73" t="s">
        <v>909</v>
      </c>
      <c r="B222" s="73" t="s">
        <v>1415</v>
      </c>
      <c r="C222" s="88">
        <v>100.56</v>
      </c>
      <c r="D222" s="109">
        <v>1.6000000000000001E-3</v>
      </c>
      <c r="E222" s="82">
        <v>6.3E-3</v>
      </c>
      <c r="F222" s="110">
        <v>100.76</v>
      </c>
      <c r="G222" s="98">
        <v>100.131</v>
      </c>
      <c r="H222" s="75">
        <v>314</v>
      </c>
      <c r="I222" s="45">
        <v>0.62503472222222223</v>
      </c>
      <c r="J222" s="75">
        <f t="shared" si="42"/>
        <v>128033</v>
      </c>
      <c r="K222" s="87">
        <f t="shared" si="43"/>
        <v>100.56</v>
      </c>
      <c r="L222" s="81">
        <f t="shared" si="44"/>
        <v>1.6000000000000001E-3</v>
      </c>
      <c r="M222" s="74">
        <f t="shared" si="45"/>
        <v>314</v>
      </c>
      <c r="N222" s="93">
        <v>100.56</v>
      </c>
      <c r="O222" s="93">
        <v>100.76</v>
      </c>
      <c r="P222" s="93">
        <v>100.4</v>
      </c>
    </row>
    <row r="223" spans="1:16">
      <c r="A223" s="73" t="s">
        <v>910</v>
      </c>
      <c r="B223" s="73" t="s">
        <v>1262</v>
      </c>
      <c r="C223" s="88">
        <v>146.1</v>
      </c>
      <c r="D223" s="105">
        <v>-0.04</v>
      </c>
      <c r="E223" s="82">
        <v>4.8599999999999997E-2</v>
      </c>
      <c r="F223" s="110">
        <v>153.5</v>
      </c>
      <c r="G223" s="98">
        <v>146.1</v>
      </c>
      <c r="H223" s="75">
        <v>30341</v>
      </c>
      <c r="I223" s="45">
        <v>0.62503472222222223</v>
      </c>
      <c r="J223" s="75">
        <f t="shared" si="42"/>
        <v>128036</v>
      </c>
      <c r="K223" s="87">
        <f t="shared" si="43"/>
        <v>146.1</v>
      </c>
      <c r="L223" s="81">
        <f t="shared" si="44"/>
        <v>-0.04</v>
      </c>
      <c r="M223" s="74">
        <f t="shared" si="45"/>
        <v>30341</v>
      </c>
      <c r="N223" s="93">
        <v>146.02000000000001</v>
      </c>
      <c r="O223" s="93">
        <v>146.1</v>
      </c>
      <c r="P223" s="93">
        <v>151.9</v>
      </c>
    </row>
    <row r="224" spans="1:16">
      <c r="A224" s="73" t="s">
        <v>911</v>
      </c>
      <c r="B224" s="73" t="s">
        <v>958</v>
      </c>
      <c r="C224" s="88">
        <v>112.81100000000001</v>
      </c>
      <c r="D224" s="109">
        <v>2.98E-2</v>
      </c>
      <c r="E224" s="82">
        <v>7.9399999999999998E-2</v>
      </c>
      <c r="F224" s="110">
        <v>117.5</v>
      </c>
      <c r="G224" s="98">
        <v>108.8</v>
      </c>
      <c r="H224" s="75">
        <v>39648</v>
      </c>
      <c r="I224" s="45">
        <v>0.62503472222222223</v>
      </c>
      <c r="J224" s="75">
        <f t="shared" si="42"/>
        <v>128050</v>
      </c>
      <c r="K224" s="87">
        <f t="shared" si="43"/>
        <v>112.81100000000001</v>
      </c>
      <c r="L224" s="81">
        <f t="shared" si="44"/>
        <v>2.98E-2</v>
      </c>
      <c r="M224" s="74">
        <f t="shared" si="45"/>
        <v>39648</v>
      </c>
      <c r="N224" s="93">
        <v>112.81100000000001</v>
      </c>
      <c r="O224" s="93">
        <v>112.819</v>
      </c>
      <c r="P224" s="93">
        <v>108.8</v>
      </c>
    </row>
    <row r="225" spans="1:16">
      <c r="A225" s="73" t="s">
        <v>912</v>
      </c>
      <c r="B225" s="73" t="s">
        <v>1416</v>
      </c>
      <c r="C225" s="88">
        <v>118.85</v>
      </c>
      <c r="D225" s="109">
        <v>1.8E-3</v>
      </c>
      <c r="E225" s="82">
        <v>1.49E-2</v>
      </c>
      <c r="F225" s="110">
        <v>119.395</v>
      </c>
      <c r="G225" s="98">
        <v>117.624</v>
      </c>
      <c r="H225" s="75">
        <v>1765</v>
      </c>
      <c r="I225" s="45">
        <v>0.62503472222222223</v>
      </c>
      <c r="J225" s="75">
        <f t="shared" si="42"/>
        <v>128075</v>
      </c>
      <c r="K225" s="87">
        <f t="shared" si="43"/>
        <v>118.85</v>
      </c>
      <c r="L225" s="81">
        <f t="shared" si="44"/>
        <v>1.8E-3</v>
      </c>
      <c r="M225" s="74">
        <f t="shared" si="45"/>
        <v>1765</v>
      </c>
      <c r="N225" s="93">
        <v>118.85</v>
      </c>
      <c r="O225" s="93">
        <v>119.08199999999999</v>
      </c>
      <c r="P225" s="93">
        <v>118.64</v>
      </c>
    </row>
    <row r="226" spans="1:16">
      <c r="A226" s="73" t="s">
        <v>913</v>
      </c>
      <c r="B226" s="73" t="s">
        <v>959</v>
      </c>
      <c r="C226" s="88">
        <v>107.523</v>
      </c>
      <c r="D226" s="109">
        <v>8.0000000000000004E-4</v>
      </c>
      <c r="E226" s="82">
        <v>7.1000000000000004E-3</v>
      </c>
      <c r="F226" s="110">
        <v>107.59</v>
      </c>
      <c r="G226" s="98">
        <v>106.824</v>
      </c>
      <c r="H226" s="75">
        <v>403</v>
      </c>
      <c r="I226" s="45">
        <v>0.62503472222222223</v>
      </c>
      <c r="J226" s="75">
        <f t="shared" si="42"/>
        <v>128093</v>
      </c>
      <c r="K226" s="87">
        <f t="shared" si="43"/>
        <v>107.523</v>
      </c>
      <c r="L226" s="81">
        <f t="shared" si="44"/>
        <v>8.0000000000000004E-4</v>
      </c>
      <c r="M226" s="74">
        <f t="shared" si="45"/>
        <v>403</v>
      </c>
      <c r="N226" s="93">
        <v>107.523</v>
      </c>
      <c r="O226" s="93">
        <v>107.59</v>
      </c>
      <c r="P226" s="93">
        <v>107.06</v>
      </c>
    </row>
    <row r="227" spans="1:16">
      <c r="A227" s="73" t="s">
        <v>948</v>
      </c>
      <c r="B227" s="73" t="s">
        <v>960</v>
      </c>
      <c r="C227" s="88">
        <v>1.917</v>
      </c>
      <c r="D227" s="105">
        <v>-5.0000000000000001E-4</v>
      </c>
      <c r="E227" s="82">
        <v>1.09E-2</v>
      </c>
      <c r="F227" s="110">
        <v>1.921</v>
      </c>
      <c r="G227" s="98">
        <v>1.9</v>
      </c>
      <c r="H227" s="75">
        <v>663</v>
      </c>
      <c r="I227" s="45">
        <v>0.62503472222222223</v>
      </c>
      <c r="J227" s="75">
        <f t="shared" si="42"/>
        <v>161128</v>
      </c>
      <c r="K227" s="87">
        <f t="shared" ref="K227" si="46">C227+0</f>
        <v>1.917</v>
      </c>
      <c r="L227" s="81">
        <f t="shared" ref="L227" si="47">D227</f>
        <v>-5.0000000000000001E-4</v>
      </c>
      <c r="M227" s="74">
        <f t="shared" ref="M227" si="48">H227</f>
        <v>663</v>
      </c>
      <c r="N227" s="93">
        <v>1.915</v>
      </c>
      <c r="O227" s="93">
        <v>1.917</v>
      </c>
      <c r="P227" s="93">
        <v>1.9</v>
      </c>
    </row>
    <row r="228" spans="1:16">
      <c r="A228" s="73" t="s">
        <v>969</v>
      </c>
      <c r="B228" s="73" t="s">
        <v>970</v>
      </c>
      <c r="C228" s="88">
        <v>84.99</v>
      </c>
      <c r="D228" s="105">
        <v>-3.5999999999999999E-3</v>
      </c>
      <c r="E228" s="82">
        <v>3.5999999999999999E-3</v>
      </c>
      <c r="F228" s="154">
        <v>85.3</v>
      </c>
      <c r="G228" s="98">
        <v>84.99</v>
      </c>
      <c r="H228" s="75">
        <v>180</v>
      </c>
      <c r="I228" s="45">
        <v>0.62532407407407409</v>
      </c>
      <c r="J228" s="75">
        <f t="shared" si="42"/>
        <v>136670</v>
      </c>
      <c r="K228" s="87">
        <f t="shared" ref="K228" si="49">C228+0</f>
        <v>84.99</v>
      </c>
      <c r="L228" s="81">
        <f t="shared" ref="L228" si="50">D228</f>
        <v>-3.5999999999999999E-3</v>
      </c>
      <c r="M228" s="74">
        <f t="shared" ref="M228" si="51">H228</f>
        <v>180</v>
      </c>
      <c r="N228" s="93">
        <v>84</v>
      </c>
      <c r="O228" s="93">
        <v>84.99</v>
      </c>
      <c r="P228" s="93">
        <v>85.3</v>
      </c>
    </row>
    <row r="229" spans="1:16">
      <c r="A229" s="73" t="s">
        <v>981</v>
      </c>
      <c r="B229" s="73" t="s">
        <v>978</v>
      </c>
      <c r="C229" s="88">
        <v>120.19</v>
      </c>
      <c r="D229" s="109">
        <v>4.24E-2</v>
      </c>
      <c r="E229" s="82">
        <v>5.2600000000000001E-2</v>
      </c>
      <c r="F229" s="110">
        <v>120.39</v>
      </c>
      <c r="G229" s="98">
        <v>114.32</v>
      </c>
      <c r="H229" s="75">
        <v>192486</v>
      </c>
      <c r="I229" s="45">
        <v>0.62503472222222223</v>
      </c>
      <c r="J229" s="75">
        <f t="shared" si="42"/>
        <v>2714</v>
      </c>
      <c r="K229" s="87">
        <f t="shared" ref="K229" si="52">C229+0</f>
        <v>120.19</v>
      </c>
      <c r="L229" s="81">
        <f t="shared" ref="L229" si="53">D229</f>
        <v>4.24E-2</v>
      </c>
      <c r="M229" s="74">
        <f t="shared" ref="M229" si="54">H229</f>
        <v>192486</v>
      </c>
      <c r="N229" s="93">
        <v>120.18</v>
      </c>
      <c r="O229" s="93">
        <v>120.19</v>
      </c>
      <c r="P229" s="93">
        <v>114.32</v>
      </c>
    </row>
    <row r="230" spans="1:16">
      <c r="A230" s="73" t="s">
        <v>987</v>
      </c>
      <c r="B230" s="73" t="s">
        <v>986</v>
      </c>
      <c r="C230" s="88">
        <v>87.49</v>
      </c>
      <c r="D230" s="109">
        <v>5.0000000000000001E-4</v>
      </c>
      <c r="E230" s="82">
        <v>8.0000000000000004E-4</v>
      </c>
      <c r="F230" s="110">
        <v>87.51</v>
      </c>
      <c r="G230" s="98">
        <v>87.44</v>
      </c>
      <c r="H230" s="75">
        <v>112</v>
      </c>
      <c r="I230" s="45">
        <v>0.62532407407407409</v>
      </c>
      <c r="J230" s="75">
        <f t="shared" si="42"/>
        <v>127860</v>
      </c>
      <c r="K230" s="87">
        <f t="shared" ref="K230" si="55">C230+0</f>
        <v>87.49</v>
      </c>
      <c r="L230" s="81">
        <f t="shared" ref="L230" si="56">D230</f>
        <v>5.0000000000000001E-4</v>
      </c>
      <c r="M230" s="74">
        <f t="shared" ref="M230" si="57">H230</f>
        <v>112</v>
      </c>
      <c r="N230" s="93">
        <v>87.47</v>
      </c>
      <c r="O230" s="93">
        <v>87.49</v>
      </c>
      <c r="P230" s="93">
        <v>87.45</v>
      </c>
    </row>
    <row r="231" spans="1:16">
      <c r="A231" s="73" t="s">
        <v>996</v>
      </c>
      <c r="B231" s="73" t="s">
        <v>994</v>
      </c>
      <c r="C231" s="88">
        <v>99.97</v>
      </c>
      <c r="D231" s="109">
        <v>1E-3</v>
      </c>
      <c r="E231" s="82">
        <v>2E-3</v>
      </c>
      <c r="F231" s="110">
        <v>99.98</v>
      </c>
      <c r="G231" s="98">
        <v>99.78</v>
      </c>
      <c r="H231" s="75">
        <v>2531</v>
      </c>
      <c r="I231" s="45">
        <v>0.62532407407407409</v>
      </c>
      <c r="J231" s="75">
        <f t="shared" ref="J231:J236" si="58">RIGHT(A231,6)+0</f>
        <v>19536</v>
      </c>
      <c r="K231" s="87">
        <f t="shared" ref="K231:K232" si="59">C231+0</f>
        <v>99.97</v>
      </c>
      <c r="L231" s="81">
        <f t="shared" ref="L231:L232" si="60">D231</f>
        <v>1E-3</v>
      </c>
      <c r="M231" s="74">
        <f t="shared" ref="M231:M232" si="61">H231</f>
        <v>2531</v>
      </c>
      <c r="N231" s="93">
        <v>99.91</v>
      </c>
      <c r="O231" s="93">
        <v>99.98</v>
      </c>
      <c r="P231" s="93">
        <v>99.87</v>
      </c>
    </row>
    <row r="232" spans="1:16">
      <c r="A232" s="73" t="s">
        <v>997</v>
      </c>
      <c r="B232" s="73" t="s">
        <v>995</v>
      </c>
      <c r="C232" s="88">
        <v>95.93</v>
      </c>
      <c r="D232" s="105">
        <v>-5.9999999999999995E-4</v>
      </c>
      <c r="E232" s="82">
        <v>2E-3</v>
      </c>
      <c r="F232" s="110">
        <v>96.07</v>
      </c>
      <c r="G232" s="98">
        <v>95.88</v>
      </c>
      <c r="H232" s="75">
        <v>7934</v>
      </c>
      <c r="I232" s="45">
        <v>0.62532407407407409</v>
      </c>
      <c r="J232" s="75">
        <f t="shared" si="58"/>
        <v>19547</v>
      </c>
      <c r="K232" s="87">
        <f t="shared" si="59"/>
        <v>95.93</v>
      </c>
      <c r="L232" s="81">
        <f t="shared" si="60"/>
        <v>-5.9999999999999995E-4</v>
      </c>
      <c r="M232" s="74">
        <f t="shared" si="61"/>
        <v>7934</v>
      </c>
      <c r="N232" s="93">
        <v>95.9</v>
      </c>
      <c r="O232" s="93">
        <v>95.95</v>
      </c>
      <c r="P232" s="93">
        <v>96</v>
      </c>
    </row>
    <row r="233" spans="1:16">
      <c r="A233" s="73" t="s">
        <v>1011</v>
      </c>
      <c r="B233" s="73" t="s">
        <v>1302</v>
      </c>
      <c r="C233" s="88">
        <v>112.55</v>
      </c>
      <c r="D233" s="109">
        <v>9.1999999999999998E-3</v>
      </c>
      <c r="E233" s="82">
        <v>1.1599999999999999E-2</v>
      </c>
      <c r="F233" s="110">
        <v>112.98</v>
      </c>
      <c r="G233" s="110">
        <v>111.69</v>
      </c>
      <c r="H233" s="75">
        <v>543</v>
      </c>
      <c r="I233" s="45">
        <v>0.62532407407407409</v>
      </c>
      <c r="J233" s="75">
        <f t="shared" si="58"/>
        <v>113537</v>
      </c>
      <c r="K233" s="87">
        <f t="shared" ref="K233:K236" si="62">C233+0</f>
        <v>112.55</v>
      </c>
      <c r="L233" s="81">
        <f t="shared" ref="L233:L236" si="63">D233</f>
        <v>9.1999999999999998E-3</v>
      </c>
      <c r="M233" s="74">
        <f t="shared" ref="M233:M236" si="64">H233</f>
        <v>543</v>
      </c>
      <c r="N233" s="93">
        <v>112.55</v>
      </c>
      <c r="O233" s="93">
        <v>112.68</v>
      </c>
      <c r="P233" s="93">
        <v>111.88</v>
      </c>
    </row>
    <row r="234" spans="1:16">
      <c r="A234" s="73" t="s">
        <v>1015</v>
      </c>
      <c r="B234" s="73" t="s">
        <v>1417</v>
      </c>
      <c r="C234" s="88">
        <v>110.5</v>
      </c>
      <c r="D234" s="109">
        <v>1.21E-2</v>
      </c>
      <c r="E234" s="82">
        <v>1.8499999999999999E-2</v>
      </c>
      <c r="F234" s="110">
        <v>110.529</v>
      </c>
      <c r="G234" s="98">
        <v>108.50700000000001</v>
      </c>
      <c r="H234" s="75">
        <v>438</v>
      </c>
      <c r="I234" s="45">
        <v>0.62503472222222223</v>
      </c>
      <c r="J234" s="75">
        <f t="shared" si="58"/>
        <v>128096</v>
      </c>
      <c r="K234" s="87">
        <f t="shared" si="62"/>
        <v>110.5</v>
      </c>
      <c r="L234" s="81">
        <f t="shared" si="63"/>
        <v>1.21E-2</v>
      </c>
      <c r="M234" s="74">
        <f t="shared" si="64"/>
        <v>438</v>
      </c>
      <c r="N234" s="93">
        <v>110.5</v>
      </c>
      <c r="O234" s="93">
        <v>110.52</v>
      </c>
      <c r="P234" s="93">
        <v>109</v>
      </c>
    </row>
    <row r="235" spans="1:16">
      <c r="A235" s="73" t="s">
        <v>1017</v>
      </c>
      <c r="B235" s="73" t="s">
        <v>1418</v>
      </c>
      <c r="C235" s="88">
        <v>106.886</v>
      </c>
      <c r="D235" s="109">
        <v>1.83E-2</v>
      </c>
      <c r="E235" s="82">
        <v>2.1899999999999999E-2</v>
      </c>
      <c r="F235" s="110">
        <v>107</v>
      </c>
      <c r="G235" s="98">
        <v>104.703</v>
      </c>
      <c r="H235" s="75">
        <v>786</v>
      </c>
      <c r="I235" s="45">
        <v>0.62503472222222223</v>
      </c>
      <c r="J235" s="75">
        <f t="shared" si="58"/>
        <v>128081</v>
      </c>
      <c r="K235" s="87">
        <f t="shared" si="62"/>
        <v>106.886</v>
      </c>
      <c r="L235" s="81">
        <f t="shared" si="63"/>
        <v>1.83E-2</v>
      </c>
      <c r="M235" s="74">
        <f t="shared" si="64"/>
        <v>786</v>
      </c>
      <c r="N235" s="93">
        <v>106.886</v>
      </c>
      <c r="O235" s="93">
        <v>106.89</v>
      </c>
      <c r="P235" s="93">
        <v>105.3</v>
      </c>
    </row>
    <row r="236" spans="1:16">
      <c r="A236" s="73" t="s">
        <v>1018</v>
      </c>
      <c r="B236" s="73" t="s">
        <v>1419</v>
      </c>
      <c r="C236" s="88">
        <v>108.24</v>
      </c>
      <c r="D236" s="109">
        <v>1.0500000000000001E-2</v>
      </c>
      <c r="E236" s="82">
        <v>9.4999999999999998E-3</v>
      </c>
      <c r="F236" s="110">
        <v>108.3</v>
      </c>
      <c r="G236" s="110">
        <v>107.28</v>
      </c>
      <c r="H236" s="75">
        <v>396</v>
      </c>
      <c r="I236" s="45">
        <v>0.62532407407407409</v>
      </c>
      <c r="J236" s="75">
        <f t="shared" si="58"/>
        <v>113519</v>
      </c>
      <c r="K236" s="87">
        <f t="shared" si="62"/>
        <v>108.24</v>
      </c>
      <c r="L236" s="81">
        <f t="shared" si="63"/>
        <v>1.0500000000000001E-2</v>
      </c>
      <c r="M236" s="74">
        <f t="shared" si="64"/>
        <v>396</v>
      </c>
      <c r="N236" s="93">
        <v>108.14</v>
      </c>
      <c r="O236" s="93">
        <v>108.24</v>
      </c>
      <c r="P236" s="93">
        <v>107.28</v>
      </c>
    </row>
    <row r="237" spans="1:16">
      <c r="A237" s="73" t="s">
        <v>1023</v>
      </c>
      <c r="B237" s="73" t="s">
        <v>1420</v>
      </c>
      <c r="C237" s="88">
        <v>107.9</v>
      </c>
      <c r="D237" s="109">
        <v>6.0000000000000001E-3</v>
      </c>
      <c r="E237" s="82">
        <v>7.7000000000000002E-3</v>
      </c>
      <c r="F237" s="110">
        <v>107.91</v>
      </c>
      <c r="G237" s="98">
        <v>107.08</v>
      </c>
      <c r="H237" s="75">
        <v>193</v>
      </c>
      <c r="I237" s="45">
        <v>0.62532407407407409</v>
      </c>
      <c r="J237" s="75">
        <f t="shared" ref="J237:J249" si="65">RIGHT(A237,6)+0</f>
        <v>110063</v>
      </c>
      <c r="K237" s="87">
        <f t="shared" ref="K237:K240" si="66">C237+0</f>
        <v>107.9</v>
      </c>
      <c r="L237" s="81">
        <f t="shared" ref="L237:L240" si="67">D237</f>
        <v>6.0000000000000001E-3</v>
      </c>
      <c r="M237" s="74">
        <f t="shared" ref="M237:M240" si="68">H237</f>
        <v>193</v>
      </c>
      <c r="N237" s="93">
        <v>107.9</v>
      </c>
      <c r="O237" s="93">
        <v>107.93</v>
      </c>
      <c r="P237" s="93">
        <v>107.26</v>
      </c>
    </row>
    <row r="238" spans="1:16">
      <c r="A238" s="73" t="s">
        <v>907</v>
      </c>
      <c r="B238" s="73" t="s">
        <v>957</v>
      </c>
      <c r="C238" s="88">
        <v>111.452</v>
      </c>
      <c r="D238" s="109">
        <v>4.1000000000000003E-3</v>
      </c>
      <c r="E238" s="82">
        <v>8.0000000000000002E-3</v>
      </c>
      <c r="F238" s="110">
        <v>111.89</v>
      </c>
      <c r="G238" s="154">
        <v>111</v>
      </c>
      <c r="H238" s="75">
        <v>30</v>
      </c>
      <c r="I238" s="45">
        <v>0.62503472222222223</v>
      </c>
      <c r="J238" s="75">
        <f t="shared" si="65"/>
        <v>127014</v>
      </c>
      <c r="K238" s="87">
        <f>C238+0</f>
        <v>111.452</v>
      </c>
      <c r="L238" s="81">
        <f t="shared" si="67"/>
        <v>4.1000000000000003E-3</v>
      </c>
      <c r="M238" s="74">
        <f t="shared" si="68"/>
        <v>30</v>
      </c>
      <c r="N238" s="93">
        <v>111.452</v>
      </c>
      <c r="O238" s="93">
        <v>111.453</v>
      </c>
      <c r="P238" s="93">
        <v>111</v>
      </c>
    </row>
    <row r="239" spans="1:16">
      <c r="A239" s="73" t="s">
        <v>1024</v>
      </c>
      <c r="B239" s="73" t="s">
        <v>1260</v>
      </c>
      <c r="C239" s="88">
        <v>106.36</v>
      </c>
      <c r="D239" s="109">
        <v>5.7999999999999996E-3</v>
      </c>
      <c r="E239" s="82">
        <v>9.7999999999999997E-3</v>
      </c>
      <c r="F239" s="110">
        <v>106.58</v>
      </c>
      <c r="G239" s="98">
        <v>105.54</v>
      </c>
      <c r="H239" s="75">
        <v>988</v>
      </c>
      <c r="I239" s="45">
        <v>0.62532407407407409</v>
      </c>
      <c r="J239" s="75">
        <f t="shared" si="65"/>
        <v>110043</v>
      </c>
      <c r="K239" s="87">
        <f t="shared" si="66"/>
        <v>106.36</v>
      </c>
      <c r="L239" s="81">
        <f t="shared" si="67"/>
        <v>5.7999999999999996E-3</v>
      </c>
      <c r="M239" s="74">
        <f t="shared" si="68"/>
        <v>988</v>
      </c>
      <c r="N239" s="93">
        <v>106.36</v>
      </c>
      <c r="O239" s="93">
        <v>106.52</v>
      </c>
      <c r="P239" s="93">
        <v>105.76</v>
      </c>
    </row>
    <row r="240" spans="1:16">
      <c r="A240" s="73" t="s">
        <v>906</v>
      </c>
      <c r="B240" s="73" t="s">
        <v>1261</v>
      </c>
      <c r="C240" s="88">
        <v>105</v>
      </c>
      <c r="D240" s="109">
        <v>3.8E-3</v>
      </c>
      <c r="E240" s="82">
        <v>0.01</v>
      </c>
      <c r="F240" s="110">
        <v>105.35</v>
      </c>
      <c r="G240" s="98">
        <v>104.3</v>
      </c>
      <c r="H240" s="75">
        <v>736</v>
      </c>
      <c r="I240" s="45">
        <v>0.62503472222222223</v>
      </c>
      <c r="J240" s="75">
        <f t="shared" si="65"/>
        <v>127011</v>
      </c>
      <c r="K240" s="87">
        <f t="shared" si="66"/>
        <v>105</v>
      </c>
      <c r="L240" s="81">
        <f t="shared" si="67"/>
        <v>3.8E-3</v>
      </c>
      <c r="M240" s="74">
        <f t="shared" si="68"/>
        <v>736</v>
      </c>
      <c r="N240" s="93">
        <v>105</v>
      </c>
      <c r="O240" s="93">
        <v>105.158</v>
      </c>
      <c r="P240" s="93">
        <v>104.401</v>
      </c>
    </row>
    <row r="241" spans="1:16">
      <c r="A241" s="73" t="s">
        <v>1038</v>
      </c>
      <c r="B241" s="73" t="s">
        <v>1421</v>
      </c>
      <c r="C241" s="88">
        <v>102.4</v>
      </c>
      <c r="D241" s="109">
        <v>1.0800000000000001E-2</v>
      </c>
      <c r="E241" s="82">
        <v>1.2800000000000001E-2</v>
      </c>
      <c r="F241" s="110">
        <v>102.46</v>
      </c>
      <c r="G241" s="98">
        <v>101.16</v>
      </c>
      <c r="H241" s="75">
        <v>252</v>
      </c>
      <c r="I241" s="45">
        <v>0.62532407407407409</v>
      </c>
      <c r="J241" s="75">
        <f t="shared" si="65"/>
        <v>113524</v>
      </c>
      <c r="K241" s="87">
        <f t="shared" ref="K241:K242" si="69">C241+0</f>
        <v>102.4</v>
      </c>
      <c r="L241" s="81">
        <f t="shared" ref="L241:L242" si="70">D241</f>
        <v>1.0800000000000001E-2</v>
      </c>
      <c r="M241" s="74">
        <f t="shared" ref="M241:M242" si="71">H241</f>
        <v>252</v>
      </c>
      <c r="N241" s="93">
        <v>102.39</v>
      </c>
      <c r="O241" s="93">
        <v>102.4</v>
      </c>
      <c r="P241" s="93">
        <v>101.31</v>
      </c>
    </row>
    <row r="242" spans="1:16">
      <c r="A242" s="73" t="s">
        <v>1040</v>
      </c>
      <c r="B242" s="73" t="s">
        <v>1041</v>
      </c>
      <c r="C242" s="88">
        <v>100.23</v>
      </c>
      <c r="D242" s="109">
        <v>5.3E-3</v>
      </c>
      <c r="E242" s="82">
        <v>7.4000000000000003E-3</v>
      </c>
      <c r="F242" s="110">
        <v>100.25</v>
      </c>
      <c r="G242" s="98">
        <v>99.51</v>
      </c>
      <c r="H242" s="75">
        <v>2441</v>
      </c>
      <c r="I242" s="45">
        <v>0.62532407407407409</v>
      </c>
      <c r="J242" s="75">
        <f t="shared" si="65"/>
        <v>110066</v>
      </c>
      <c r="K242" s="87">
        <f t="shared" si="69"/>
        <v>100.23</v>
      </c>
      <c r="L242" s="81">
        <f t="shared" si="70"/>
        <v>5.3E-3</v>
      </c>
      <c r="M242" s="74">
        <f t="shared" si="71"/>
        <v>2441</v>
      </c>
      <c r="N242" s="93">
        <v>100.25</v>
      </c>
      <c r="O242" s="93">
        <v>100.26</v>
      </c>
      <c r="P242" s="93">
        <v>99.7</v>
      </c>
    </row>
    <row r="243" spans="1:16">
      <c r="A243" s="73" t="s">
        <v>1045</v>
      </c>
      <c r="B243" s="73" t="s">
        <v>1422</v>
      </c>
      <c r="C243" s="88">
        <v>106.35</v>
      </c>
      <c r="D243" s="109">
        <v>1.6400000000000001E-2</v>
      </c>
      <c r="E243" s="82">
        <v>2.4799999999999999E-2</v>
      </c>
      <c r="F243" s="110">
        <v>106.79</v>
      </c>
      <c r="G243" s="98">
        <v>104.19</v>
      </c>
      <c r="H243" s="75">
        <v>1410</v>
      </c>
      <c r="I243" s="45">
        <v>0.62532407407407409</v>
      </c>
      <c r="J243" s="75">
        <f t="shared" si="65"/>
        <v>113568</v>
      </c>
      <c r="K243" s="87">
        <f t="shared" ref="K243" si="72">C243+0</f>
        <v>106.35</v>
      </c>
      <c r="L243" s="81">
        <f t="shared" ref="L243" si="73">D243</f>
        <v>1.6400000000000001E-2</v>
      </c>
      <c r="M243" s="74">
        <f t="shared" ref="M243" si="74">H243</f>
        <v>1410</v>
      </c>
      <c r="N243" s="93">
        <v>106.35</v>
      </c>
      <c r="O243" s="93">
        <v>106.39</v>
      </c>
      <c r="P243" s="93">
        <v>104.6</v>
      </c>
    </row>
    <row r="244" spans="1:16">
      <c r="A244" s="73" t="s">
        <v>1049</v>
      </c>
      <c r="B244" s="73" t="s">
        <v>1051</v>
      </c>
      <c r="C244" s="88">
        <v>105.801</v>
      </c>
      <c r="D244" s="109">
        <v>1.4E-3</v>
      </c>
      <c r="E244" s="82">
        <v>1.7100000000000001E-2</v>
      </c>
      <c r="F244" s="110">
        <v>106.312</v>
      </c>
      <c r="G244" s="98">
        <v>104.508</v>
      </c>
      <c r="H244" s="75">
        <v>551</v>
      </c>
      <c r="I244" s="45">
        <v>0.62503472222222223</v>
      </c>
      <c r="J244" s="75">
        <f t="shared" si="65"/>
        <v>128044</v>
      </c>
      <c r="K244" s="87">
        <f t="shared" ref="K244" si="75">C244+0</f>
        <v>105.801</v>
      </c>
      <c r="L244" s="81">
        <f t="shared" ref="L244" si="76">D244</f>
        <v>1.4E-3</v>
      </c>
      <c r="M244" s="74">
        <f t="shared" ref="M244" si="77">H244</f>
        <v>551</v>
      </c>
      <c r="N244" s="93">
        <v>105.8</v>
      </c>
      <c r="O244" s="93">
        <v>105.801</v>
      </c>
      <c r="P244" s="93">
        <v>105.5</v>
      </c>
    </row>
    <row r="245" spans="1:16">
      <c r="A245" s="73" t="s">
        <v>1056</v>
      </c>
      <c r="B245" s="73" t="s">
        <v>1423</v>
      </c>
      <c r="C245" s="88">
        <v>104.85</v>
      </c>
      <c r="D245" s="109">
        <v>3.8999999999999998E-3</v>
      </c>
      <c r="E245" s="82">
        <v>1.18E-2</v>
      </c>
      <c r="F245" s="110">
        <v>104.89</v>
      </c>
      <c r="G245" s="98">
        <v>103.66</v>
      </c>
      <c r="H245" s="75">
        <v>565</v>
      </c>
      <c r="I245" s="45">
        <v>0.62503472222222223</v>
      </c>
      <c r="J245" s="75">
        <f t="shared" si="65"/>
        <v>128097</v>
      </c>
      <c r="K245" s="87">
        <f t="shared" ref="K245:K249" si="78">C245+0</f>
        <v>104.85</v>
      </c>
      <c r="L245" s="81">
        <f t="shared" ref="L245:L249" si="79">D245</f>
        <v>3.8999999999999998E-3</v>
      </c>
      <c r="M245" s="74">
        <f t="shared" ref="M245:M249" si="80">H245</f>
        <v>565</v>
      </c>
      <c r="N245" s="93">
        <v>104.85</v>
      </c>
      <c r="O245" s="93">
        <v>104.886</v>
      </c>
      <c r="P245" s="93">
        <v>104.16</v>
      </c>
    </row>
    <row r="246" spans="1:16">
      <c r="A246" s="73" t="s">
        <v>1060</v>
      </c>
      <c r="B246" s="73" t="s">
        <v>1062</v>
      </c>
      <c r="C246" s="88">
        <v>106.34</v>
      </c>
      <c r="D246" s="109">
        <v>8.8000000000000005E-3</v>
      </c>
      <c r="E246" s="82">
        <v>1.5800000000000002E-2</v>
      </c>
      <c r="F246" s="110">
        <v>106.6</v>
      </c>
      <c r="G246" s="98">
        <v>104.93</v>
      </c>
      <c r="H246" s="75">
        <v>2673</v>
      </c>
      <c r="I246" s="45">
        <v>0.62532407407407409</v>
      </c>
      <c r="J246" s="75">
        <f t="shared" si="65"/>
        <v>110068</v>
      </c>
      <c r="K246" s="87">
        <f t="shared" si="78"/>
        <v>106.34</v>
      </c>
      <c r="L246" s="81">
        <f t="shared" si="79"/>
        <v>8.8000000000000005E-3</v>
      </c>
      <c r="M246" s="74">
        <f t="shared" si="80"/>
        <v>2673</v>
      </c>
      <c r="N246" s="93">
        <v>106.28</v>
      </c>
      <c r="O246" s="93">
        <v>106.4</v>
      </c>
      <c r="P246" s="93">
        <v>104.93</v>
      </c>
    </row>
    <row r="247" spans="1:16">
      <c r="A247" s="73" t="s">
        <v>1078</v>
      </c>
      <c r="B247" s="73" t="s">
        <v>1424</v>
      </c>
      <c r="C247" s="88">
        <v>103.13</v>
      </c>
      <c r="D247" s="109">
        <v>1.11E-2</v>
      </c>
      <c r="E247" s="82">
        <v>1.8800000000000001E-2</v>
      </c>
      <c r="F247" s="110">
        <v>103.52</v>
      </c>
      <c r="G247" s="98">
        <v>101.6</v>
      </c>
      <c r="H247" s="75">
        <v>1250</v>
      </c>
      <c r="I247" s="45">
        <v>0.62532407407407409</v>
      </c>
      <c r="J247" s="75">
        <f t="shared" si="65"/>
        <v>113033</v>
      </c>
      <c r="K247" s="87">
        <f t="shared" si="78"/>
        <v>103.13</v>
      </c>
      <c r="L247" s="81">
        <f t="shared" si="79"/>
        <v>1.11E-2</v>
      </c>
      <c r="M247" s="74">
        <f t="shared" si="80"/>
        <v>1250</v>
      </c>
      <c r="N247" s="93">
        <v>103.12</v>
      </c>
      <c r="O247" s="93">
        <v>103.18</v>
      </c>
      <c r="P247" s="93">
        <v>101.68</v>
      </c>
    </row>
    <row r="248" spans="1:16">
      <c r="A248" s="73" t="s">
        <v>1077</v>
      </c>
      <c r="B248" s="73" t="s">
        <v>1425</v>
      </c>
      <c r="C248" s="88">
        <v>108.52</v>
      </c>
      <c r="D248" s="109">
        <v>6.4000000000000003E-3</v>
      </c>
      <c r="E248" s="82">
        <v>9.2999999999999992E-3</v>
      </c>
      <c r="F248" s="110">
        <v>108.85</v>
      </c>
      <c r="G248" s="110">
        <v>107.85</v>
      </c>
      <c r="H248" s="75">
        <v>1307</v>
      </c>
      <c r="I248" s="45">
        <v>0.62532407407407409</v>
      </c>
      <c r="J248" s="75">
        <f t="shared" si="65"/>
        <v>110065</v>
      </c>
      <c r="K248" s="87">
        <f t="shared" si="78"/>
        <v>108.52</v>
      </c>
      <c r="L248" s="81">
        <f t="shared" si="79"/>
        <v>6.4000000000000003E-3</v>
      </c>
      <c r="M248" s="74">
        <f t="shared" si="80"/>
        <v>1307</v>
      </c>
      <c r="N248" s="93">
        <v>108.5</v>
      </c>
      <c r="O248" s="93">
        <v>108.52</v>
      </c>
      <c r="P248" s="93">
        <v>108.24</v>
      </c>
    </row>
    <row r="249" spans="1:16">
      <c r="A249" s="73" t="s">
        <v>1086</v>
      </c>
      <c r="B249" s="73" t="s">
        <v>1098</v>
      </c>
      <c r="C249" s="88">
        <v>93.786000000000001</v>
      </c>
      <c r="D249" s="109">
        <v>9.4000000000000004E-3</v>
      </c>
      <c r="E249" s="82">
        <v>8.9999999999999993E-3</v>
      </c>
      <c r="F249" s="110">
        <v>93.786000000000001</v>
      </c>
      <c r="G249" s="110">
        <v>92.95</v>
      </c>
      <c r="H249" s="75">
        <v>1838</v>
      </c>
      <c r="I249" s="45">
        <v>0.62503472222222223</v>
      </c>
      <c r="J249" s="75">
        <f t="shared" si="65"/>
        <v>128100</v>
      </c>
      <c r="K249" s="87">
        <f t="shared" si="78"/>
        <v>93.786000000000001</v>
      </c>
      <c r="L249" s="81">
        <f t="shared" si="79"/>
        <v>9.4000000000000004E-3</v>
      </c>
      <c r="M249" s="74">
        <f t="shared" si="80"/>
        <v>1838</v>
      </c>
      <c r="N249" s="93">
        <v>93.786000000000001</v>
      </c>
      <c r="O249" s="93">
        <v>93.787999999999997</v>
      </c>
      <c r="P249" s="93">
        <v>92.95</v>
      </c>
    </row>
    <row r="250" spans="1:16">
      <c r="A250" s="73" t="s">
        <v>1093</v>
      </c>
      <c r="B250" s="73" t="s">
        <v>1426</v>
      </c>
      <c r="C250" s="88">
        <v>1.198</v>
      </c>
      <c r="D250" s="109">
        <v>6.7000000000000002E-3</v>
      </c>
      <c r="E250" s="82">
        <v>8.3999999999999995E-3</v>
      </c>
      <c r="F250" s="110">
        <v>1.2</v>
      </c>
      <c r="G250" s="154">
        <v>1.19</v>
      </c>
      <c r="H250" s="75">
        <v>10</v>
      </c>
      <c r="I250" s="45">
        <v>0.62503472222222223</v>
      </c>
      <c r="J250" s="75">
        <f t="shared" ref="J250:J257" si="81">RIGHT(A250,6)+0</f>
        <v>160645</v>
      </c>
      <c r="K250" s="87">
        <f t="shared" ref="K250:K254" si="82">C250+0</f>
        <v>1.198</v>
      </c>
      <c r="L250" s="81">
        <f t="shared" ref="L250:L254" si="83">D250</f>
        <v>6.7000000000000002E-3</v>
      </c>
      <c r="M250" s="74">
        <f t="shared" ref="M250:M254" si="84">H250</f>
        <v>10</v>
      </c>
      <c r="N250" s="93">
        <v>1.1930000000000001</v>
      </c>
      <c r="O250" s="93">
        <v>1.198</v>
      </c>
      <c r="P250" s="93">
        <v>1.19</v>
      </c>
    </row>
    <row r="251" spans="1:16">
      <c r="A251" s="73" t="s">
        <v>1094</v>
      </c>
      <c r="B251" s="73" t="s">
        <v>1296</v>
      </c>
      <c r="C251" s="88">
        <v>1.3979999999999999</v>
      </c>
      <c r="D251" s="109">
        <v>3.5999999999999999E-3</v>
      </c>
      <c r="E251" s="82">
        <v>8.6E-3</v>
      </c>
      <c r="F251" s="110">
        <v>1.4019999999999999</v>
      </c>
      <c r="G251" s="98">
        <v>1.39</v>
      </c>
      <c r="H251" s="75">
        <v>206</v>
      </c>
      <c r="I251" s="45">
        <v>0.62503472222222223</v>
      </c>
      <c r="J251" s="75">
        <f t="shared" si="81"/>
        <v>160726</v>
      </c>
      <c r="K251" s="87">
        <f t="shared" si="82"/>
        <v>1.3979999999999999</v>
      </c>
      <c r="L251" s="81">
        <f t="shared" si="83"/>
        <v>3.5999999999999999E-3</v>
      </c>
      <c r="M251" s="74">
        <f t="shared" si="84"/>
        <v>206</v>
      </c>
      <c r="N251" s="93">
        <v>1.397</v>
      </c>
      <c r="O251" s="93">
        <v>1.3979999999999999</v>
      </c>
      <c r="P251" s="93">
        <v>1.39</v>
      </c>
    </row>
    <row r="252" spans="1:16">
      <c r="A252" s="73" t="s">
        <v>1095</v>
      </c>
      <c r="B252" s="73" t="s">
        <v>1263</v>
      </c>
      <c r="C252" s="88">
        <v>1.306</v>
      </c>
      <c r="D252" s="109">
        <v>6.1999999999999998E-3</v>
      </c>
      <c r="E252" s="82">
        <v>4.5999999999999999E-3</v>
      </c>
      <c r="F252" s="110">
        <v>1.306</v>
      </c>
      <c r="G252" s="110">
        <v>1.3</v>
      </c>
      <c r="H252" s="75">
        <v>5</v>
      </c>
      <c r="I252" s="45">
        <v>0.62503472222222223</v>
      </c>
      <c r="J252" s="75">
        <f t="shared" si="81"/>
        <v>161132</v>
      </c>
      <c r="K252" s="87">
        <f t="shared" si="82"/>
        <v>1.306</v>
      </c>
      <c r="L252" s="81">
        <f t="shared" si="83"/>
        <v>6.1999999999999998E-3</v>
      </c>
      <c r="M252" s="74">
        <f t="shared" si="84"/>
        <v>5</v>
      </c>
      <c r="N252" s="93">
        <v>1.306</v>
      </c>
      <c r="O252" s="93">
        <v>1.3080000000000001</v>
      </c>
      <c r="P252" s="93">
        <v>1.306</v>
      </c>
    </row>
    <row r="253" spans="1:16">
      <c r="A253" s="73" t="s">
        <v>1096</v>
      </c>
      <c r="B253" s="73" t="s">
        <v>1103</v>
      </c>
      <c r="C253" s="88">
        <v>1.514</v>
      </c>
      <c r="D253" s="109">
        <v>2.0199999999999999E-2</v>
      </c>
      <c r="E253" s="82">
        <v>2.0899999999999998E-2</v>
      </c>
      <c r="F253" s="110">
        <v>1.5149999999999999</v>
      </c>
      <c r="G253" s="154">
        <v>1.484</v>
      </c>
      <c r="H253" s="75">
        <v>34</v>
      </c>
      <c r="I253" s="45">
        <v>0.625</v>
      </c>
      <c r="J253" s="75">
        <f t="shared" si="81"/>
        <v>501070</v>
      </c>
      <c r="K253" s="87">
        <f t="shared" si="82"/>
        <v>1.514</v>
      </c>
      <c r="L253" s="81">
        <f t="shared" si="83"/>
        <v>2.0199999999999999E-2</v>
      </c>
      <c r="M253" s="74">
        <f t="shared" si="84"/>
        <v>34</v>
      </c>
      <c r="N253" s="93">
        <v>1.5049999999999999</v>
      </c>
      <c r="O253" s="93">
        <v>1.514</v>
      </c>
      <c r="P253" s="93">
        <v>1.484</v>
      </c>
    </row>
    <row r="254" spans="1:16">
      <c r="A254" s="73" t="s">
        <v>1097</v>
      </c>
      <c r="B254" s="73" t="s">
        <v>1303</v>
      </c>
      <c r="C254" s="88">
        <v>1.048</v>
      </c>
      <c r="D254" s="105">
        <v>-1E-3</v>
      </c>
      <c r="E254" s="82">
        <v>1E-3</v>
      </c>
      <c r="F254" s="98">
        <v>1.048</v>
      </c>
      <c r="G254" s="98">
        <v>1.0469999999999999</v>
      </c>
      <c r="H254" s="75">
        <v>182</v>
      </c>
      <c r="I254" s="45">
        <v>0.62501157407407404</v>
      </c>
      <c r="J254" s="75">
        <f t="shared" si="81"/>
        <v>501188</v>
      </c>
      <c r="K254" s="87">
        <f t="shared" si="82"/>
        <v>1.048</v>
      </c>
      <c r="L254" s="81">
        <f t="shared" si="83"/>
        <v>-1E-3</v>
      </c>
      <c r="M254" s="74">
        <f t="shared" si="84"/>
        <v>182</v>
      </c>
      <c r="N254" s="93">
        <v>1.0469999999999999</v>
      </c>
      <c r="O254" s="93">
        <v>1.048</v>
      </c>
      <c r="P254" s="93">
        <v>1.0469999999999999</v>
      </c>
    </row>
    <row r="255" spans="1:16">
      <c r="A255" s="73" t="s">
        <v>1107</v>
      </c>
      <c r="B255" s="73" t="s">
        <v>1427</v>
      </c>
      <c r="C255" s="88">
        <v>110.8</v>
      </c>
      <c r="D255" s="109">
        <v>1.6999999999999999E-3</v>
      </c>
      <c r="E255" s="82">
        <v>8.9999999999999993E-3</v>
      </c>
      <c r="F255" s="110">
        <v>111.01</v>
      </c>
      <c r="G255" s="98">
        <v>110.01</v>
      </c>
      <c r="H255" s="75">
        <v>607</v>
      </c>
      <c r="I255" s="45">
        <v>0.62532407407407409</v>
      </c>
      <c r="J255" s="75">
        <f t="shared" si="81"/>
        <v>113032</v>
      </c>
      <c r="K255" s="87">
        <f t="shared" ref="K255" si="85">C255+0</f>
        <v>110.8</v>
      </c>
      <c r="L255" s="81">
        <f t="shared" ref="L255" si="86">D255</f>
        <v>1.6999999999999999E-3</v>
      </c>
      <c r="M255" s="74">
        <f t="shared" ref="M255" si="87">H255</f>
        <v>607</v>
      </c>
      <c r="N255" s="93">
        <v>110.8</v>
      </c>
      <c r="O255" s="93">
        <v>110.82</v>
      </c>
      <c r="P255" s="93">
        <v>110.08</v>
      </c>
    </row>
    <row r="256" spans="1:16">
      <c r="A256" s="73" t="s">
        <v>1113</v>
      </c>
      <c r="B256" s="73" t="s">
        <v>1264</v>
      </c>
      <c r="C256" s="88">
        <v>107.02</v>
      </c>
      <c r="D256" s="109">
        <v>1.15E-2</v>
      </c>
      <c r="E256" s="82">
        <v>1.55E-2</v>
      </c>
      <c r="F256" s="110">
        <v>107.05</v>
      </c>
      <c r="G256" s="98">
        <v>105.41</v>
      </c>
      <c r="H256" s="75">
        <v>1628</v>
      </c>
      <c r="I256" s="45">
        <v>0.62532407407407409</v>
      </c>
      <c r="J256" s="75">
        <f t="shared" si="81"/>
        <v>113034</v>
      </c>
      <c r="K256" s="87">
        <f t="shared" ref="K256:K257" si="88">C256+0</f>
        <v>107.02</v>
      </c>
      <c r="L256" s="81">
        <f t="shared" ref="L256:L257" si="89">D256</f>
        <v>1.15E-2</v>
      </c>
      <c r="M256" s="74">
        <f t="shared" ref="M256:M257" si="90">H256</f>
        <v>1628</v>
      </c>
      <c r="N256" s="93">
        <v>107.04</v>
      </c>
      <c r="O256" s="93">
        <v>107.05</v>
      </c>
      <c r="P256" s="93">
        <v>105.41</v>
      </c>
    </row>
    <row r="257" spans="1:16">
      <c r="A257" s="73" t="s">
        <v>1125</v>
      </c>
      <c r="B257" s="73" t="s">
        <v>1428</v>
      </c>
      <c r="C257" s="88">
        <v>109.78</v>
      </c>
      <c r="D257" s="109">
        <v>2.0999999999999999E-3</v>
      </c>
      <c r="E257" s="82">
        <v>8.2000000000000007E-3</v>
      </c>
      <c r="F257" s="110">
        <v>109.89</v>
      </c>
      <c r="G257" s="98">
        <v>108.997</v>
      </c>
      <c r="H257" s="75">
        <v>437</v>
      </c>
      <c r="I257" s="45">
        <v>0.62503472222222223</v>
      </c>
      <c r="J257" s="75">
        <f t="shared" si="81"/>
        <v>123049</v>
      </c>
      <c r="K257" s="87">
        <f t="shared" si="88"/>
        <v>109.78</v>
      </c>
      <c r="L257" s="81">
        <f t="shared" si="89"/>
        <v>2.0999999999999999E-3</v>
      </c>
      <c r="M257" s="74">
        <f t="shared" si="90"/>
        <v>437</v>
      </c>
      <c r="N257" s="93">
        <v>109.78</v>
      </c>
      <c r="O257" s="93">
        <v>109.78100000000001</v>
      </c>
      <c r="P257" s="93">
        <v>108.999</v>
      </c>
    </row>
    <row r="258" spans="1:16">
      <c r="A258" s="73" t="s">
        <v>1127</v>
      </c>
      <c r="B258" s="73" t="s">
        <v>1429</v>
      </c>
      <c r="C258" s="88">
        <v>119.69</v>
      </c>
      <c r="D258" s="109">
        <v>6.1000000000000004E-3</v>
      </c>
      <c r="E258" s="82">
        <v>1.2500000000000001E-2</v>
      </c>
      <c r="F258" s="110">
        <v>119.79</v>
      </c>
      <c r="G258" s="98">
        <v>118.3</v>
      </c>
      <c r="H258" s="75">
        <v>1139</v>
      </c>
      <c r="I258" s="45">
        <v>0.62532407407407409</v>
      </c>
      <c r="J258" s="75">
        <f t="shared" ref="J258:J263" si="91">RIGHT(A258,6)+0</f>
        <v>113577</v>
      </c>
      <c r="K258" s="87">
        <f t="shared" ref="K258:K261" si="92">C258+0</f>
        <v>119.69</v>
      </c>
      <c r="L258" s="81">
        <f t="shared" ref="L258:L261" si="93">D258</f>
        <v>6.1000000000000004E-3</v>
      </c>
      <c r="M258" s="74">
        <f t="shared" ref="M258:M261" si="94">H258</f>
        <v>1139</v>
      </c>
      <c r="N258" s="93">
        <v>119.72</v>
      </c>
      <c r="O258" s="93">
        <v>119.73</v>
      </c>
      <c r="P258" s="93">
        <v>118.96</v>
      </c>
    </row>
    <row r="259" spans="1:16">
      <c r="A259" s="73" t="s">
        <v>1128</v>
      </c>
      <c r="B259" s="73" t="s">
        <v>1304</v>
      </c>
      <c r="C259" s="88">
        <v>100.41</v>
      </c>
      <c r="D259" s="109">
        <v>1.1000000000000001E-3</v>
      </c>
      <c r="E259" s="82">
        <v>3.5999999999999999E-3</v>
      </c>
      <c r="F259" s="110">
        <v>100.51</v>
      </c>
      <c r="G259" s="98">
        <v>100.15</v>
      </c>
      <c r="H259" s="75">
        <v>315</v>
      </c>
      <c r="I259" s="45">
        <v>0.62532407407407409</v>
      </c>
      <c r="J259" s="75">
        <f t="shared" si="91"/>
        <v>110070</v>
      </c>
      <c r="K259" s="87">
        <f t="shared" si="92"/>
        <v>100.41</v>
      </c>
      <c r="L259" s="81">
        <f t="shared" si="93"/>
        <v>1.1000000000000001E-3</v>
      </c>
      <c r="M259" s="74">
        <f t="shared" si="94"/>
        <v>315</v>
      </c>
      <c r="N259" s="93">
        <v>100.41</v>
      </c>
      <c r="O259" s="93">
        <v>100.49</v>
      </c>
      <c r="P259" s="93">
        <v>100.15</v>
      </c>
    </row>
    <row r="260" spans="1:16">
      <c r="A260" s="73" t="s">
        <v>1129</v>
      </c>
      <c r="B260" s="73" t="s">
        <v>1430</v>
      </c>
      <c r="C260" s="88">
        <v>127.1</v>
      </c>
      <c r="D260" s="109">
        <v>1.1900000000000001E-2</v>
      </c>
      <c r="E260" s="82">
        <v>2.5999999999999999E-2</v>
      </c>
      <c r="F260" s="110">
        <v>127.26</v>
      </c>
      <c r="G260" s="98">
        <v>124</v>
      </c>
      <c r="H260" s="75">
        <v>1266</v>
      </c>
      <c r="I260" s="45">
        <v>0.62503472222222223</v>
      </c>
      <c r="J260" s="75">
        <f t="shared" si="91"/>
        <v>128105</v>
      </c>
      <c r="K260" s="87">
        <f t="shared" si="92"/>
        <v>127.1</v>
      </c>
      <c r="L260" s="81">
        <f t="shared" si="93"/>
        <v>1.1900000000000001E-2</v>
      </c>
      <c r="M260" s="74">
        <f t="shared" si="94"/>
        <v>1266</v>
      </c>
      <c r="N260" s="93">
        <v>127.1</v>
      </c>
      <c r="O260" s="93">
        <v>127.199</v>
      </c>
      <c r="P260" s="93">
        <v>124.102</v>
      </c>
    </row>
    <row r="261" spans="1:16">
      <c r="A261" s="73" t="s">
        <v>1130</v>
      </c>
      <c r="B261" s="73" t="s">
        <v>1431</v>
      </c>
      <c r="C261" s="88">
        <v>105.1</v>
      </c>
      <c r="D261" s="109">
        <v>2.8999999999999998E-3</v>
      </c>
      <c r="E261" s="82">
        <v>8.5000000000000006E-3</v>
      </c>
      <c r="F261" s="110">
        <v>105.188</v>
      </c>
      <c r="G261" s="98">
        <v>104.3</v>
      </c>
      <c r="H261" s="75">
        <v>1024</v>
      </c>
      <c r="I261" s="45">
        <v>0.62503472222222223</v>
      </c>
      <c r="J261" s="75">
        <f t="shared" si="91"/>
        <v>127016</v>
      </c>
      <c r="K261" s="87">
        <f t="shared" si="92"/>
        <v>105.1</v>
      </c>
      <c r="L261" s="81">
        <f t="shared" si="93"/>
        <v>2.8999999999999998E-3</v>
      </c>
      <c r="M261" s="74">
        <f t="shared" si="94"/>
        <v>1024</v>
      </c>
      <c r="N261" s="93">
        <v>105</v>
      </c>
      <c r="O261" s="93">
        <v>105.1</v>
      </c>
      <c r="P261" s="93">
        <v>104.59699999999999</v>
      </c>
    </row>
    <row r="262" spans="1:16">
      <c r="A262" s="73" t="s">
        <v>1142</v>
      </c>
      <c r="B262" s="73" t="s">
        <v>1144</v>
      </c>
      <c r="C262" s="88">
        <v>109.71</v>
      </c>
      <c r="D262" s="109">
        <v>4.4000000000000003E-3</v>
      </c>
      <c r="E262" s="82">
        <v>8.8000000000000005E-3</v>
      </c>
      <c r="F262" s="110">
        <v>110.19</v>
      </c>
      <c r="G262" s="154">
        <v>109.23</v>
      </c>
      <c r="H262" s="75">
        <v>375</v>
      </c>
      <c r="I262" s="45">
        <v>0.62532407407407409</v>
      </c>
      <c r="J262" s="75">
        <f t="shared" si="91"/>
        <v>110048</v>
      </c>
      <c r="K262" s="87">
        <f t="shared" ref="K262:K271" si="95">C262+0</f>
        <v>109.71</v>
      </c>
      <c r="L262" s="81">
        <f t="shared" ref="L262:L271" si="96">D262</f>
        <v>4.4000000000000003E-3</v>
      </c>
      <c r="M262" s="74">
        <f t="shared" ref="M262:M271" si="97">H262</f>
        <v>375</v>
      </c>
      <c r="N262" s="93">
        <v>109.71</v>
      </c>
      <c r="O262" s="93">
        <v>109.79</v>
      </c>
      <c r="P262" s="93">
        <v>109.23</v>
      </c>
    </row>
    <row r="263" spans="1:16">
      <c r="A263" s="73" t="s">
        <v>1143</v>
      </c>
      <c r="B263" s="73" t="s">
        <v>1432</v>
      </c>
      <c r="C263" s="88">
        <v>112.3</v>
      </c>
      <c r="D263" s="109">
        <v>3.0700000000000002E-2</v>
      </c>
      <c r="E263" s="82">
        <v>2.4799999999999999E-2</v>
      </c>
      <c r="F263" s="110">
        <v>114.5</v>
      </c>
      <c r="G263" s="110">
        <v>111.8</v>
      </c>
      <c r="H263" s="75">
        <v>16231</v>
      </c>
      <c r="I263" s="45">
        <v>0.625</v>
      </c>
      <c r="J263" s="75">
        <f t="shared" si="91"/>
        <v>110052</v>
      </c>
      <c r="K263" s="87">
        <f t="shared" si="95"/>
        <v>112.3</v>
      </c>
      <c r="L263" s="81">
        <f t="shared" si="96"/>
        <v>3.0700000000000002E-2</v>
      </c>
      <c r="M263" s="74">
        <f t="shared" si="97"/>
        <v>16231</v>
      </c>
      <c r="N263" s="93">
        <v>112.3</v>
      </c>
      <c r="O263" s="93">
        <v>112.32</v>
      </c>
      <c r="P263" s="93">
        <v>112.05</v>
      </c>
    </row>
    <row r="264" spans="1:16">
      <c r="A264" s="73" t="s">
        <v>1194</v>
      </c>
      <c r="B264" s="73" t="s">
        <v>1433</v>
      </c>
      <c r="C264" s="88">
        <v>113.2</v>
      </c>
      <c r="D264" s="105">
        <v>-2.5999999999999999E-3</v>
      </c>
      <c r="E264" s="82">
        <v>9.7000000000000003E-3</v>
      </c>
      <c r="F264" s="110">
        <v>113.9</v>
      </c>
      <c r="G264" s="98">
        <v>112.8</v>
      </c>
      <c r="H264" s="75">
        <v>677</v>
      </c>
      <c r="I264" s="45">
        <v>0.62503472222222223</v>
      </c>
      <c r="J264" s="75">
        <f t="shared" ref="J264:J275" si="98">RIGHT(A264,6)+0</f>
        <v>128094</v>
      </c>
      <c r="K264" s="87">
        <f t="shared" ref="K264:K270" si="99">C264+0</f>
        <v>113.2</v>
      </c>
      <c r="L264" s="81">
        <f t="shared" ref="L264:L270" si="100">D264</f>
        <v>-2.5999999999999999E-3</v>
      </c>
      <c r="M264" s="74">
        <f t="shared" ref="M264:M270" si="101">H264</f>
        <v>677</v>
      </c>
      <c r="N264" s="93">
        <v>113.18</v>
      </c>
      <c r="O264" s="93">
        <v>113.2</v>
      </c>
      <c r="P264" s="93">
        <v>113.3</v>
      </c>
    </row>
    <row r="265" spans="1:16">
      <c r="A265" s="73" t="s">
        <v>1195</v>
      </c>
      <c r="B265" s="73" t="s">
        <v>1434</v>
      </c>
      <c r="C265" s="88">
        <v>109.8</v>
      </c>
      <c r="D265" s="109">
        <v>1.3100000000000001E-2</v>
      </c>
      <c r="E265" s="82">
        <v>1.7899999999999999E-2</v>
      </c>
      <c r="F265" s="110">
        <v>109.958</v>
      </c>
      <c r="G265" s="98">
        <v>108.021</v>
      </c>
      <c r="H265" s="75">
        <v>607</v>
      </c>
      <c r="I265" s="45">
        <v>0.62503472222222223</v>
      </c>
      <c r="J265" s="75">
        <f t="shared" si="98"/>
        <v>128057</v>
      </c>
      <c r="K265" s="87">
        <f t="shared" si="99"/>
        <v>109.8</v>
      </c>
      <c r="L265" s="81">
        <f t="shared" si="100"/>
        <v>1.3100000000000001E-2</v>
      </c>
      <c r="M265" s="74">
        <f t="shared" si="101"/>
        <v>607</v>
      </c>
      <c r="N265" s="93">
        <v>109.8</v>
      </c>
      <c r="O265" s="93">
        <v>109.91</v>
      </c>
      <c r="P265" s="93">
        <v>108.021</v>
      </c>
    </row>
    <row r="266" spans="1:16">
      <c r="A266" s="73" t="s">
        <v>1196</v>
      </c>
      <c r="B266" s="73" t="s">
        <v>1435</v>
      </c>
      <c r="C266" s="88">
        <v>112.25</v>
      </c>
      <c r="D266" s="109">
        <v>1.77E-2</v>
      </c>
      <c r="E266" s="82">
        <v>2.4E-2</v>
      </c>
      <c r="F266" s="110">
        <v>112.8</v>
      </c>
      <c r="G266" s="98">
        <v>110.152</v>
      </c>
      <c r="H266" s="75">
        <v>2603</v>
      </c>
      <c r="I266" s="45">
        <v>0.62503472222222223</v>
      </c>
      <c r="J266" s="75">
        <f t="shared" si="98"/>
        <v>128103</v>
      </c>
      <c r="K266" s="87">
        <f t="shared" si="99"/>
        <v>112.25</v>
      </c>
      <c r="L266" s="81">
        <f t="shared" si="100"/>
        <v>1.77E-2</v>
      </c>
      <c r="M266" s="74">
        <f t="shared" si="101"/>
        <v>2603</v>
      </c>
      <c r="N266" s="93">
        <v>112.2</v>
      </c>
      <c r="O266" s="93">
        <v>112.25</v>
      </c>
      <c r="P266" s="93">
        <v>110.152</v>
      </c>
    </row>
    <row r="267" spans="1:16">
      <c r="A267" s="73" t="s">
        <v>1197</v>
      </c>
      <c r="B267" s="73" t="s">
        <v>1203</v>
      </c>
      <c r="C267" s="88">
        <v>117.50700000000001</v>
      </c>
      <c r="D267" s="109">
        <v>1E-4</v>
      </c>
      <c r="E267" s="82">
        <v>7.1999999999999998E-3</v>
      </c>
      <c r="F267" s="110">
        <v>117.869</v>
      </c>
      <c r="G267" s="98">
        <v>117.021</v>
      </c>
      <c r="H267" s="75">
        <v>3804</v>
      </c>
      <c r="I267" s="45">
        <v>0.62503472222222223</v>
      </c>
      <c r="J267" s="75">
        <f t="shared" si="98"/>
        <v>128084</v>
      </c>
      <c r="K267" s="87">
        <f t="shared" si="99"/>
        <v>117.50700000000001</v>
      </c>
      <c r="L267" s="81">
        <f t="shared" si="100"/>
        <v>1E-4</v>
      </c>
      <c r="M267" s="74">
        <f t="shared" si="101"/>
        <v>3804</v>
      </c>
      <c r="N267" s="93">
        <v>117.5</v>
      </c>
      <c r="O267" s="93">
        <v>117.50700000000001</v>
      </c>
      <c r="P267" s="93">
        <v>117.035</v>
      </c>
    </row>
    <row r="268" spans="1:16">
      <c r="A268" s="73" t="s">
        <v>1198</v>
      </c>
      <c r="B268" s="73" t="s">
        <v>1436</v>
      </c>
      <c r="C268" s="88">
        <v>103.25</v>
      </c>
      <c r="D268" s="109">
        <v>3.5000000000000001E-3</v>
      </c>
      <c r="E268" s="82">
        <v>1.14E-2</v>
      </c>
      <c r="F268" s="110">
        <v>104</v>
      </c>
      <c r="G268" s="98">
        <v>102.83</v>
      </c>
      <c r="H268" s="75">
        <v>5300</v>
      </c>
      <c r="I268" s="45">
        <v>0.62503472222222223</v>
      </c>
      <c r="J268" s="75">
        <f t="shared" si="98"/>
        <v>127012</v>
      </c>
      <c r="K268" s="87">
        <f t="shared" si="99"/>
        <v>103.25</v>
      </c>
      <c r="L268" s="81">
        <f t="shared" si="100"/>
        <v>3.5000000000000001E-3</v>
      </c>
      <c r="M268" s="74">
        <f t="shared" si="101"/>
        <v>5300</v>
      </c>
      <c r="N268" s="93">
        <v>103.25</v>
      </c>
      <c r="O268" s="93">
        <v>103.29900000000001</v>
      </c>
      <c r="P268" s="93">
        <v>102.998</v>
      </c>
    </row>
    <row r="269" spans="1:16">
      <c r="A269" s="73" t="s">
        <v>1199</v>
      </c>
      <c r="B269" s="73" t="s">
        <v>1437</v>
      </c>
      <c r="C269" s="88">
        <v>110.56699999999999</v>
      </c>
      <c r="D269" s="109">
        <v>1.06E-2</v>
      </c>
      <c r="E269" s="82">
        <v>1.49E-2</v>
      </c>
      <c r="F269" s="110">
        <v>110.59</v>
      </c>
      <c r="G269" s="98">
        <v>108.962</v>
      </c>
      <c r="H269" s="75">
        <v>396</v>
      </c>
      <c r="I269" s="45">
        <v>0.62503472222222223</v>
      </c>
      <c r="J269" s="75">
        <f t="shared" si="98"/>
        <v>128083</v>
      </c>
      <c r="K269" s="87">
        <f t="shared" si="99"/>
        <v>110.56699999999999</v>
      </c>
      <c r="L269" s="81">
        <f t="shared" si="100"/>
        <v>1.06E-2</v>
      </c>
      <c r="M269" s="74">
        <f t="shared" si="101"/>
        <v>396</v>
      </c>
      <c r="N269" s="93">
        <v>110.166</v>
      </c>
      <c r="O269" s="93">
        <v>110.37</v>
      </c>
      <c r="P269" s="93">
        <v>109.301</v>
      </c>
    </row>
    <row r="270" spans="1:16">
      <c r="A270" s="73" t="s">
        <v>1200</v>
      </c>
      <c r="B270" s="73" t="s">
        <v>1204</v>
      </c>
      <c r="C270" s="88">
        <v>103.79</v>
      </c>
      <c r="D270" s="109">
        <v>3.7000000000000002E-3</v>
      </c>
      <c r="E270" s="82">
        <v>4.7000000000000002E-3</v>
      </c>
      <c r="F270" s="110">
        <v>103.9</v>
      </c>
      <c r="G270" s="110">
        <v>103.411</v>
      </c>
      <c r="H270" s="75">
        <v>774</v>
      </c>
      <c r="I270" s="45">
        <v>0.62503472222222223</v>
      </c>
      <c r="J270" s="75">
        <f t="shared" si="98"/>
        <v>127006</v>
      </c>
      <c r="K270" s="87">
        <f t="shared" si="99"/>
        <v>103.79</v>
      </c>
      <c r="L270" s="81">
        <f t="shared" si="100"/>
        <v>3.7000000000000002E-3</v>
      </c>
      <c r="M270" s="74">
        <f t="shared" si="101"/>
        <v>774</v>
      </c>
      <c r="N270" s="93">
        <v>103.79</v>
      </c>
      <c r="O270" s="93">
        <v>103.8</v>
      </c>
      <c r="P270" s="93">
        <v>103.411</v>
      </c>
    </row>
    <row r="271" spans="1:16">
      <c r="A271" s="73" t="s">
        <v>1206</v>
      </c>
      <c r="B271" s="73" t="s">
        <v>1438</v>
      </c>
      <c r="C271" s="88">
        <v>118.4</v>
      </c>
      <c r="D271" s="109">
        <v>6.6E-3</v>
      </c>
      <c r="E271" s="82">
        <v>2.2599999999999999E-2</v>
      </c>
      <c r="F271" s="110">
        <v>118.99</v>
      </c>
      <c r="G271" s="98">
        <v>116.33</v>
      </c>
      <c r="H271" s="75">
        <v>2070</v>
      </c>
      <c r="I271" s="45">
        <v>0.62532407407407409</v>
      </c>
      <c r="J271" s="75">
        <f t="shared" si="98"/>
        <v>113578</v>
      </c>
      <c r="K271" s="87">
        <f t="shared" si="95"/>
        <v>118.4</v>
      </c>
      <c r="L271" s="81">
        <f t="shared" si="96"/>
        <v>6.6E-3</v>
      </c>
      <c r="M271" s="74">
        <f t="shared" si="97"/>
        <v>2070</v>
      </c>
      <c r="N271" s="93">
        <v>118.31</v>
      </c>
      <c r="O271" s="93">
        <v>118.32</v>
      </c>
      <c r="P271" s="93">
        <v>117.62</v>
      </c>
    </row>
    <row r="272" spans="1:16">
      <c r="A272" s="73" t="s">
        <v>1211</v>
      </c>
      <c r="B272" s="73" t="s">
        <v>1439</v>
      </c>
      <c r="C272" s="88">
        <v>105.834</v>
      </c>
      <c r="D272" s="109">
        <v>2.0999999999999999E-3</v>
      </c>
      <c r="E272" s="82">
        <v>9.7999999999999997E-3</v>
      </c>
      <c r="F272" s="110">
        <v>106.39</v>
      </c>
      <c r="G272" s="98">
        <v>105.35</v>
      </c>
      <c r="H272" s="75">
        <v>603</v>
      </c>
      <c r="I272" s="45">
        <v>0.62503472222222223</v>
      </c>
      <c r="J272" s="75">
        <f t="shared" si="98"/>
        <v>128034</v>
      </c>
      <c r="K272" s="87">
        <f t="shared" ref="K272" si="102">C272+0</f>
        <v>105.834</v>
      </c>
      <c r="L272" s="81">
        <f t="shared" ref="L272" si="103">D272</f>
        <v>2.0999999999999999E-3</v>
      </c>
      <c r="M272" s="74">
        <f t="shared" ref="M272" si="104">H272</f>
        <v>603</v>
      </c>
      <c r="N272" s="93">
        <v>105.82899999999999</v>
      </c>
      <c r="O272" s="93">
        <v>106.14400000000001</v>
      </c>
      <c r="P272" s="93">
        <v>105.61199999999999</v>
      </c>
    </row>
    <row r="273" spans="1:16">
      <c r="A273" s="73" t="s">
        <v>1214</v>
      </c>
      <c r="B273" s="73" t="s">
        <v>1305</v>
      </c>
      <c r="C273" s="88">
        <v>118.5</v>
      </c>
      <c r="D273" s="109">
        <v>2.5000000000000001E-3</v>
      </c>
      <c r="E273" s="82">
        <v>1.46E-2</v>
      </c>
      <c r="F273" s="110">
        <v>118.75</v>
      </c>
      <c r="G273" s="98">
        <v>117.03</v>
      </c>
      <c r="H273" s="75">
        <v>1109</v>
      </c>
      <c r="I273" s="45">
        <v>0.62532407407407409</v>
      </c>
      <c r="J273" s="75">
        <f t="shared" si="98"/>
        <v>113550</v>
      </c>
      <c r="K273" s="87">
        <f t="shared" ref="K273:K275" si="105">C273+0</f>
        <v>118.5</v>
      </c>
      <c r="L273" s="81">
        <f t="shared" ref="L273:L275" si="106">D273</f>
        <v>2.5000000000000001E-3</v>
      </c>
      <c r="M273" s="74">
        <f t="shared" ref="M273:M275" si="107">H273</f>
        <v>1109</v>
      </c>
      <c r="N273" s="93">
        <v>118.12</v>
      </c>
      <c r="O273" s="93">
        <v>118.51</v>
      </c>
      <c r="P273" s="93">
        <v>118.13</v>
      </c>
    </row>
    <row r="274" spans="1:16">
      <c r="A274" s="73" t="s">
        <v>1218</v>
      </c>
      <c r="B274" s="73" t="s">
        <v>1219</v>
      </c>
      <c r="C274" s="88">
        <v>108.6</v>
      </c>
      <c r="D274" s="109">
        <v>6.4000000000000003E-3</v>
      </c>
      <c r="E274" s="82">
        <v>1.34E-2</v>
      </c>
      <c r="F274" s="110">
        <v>108.78</v>
      </c>
      <c r="G274" s="98">
        <v>107.33</v>
      </c>
      <c r="H274" s="75">
        <v>7499</v>
      </c>
      <c r="I274" s="45">
        <v>0.62503472222222223</v>
      </c>
      <c r="J274" s="75">
        <f t="shared" si="98"/>
        <v>128107</v>
      </c>
      <c r="K274" s="87">
        <f t="shared" si="105"/>
        <v>108.6</v>
      </c>
      <c r="L274" s="81">
        <f t="shared" si="106"/>
        <v>6.4000000000000003E-3</v>
      </c>
      <c r="M274" s="74">
        <f t="shared" si="107"/>
        <v>7499</v>
      </c>
      <c r="N274" s="93">
        <v>108.6</v>
      </c>
      <c r="O274" s="93">
        <v>108.602</v>
      </c>
      <c r="P274" s="93">
        <v>107.556</v>
      </c>
    </row>
    <row r="275" spans="1:16">
      <c r="A275" s="73" t="s">
        <v>1222</v>
      </c>
      <c r="B275" s="73" t="s">
        <v>1440</v>
      </c>
      <c r="C275" s="88">
        <v>109.06</v>
      </c>
      <c r="D275" s="109">
        <v>1.1900000000000001E-2</v>
      </c>
      <c r="E275" s="82">
        <v>1.72E-2</v>
      </c>
      <c r="F275" s="110">
        <v>109.35</v>
      </c>
      <c r="G275" s="98">
        <v>107.5</v>
      </c>
      <c r="H275" s="75">
        <v>3815</v>
      </c>
      <c r="I275" s="45">
        <v>0.625</v>
      </c>
      <c r="J275" s="75">
        <f t="shared" si="98"/>
        <v>113581</v>
      </c>
      <c r="K275" s="87">
        <f t="shared" si="105"/>
        <v>109.06</v>
      </c>
      <c r="L275" s="81">
        <f t="shared" si="106"/>
        <v>1.1900000000000001E-2</v>
      </c>
      <c r="M275" s="74">
        <f t="shared" si="107"/>
        <v>3815</v>
      </c>
      <c r="N275" s="93">
        <v>109.04</v>
      </c>
      <c r="O275" s="93">
        <v>109.25</v>
      </c>
      <c r="P275" s="93">
        <v>107.78</v>
      </c>
    </row>
    <row r="276" spans="1:16">
      <c r="A276" s="73" t="s">
        <v>1223</v>
      </c>
      <c r="B276" s="73" t="s">
        <v>1441</v>
      </c>
      <c r="C276" s="88">
        <v>118.73</v>
      </c>
      <c r="D276" s="109">
        <v>7.0000000000000001E-3</v>
      </c>
      <c r="E276" s="82">
        <v>1.6799999999999999E-2</v>
      </c>
      <c r="F276" s="110">
        <v>118.8</v>
      </c>
      <c r="G276" s="98">
        <v>116.82</v>
      </c>
      <c r="H276" s="75">
        <v>372</v>
      </c>
      <c r="I276" s="45">
        <v>0.62532407407407409</v>
      </c>
      <c r="J276" s="75">
        <f t="shared" ref="J276:J282" si="108">RIGHT(A276,6)+0</f>
        <v>113547</v>
      </c>
      <c r="K276" s="87">
        <f t="shared" ref="K276:K279" si="109">C276+0</f>
        <v>118.73</v>
      </c>
      <c r="L276" s="81">
        <f t="shared" ref="L276:L279" si="110">D276</f>
        <v>7.0000000000000001E-3</v>
      </c>
      <c r="M276" s="74">
        <f t="shared" ref="M276:M279" si="111">H276</f>
        <v>372</v>
      </c>
      <c r="N276" s="93">
        <v>118.8</v>
      </c>
      <c r="O276" s="93">
        <v>118.9</v>
      </c>
      <c r="P276" s="93">
        <v>117.1</v>
      </c>
    </row>
    <row r="277" spans="1:16">
      <c r="A277" s="73" t="s">
        <v>1224</v>
      </c>
      <c r="B277" s="73" t="s">
        <v>1442</v>
      </c>
      <c r="C277" s="88">
        <v>99.8</v>
      </c>
      <c r="D277" s="109">
        <v>8.9999999999999998E-4</v>
      </c>
      <c r="E277" s="82">
        <v>6.1000000000000004E-3</v>
      </c>
      <c r="F277" s="110">
        <v>100.11</v>
      </c>
      <c r="G277" s="98">
        <v>99.5</v>
      </c>
      <c r="H277" s="75">
        <v>363</v>
      </c>
      <c r="I277" s="45">
        <v>0.62532407407407409</v>
      </c>
      <c r="J277" s="75">
        <f t="shared" si="108"/>
        <v>110045</v>
      </c>
      <c r="K277" s="87">
        <f t="shared" si="109"/>
        <v>99.8</v>
      </c>
      <c r="L277" s="81">
        <f t="shared" si="110"/>
        <v>8.9999999999999998E-4</v>
      </c>
      <c r="M277" s="74">
        <f t="shared" si="111"/>
        <v>363</v>
      </c>
      <c r="N277" s="93">
        <v>99.73</v>
      </c>
      <c r="O277" s="93">
        <v>99.8</v>
      </c>
      <c r="P277" s="93">
        <v>99.71</v>
      </c>
    </row>
    <row r="278" spans="1:16">
      <c r="A278" s="73" t="s">
        <v>1225</v>
      </c>
      <c r="B278" s="73" t="s">
        <v>1443</v>
      </c>
      <c r="C278" s="88">
        <v>108.28</v>
      </c>
      <c r="D278" s="109">
        <v>1E-3</v>
      </c>
      <c r="E278" s="82">
        <v>3.3E-3</v>
      </c>
      <c r="F278" s="110">
        <v>108.37</v>
      </c>
      <c r="G278" s="98">
        <v>108.01</v>
      </c>
      <c r="H278" s="75">
        <v>3809</v>
      </c>
      <c r="I278" s="45">
        <v>0.625</v>
      </c>
      <c r="J278" s="75">
        <f t="shared" si="108"/>
        <v>110067</v>
      </c>
      <c r="K278" s="87">
        <f t="shared" si="109"/>
        <v>108.28</v>
      </c>
      <c r="L278" s="81">
        <f t="shared" si="110"/>
        <v>1E-3</v>
      </c>
      <c r="M278" s="74">
        <f t="shared" si="111"/>
        <v>3809</v>
      </c>
      <c r="N278" s="93">
        <v>108.26</v>
      </c>
      <c r="O278" s="93">
        <v>108.28</v>
      </c>
      <c r="P278" s="93">
        <v>108.01</v>
      </c>
    </row>
    <row r="279" spans="1:16">
      <c r="A279" s="73" t="s">
        <v>1226</v>
      </c>
      <c r="B279" s="73" t="s">
        <v>1444</v>
      </c>
      <c r="C279" s="88">
        <v>111.301</v>
      </c>
      <c r="D279" s="109">
        <v>4.4000000000000003E-3</v>
      </c>
      <c r="E279" s="82">
        <v>2.8899999999999999E-2</v>
      </c>
      <c r="F279" s="110">
        <v>113</v>
      </c>
      <c r="G279" s="98">
        <v>109.8</v>
      </c>
      <c r="H279" s="75">
        <v>1005</v>
      </c>
      <c r="I279" s="45">
        <v>0.62503472222222223</v>
      </c>
      <c r="J279" s="75">
        <f t="shared" si="108"/>
        <v>123035</v>
      </c>
      <c r="K279" s="87">
        <f t="shared" si="109"/>
        <v>111.301</v>
      </c>
      <c r="L279" s="81">
        <f t="shared" si="110"/>
        <v>4.4000000000000003E-3</v>
      </c>
      <c r="M279" s="74">
        <f t="shared" si="111"/>
        <v>1005</v>
      </c>
      <c r="N279" s="93">
        <v>111.301</v>
      </c>
      <c r="O279" s="93">
        <v>111.366</v>
      </c>
      <c r="P279" s="93">
        <v>111</v>
      </c>
    </row>
    <row r="280" spans="1:16">
      <c r="A280" s="73" t="s">
        <v>1228</v>
      </c>
      <c r="B280" s="73" t="s">
        <v>1445</v>
      </c>
      <c r="C280" s="88">
        <v>112.319</v>
      </c>
      <c r="D280" s="109">
        <v>2.8E-3</v>
      </c>
      <c r="E280" s="82">
        <v>1.6899999999999998E-2</v>
      </c>
      <c r="F280" s="110">
        <v>113.199</v>
      </c>
      <c r="G280" s="98">
        <v>111.301</v>
      </c>
      <c r="H280" s="75">
        <v>391</v>
      </c>
      <c r="I280" s="45">
        <v>0.62503472222222223</v>
      </c>
      <c r="J280" s="75">
        <f t="shared" si="108"/>
        <v>128048</v>
      </c>
      <c r="K280" s="87">
        <f t="shared" ref="K280" si="112">C280+0</f>
        <v>112.319</v>
      </c>
      <c r="L280" s="81">
        <f t="shared" ref="L280" si="113">D280</f>
        <v>2.8E-3</v>
      </c>
      <c r="M280" s="74">
        <f t="shared" ref="M280" si="114">H280</f>
        <v>391</v>
      </c>
      <c r="N280" s="93">
        <v>112.301</v>
      </c>
      <c r="O280" s="93">
        <v>112.97799999999999</v>
      </c>
      <c r="P280" s="93">
        <v>111.33</v>
      </c>
    </row>
    <row r="281" spans="1:16">
      <c r="A281" s="73" t="s">
        <v>1236</v>
      </c>
      <c r="B281" s="73" t="s">
        <v>1446</v>
      </c>
      <c r="C281" s="88">
        <v>109.65</v>
      </c>
      <c r="D281" s="109">
        <v>1.7399999999999999E-2</v>
      </c>
      <c r="E281" s="82">
        <v>2.3800000000000002E-2</v>
      </c>
      <c r="F281" s="110">
        <v>109.88</v>
      </c>
      <c r="G281" s="98">
        <v>107.32</v>
      </c>
      <c r="H281" s="75">
        <v>1296</v>
      </c>
      <c r="I281" s="45">
        <v>0.62532407407407409</v>
      </c>
      <c r="J281" s="75">
        <f t="shared" si="108"/>
        <v>110057</v>
      </c>
      <c r="K281" s="87">
        <f t="shared" ref="K281:K282" si="115">C281+0</f>
        <v>109.65</v>
      </c>
      <c r="L281" s="81">
        <f t="shared" ref="L281:L282" si="116">D281</f>
        <v>1.7399999999999999E-2</v>
      </c>
      <c r="M281" s="74">
        <f t="shared" ref="M281:M282" si="117">H281</f>
        <v>1296</v>
      </c>
      <c r="N281" s="93">
        <v>109.65</v>
      </c>
      <c r="O281" s="93">
        <v>109.78</v>
      </c>
      <c r="P281" s="93">
        <v>107.8</v>
      </c>
    </row>
    <row r="282" spans="1:16">
      <c r="A282" s="73" t="s">
        <v>1265</v>
      </c>
      <c r="B282" s="73" t="s">
        <v>1447</v>
      </c>
      <c r="C282" s="88">
        <v>105.31</v>
      </c>
      <c r="D282" s="109">
        <v>1.09E-2</v>
      </c>
      <c r="E282" s="82">
        <v>0.03</v>
      </c>
      <c r="F282" s="110">
        <v>106.43</v>
      </c>
      <c r="G282" s="98">
        <v>103.3</v>
      </c>
      <c r="H282" s="75">
        <v>108401</v>
      </c>
      <c r="I282" s="45">
        <v>0.625</v>
      </c>
      <c r="J282" s="75">
        <f t="shared" si="108"/>
        <v>600570</v>
      </c>
      <c r="K282" s="87">
        <f t="shared" si="115"/>
        <v>105.31</v>
      </c>
      <c r="L282" s="81">
        <f t="shared" si="116"/>
        <v>1.09E-2</v>
      </c>
      <c r="M282" s="74">
        <f t="shared" si="117"/>
        <v>108401</v>
      </c>
      <c r="N282" s="93">
        <v>105.3</v>
      </c>
      <c r="O282" s="93">
        <v>105.31</v>
      </c>
      <c r="P282" s="93">
        <v>104.3</v>
      </c>
    </row>
    <row r="283" spans="1:16">
      <c r="A283" s="73" t="s">
        <v>1528</v>
      </c>
      <c r="B283" s="73" t="s">
        <v>1565</v>
      </c>
      <c r="C283" s="88">
        <v>110.2</v>
      </c>
      <c r="D283" s="109">
        <v>6.8999999999999999E-3</v>
      </c>
      <c r="E283" s="82">
        <v>7.7999999999999996E-3</v>
      </c>
      <c r="F283" s="110">
        <v>110.29</v>
      </c>
      <c r="G283" s="154">
        <v>109.44</v>
      </c>
      <c r="H283" s="75">
        <v>471</v>
      </c>
      <c r="I283" s="45">
        <v>0.62532407407407409</v>
      </c>
      <c r="J283" s="75">
        <f t="shared" ref="J283:J299" si="118">RIGHT(A283,6)+0</f>
        <v>110055</v>
      </c>
      <c r="K283" s="87">
        <f t="shared" ref="K283:K299" si="119">C283+0</f>
        <v>110.2</v>
      </c>
      <c r="L283" s="81">
        <f t="shared" ref="L283:L299" si="120">D283</f>
        <v>6.8999999999999999E-3</v>
      </c>
      <c r="M283" s="74">
        <f t="shared" ref="M283:M299" si="121">H283</f>
        <v>471</v>
      </c>
      <c r="N283" s="93">
        <v>110.2</v>
      </c>
      <c r="O283" s="93">
        <v>110.25</v>
      </c>
      <c r="P283" s="93">
        <v>109.44</v>
      </c>
    </row>
    <row r="284" spans="1:16">
      <c r="A284" s="73" t="s">
        <v>1023</v>
      </c>
      <c r="B284" s="73" t="s">
        <v>1420</v>
      </c>
      <c r="C284" s="88">
        <v>107.9</v>
      </c>
      <c r="D284" s="109">
        <v>6.0000000000000001E-3</v>
      </c>
      <c r="E284" s="82">
        <v>7.7000000000000002E-3</v>
      </c>
      <c r="F284" s="110">
        <v>107.91</v>
      </c>
      <c r="G284" s="98">
        <v>107.08</v>
      </c>
      <c r="H284" s="75">
        <v>193</v>
      </c>
      <c r="I284" s="45">
        <v>0.62532407407407409</v>
      </c>
      <c r="J284" s="75">
        <f t="shared" si="118"/>
        <v>110063</v>
      </c>
      <c r="K284" s="87">
        <f t="shared" si="119"/>
        <v>107.9</v>
      </c>
      <c r="L284" s="81">
        <f t="shared" si="120"/>
        <v>6.0000000000000001E-3</v>
      </c>
      <c r="M284" s="74">
        <f t="shared" si="121"/>
        <v>193</v>
      </c>
      <c r="N284" s="93">
        <v>107.9</v>
      </c>
      <c r="O284" s="93">
        <v>107.93</v>
      </c>
      <c r="P284" s="93">
        <v>107.26</v>
      </c>
    </row>
    <row r="285" spans="1:16">
      <c r="A285" s="73" t="s">
        <v>1529</v>
      </c>
      <c r="B285" s="73" t="s">
        <v>1566</v>
      </c>
      <c r="C285" s="88">
        <v>103.6</v>
      </c>
      <c r="D285" s="109">
        <v>6.7000000000000002E-3</v>
      </c>
      <c r="E285" s="82">
        <v>9.1000000000000004E-3</v>
      </c>
      <c r="F285" s="110">
        <v>103.83</v>
      </c>
      <c r="G285" s="98">
        <v>102.89</v>
      </c>
      <c r="H285" s="75">
        <v>233</v>
      </c>
      <c r="I285" s="45">
        <v>0.62532407407407409</v>
      </c>
      <c r="J285" s="75">
        <f t="shared" si="118"/>
        <v>113530</v>
      </c>
      <c r="K285" s="87">
        <f t="shared" si="119"/>
        <v>103.6</v>
      </c>
      <c r="L285" s="81">
        <f t="shared" si="120"/>
        <v>6.7000000000000002E-3</v>
      </c>
      <c r="M285" s="74">
        <f t="shared" si="121"/>
        <v>233</v>
      </c>
      <c r="N285" s="93">
        <v>103.6</v>
      </c>
      <c r="O285" s="93">
        <v>103.84</v>
      </c>
      <c r="P285" s="93">
        <v>103.03</v>
      </c>
    </row>
    <row r="286" spans="1:16">
      <c r="A286" s="73" t="s">
        <v>1530</v>
      </c>
      <c r="B286" s="73" t="s">
        <v>1567</v>
      </c>
      <c r="C286" s="88">
        <v>106.97</v>
      </c>
      <c r="D286" s="109">
        <v>7.1999999999999998E-3</v>
      </c>
      <c r="E286" s="82">
        <v>1.11E-2</v>
      </c>
      <c r="F286" s="110">
        <v>107.37</v>
      </c>
      <c r="G286" s="98">
        <v>106.19</v>
      </c>
      <c r="H286" s="75">
        <v>206</v>
      </c>
      <c r="I286" s="45">
        <v>0.62503472222222223</v>
      </c>
      <c r="J286" s="75">
        <f t="shared" si="118"/>
        <v>123007</v>
      </c>
      <c r="K286" s="87">
        <f t="shared" si="119"/>
        <v>106.97</v>
      </c>
      <c r="L286" s="81">
        <f t="shared" si="120"/>
        <v>7.1999999999999998E-3</v>
      </c>
      <c r="M286" s="74">
        <f t="shared" si="121"/>
        <v>206</v>
      </c>
      <c r="N286" s="93">
        <v>106.97</v>
      </c>
      <c r="O286" s="93">
        <v>107.14</v>
      </c>
      <c r="P286" s="93">
        <v>106.68</v>
      </c>
    </row>
    <row r="287" spans="1:16">
      <c r="A287" s="73" t="s">
        <v>1531</v>
      </c>
      <c r="B287" s="73" t="s">
        <v>1568</v>
      </c>
      <c r="C287" s="88">
        <v>108.78</v>
      </c>
      <c r="D287" s="109">
        <v>2.5999999999999999E-3</v>
      </c>
      <c r="E287" s="82">
        <v>2.3E-2</v>
      </c>
      <c r="F287" s="110">
        <v>110.5</v>
      </c>
      <c r="G287" s="98">
        <v>108</v>
      </c>
      <c r="H287" s="75">
        <v>702</v>
      </c>
      <c r="I287" s="45">
        <v>0.62503472222222223</v>
      </c>
      <c r="J287" s="75">
        <f t="shared" si="118"/>
        <v>123010</v>
      </c>
      <c r="K287" s="87">
        <f t="shared" si="119"/>
        <v>108.78</v>
      </c>
      <c r="L287" s="81">
        <f t="shared" si="120"/>
        <v>2.5999999999999999E-3</v>
      </c>
      <c r="M287" s="74">
        <f t="shared" si="121"/>
        <v>702</v>
      </c>
      <c r="N287" s="93">
        <v>108.78</v>
      </c>
      <c r="O287" s="93">
        <v>108.81</v>
      </c>
      <c r="P287" s="93">
        <v>108</v>
      </c>
    </row>
    <row r="288" spans="1:16">
      <c r="A288" s="73" t="s">
        <v>1532</v>
      </c>
      <c r="B288" s="73" t="s">
        <v>1569</v>
      </c>
      <c r="C288" s="88">
        <v>110.123</v>
      </c>
      <c r="D288" s="109">
        <v>1.1000000000000001E-3</v>
      </c>
      <c r="E288" s="82">
        <v>1.3599999999999999E-2</v>
      </c>
      <c r="F288" s="110">
        <v>111.479</v>
      </c>
      <c r="G288" s="98">
        <v>109.988</v>
      </c>
      <c r="H288" s="75">
        <v>234</v>
      </c>
      <c r="I288" s="45">
        <v>0.62503472222222223</v>
      </c>
      <c r="J288" s="75">
        <f t="shared" si="118"/>
        <v>123027</v>
      </c>
      <c r="K288" s="87">
        <f t="shared" si="119"/>
        <v>110.123</v>
      </c>
      <c r="L288" s="81">
        <f t="shared" si="120"/>
        <v>1.1000000000000001E-3</v>
      </c>
      <c r="M288" s="74">
        <f t="shared" si="121"/>
        <v>234</v>
      </c>
      <c r="N288" s="93">
        <v>110.123</v>
      </c>
      <c r="O288" s="93">
        <v>110.295</v>
      </c>
      <c r="P288" s="93">
        <v>110.86</v>
      </c>
    </row>
    <row r="289" spans="1:16">
      <c r="A289" s="73" t="s">
        <v>1533</v>
      </c>
      <c r="B289" s="73" t="s">
        <v>1570</v>
      </c>
      <c r="C289" s="88">
        <v>113.8</v>
      </c>
      <c r="D289" s="109">
        <v>8.8999999999999999E-3</v>
      </c>
      <c r="E289" s="82">
        <v>2.1100000000000001E-2</v>
      </c>
      <c r="F289" s="110">
        <v>114.88</v>
      </c>
      <c r="G289" s="98">
        <v>112.5</v>
      </c>
      <c r="H289" s="75">
        <v>48942</v>
      </c>
      <c r="I289" s="45">
        <v>0.62503472222222223</v>
      </c>
      <c r="J289" s="75">
        <f t="shared" si="118"/>
        <v>123033</v>
      </c>
      <c r="K289" s="87">
        <f t="shared" si="119"/>
        <v>113.8</v>
      </c>
      <c r="L289" s="81">
        <f t="shared" si="120"/>
        <v>8.8999999999999999E-3</v>
      </c>
      <c r="M289" s="74">
        <f t="shared" si="121"/>
        <v>48942</v>
      </c>
      <c r="N289" s="93">
        <v>113.8</v>
      </c>
      <c r="O289" s="93">
        <v>113.818</v>
      </c>
      <c r="P289" s="93">
        <v>113.75</v>
      </c>
    </row>
    <row r="290" spans="1:16">
      <c r="A290" s="73" t="s">
        <v>1534</v>
      </c>
      <c r="B290" s="73" t="s">
        <v>1571</v>
      </c>
      <c r="C290" s="88">
        <v>106.881</v>
      </c>
      <c r="D290" s="109">
        <v>7.4000000000000003E-3</v>
      </c>
      <c r="E290" s="82">
        <v>2.07E-2</v>
      </c>
      <c r="F290" s="110">
        <v>107.2</v>
      </c>
      <c r="G290" s="98">
        <v>105</v>
      </c>
      <c r="H290" s="75">
        <v>588</v>
      </c>
      <c r="I290" s="45">
        <v>0.62503472222222223</v>
      </c>
      <c r="J290" s="75">
        <f t="shared" si="118"/>
        <v>128025</v>
      </c>
      <c r="K290" s="87">
        <f t="shared" si="119"/>
        <v>106.881</v>
      </c>
      <c r="L290" s="81">
        <f t="shared" si="120"/>
        <v>7.4000000000000003E-3</v>
      </c>
      <c r="M290" s="74">
        <f t="shared" si="121"/>
        <v>588</v>
      </c>
      <c r="N290" s="93">
        <v>106.9</v>
      </c>
      <c r="O290" s="93">
        <v>106.99</v>
      </c>
      <c r="P290" s="93">
        <v>105.8</v>
      </c>
    </row>
    <row r="291" spans="1:16">
      <c r="A291" s="73" t="s">
        <v>1535</v>
      </c>
      <c r="B291" s="73" t="s">
        <v>1572</v>
      </c>
      <c r="C291" s="88">
        <v>105.803</v>
      </c>
      <c r="D291" s="109">
        <v>6.7000000000000002E-3</v>
      </c>
      <c r="E291" s="82">
        <v>1.5599999999999999E-2</v>
      </c>
      <c r="F291" s="110">
        <v>106.637</v>
      </c>
      <c r="G291" s="98">
        <v>105.001</v>
      </c>
      <c r="H291" s="75">
        <v>384</v>
      </c>
      <c r="I291" s="45">
        <v>0.62503472222222223</v>
      </c>
      <c r="J291" s="75">
        <f t="shared" si="118"/>
        <v>128035</v>
      </c>
      <c r="K291" s="87">
        <f t="shared" si="119"/>
        <v>105.803</v>
      </c>
      <c r="L291" s="81">
        <f t="shared" si="120"/>
        <v>6.7000000000000002E-3</v>
      </c>
      <c r="M291" s="74">
        <f t="shared" si="121"/>
        <v>384</v>
      </c>
      <c r="N291" s="93">
        <v>105.803</v>
      </c>
      <c r="O291" s="93">
        <v>106</v>
      </c>
      <c r="P291" s="93">
        <v>105.09699999999999</v>
      </c>
    </row>
    <row r="292" spans="1:16">
      <c r="A292" s="73" t="s">
        <v>1536</v>
      </c>
      <c r="B292" s="73" t="s">
        <v>1573</v>
      </c>
      <c r="C292" s="88">
        <v>108.3</v>
      </c>
      <c r="D292" s="109">
        <v>2.2700000000000001E-2</v>
      </c>
      <c r="E292" s="82">
        <v>3.7900000000000003E-2</v>
      </c>
      <c r="F292" s="110">
        <v>109.626</v>
      </c>
      <c r="G292" s="98">
        <v>105.613</v>
      </c>
      <c r="H292" s="75">
        <v>1091</v>
      </c>
      <c r="I292" s="45">
        <v>0.62503472222222223</v>
      </c>
      <c r="J292" s="75">
        <f t="shared" si="118"/>
        <v>128042</v>
      </c>
      <c r="K292" s="87">
        <f t="shared" si="119"/>
        <v>108.3</v>
      </c>
      <c r="L292" s="81">
        <f t="shared" si="120"/>
        <v>2.2700000000000001E-2</v>
      </c>
      <c r="M292" s="74">
        <f t="shared" si="121"/>
        <v>1091</v>
      </c>
      <c r="N292" s="93">
        <v>108.26</v>
      </c>
      <c r="O292" s="93">
        <v>108.3</v>
      </c>
      <c r="P292" s="93">
        <v>105.613</v>
      </c>
    </row>
    <row r="293" spans="1:16">
      <c r="A293" s="73" t="s">
        <v>1537</v>
      </c>
      <c r="B293" s="73" t="s">
        <v>1574</v>
      </c>
      <c r="C293" s="88">
        <v>111.65</v>
      </c>
      <c r="D293" s="109">
        <v>4.0000000000000001E-3</v>
      </c>
      <c r="E293" s="82">
        <v>1.6500000000000001E-2</v>
      </c>
      <c r="F293" s="110">
        <v>111.94</v>
      </c>
      <c r="G293" s="98">
        <v>110.105</v>
      </c>
      <c r="H293" s="75">
        <v>2522</v>
      </c>
      <c r="I293" s="45">
        <v>0.62503472222222223</v>
      </c>
      <c r="J293" s="75">
        <f t="shared" si="118"/>
        <v>128051</v>
      </c>
      <c r="K293" s="87">
        <f t="shared" si="119"/>
        <v>111.65</v>
      </c>
      <c r="L293" s="81">
        <f t="shared" si="120"/>
        <v>4.0000000000000001E-3</v>
      </c>
      <c r="M293" s="74">
        <f t="shared" si="121"/>
        <v>2522</v>
      </c>
      <c r="N293" s="93">
        <v>111.65</v>
      </c>
      <c r="O293" s="93">
        <v>111.66</v>
      </c>
      <c r="P293" s="93">
        <v>110.105</v>
      </c>
    </row>
    <row r="294" spans="1:16">
      <c r="A294" s="73" t="s">
        <v>1538</v>
      </c>
      <c r="B294" s="73" t="s">
        <v>1575</v>
      </c>
      <c r="C294" s="88">
        <v>116.622</v>
      </c>
      <c r="D294" s="109">
        <v>9.7000000000000003E-3</v>
      </c>
      <c r="E294" s="82">
        <v>1.77E-2</v>
      </c>
      <c r="F294" s="110">
        <v>117.113</v>
      </c>
      <c r="G294" s="98">
        <v>115.071</v>
      </c>
      <c r="H294" s="75">
        <v>920</v>
      </c>
      <c r="I294" s="45">
        <v>0.62503472222222223</v>
      </c>
      <c r="J294" s="75">
        <f t="shared" si="118"/>
        <v>128058</v>
      </c>
      <c r="K294" s="87">
        <f t="shared" si="119"/>
        <v>116.622</v>
      </c>
      <c r="L294" s="81">
        <f t="shared" si="120"/>
        <v>9.7000000000000003E-3</v>
      </c>
      <c r="M294" s="74">
        <f t="shared" si="121"/>
        <v>920</v>
      </c>
      <c r="N294" s="93">
        <v>116.622</v>
      </c>
      <c r="O294" s="93">
        <v>116.64400000000001</v>
      </c>
      <c r="P294" s="93">
        <v>115.071</v>
      </c>
    </row>
    <row r="295" spans="1:16">
      <c r="A295" s="73" t="s">
        <v>1539</v>
      </c>
      <c r="B295" s="73" t="s">
        <v>1576</v>
      </c>
      <c r="C295" s="88">
        <v>110.5</v>
      </c>
      <c r="D295" s="109">
        <v>4.0000000000000001E-3</v>
      </c>
      <c r="E295" s="82">
        <v>1.09E-2</v>
      </c>
      <c r="F295" s="110">
        <v>111.01</v>
      </c>
      <c r="G295" s="98">
        <v>109.812</v>
      </c>
      <c r="H295" s="75">
        <v>504</v>
      </c>
      <c r="I295" s="45">
        <v>0.62503472222222223</v>
      </c>
      <c r="J295" s="75">
        <f t="shared" si="118"/>
        <v>128063</v>
      </c>
      <c r="K295" s="87">
        <f t="shared" si="119"/>
        <v>110.5</v>
      </c>
      <c r="L295" s="81">
        <f t="shared" si="120"/>
        <v>4.0000000000000001E-3</v>
      </c>
      <c r="M295" s="74">
        <f t="shared" si="121"/>
        <v>504</v>
      </c>
      <c r="N295" s="93">
        <v>110.5</v>
      </c>
      <c r="O295" s="93">
        <v>110.65300000000001</v>
      </c>
      <c r="P295" s="93">
        <v>109.911</v>
      </c>
    </row>
    <row r="296" spans="1:16">
      <c r="A296" s="73" t="s">
        <v>1540</v>
      </c>
      <c r="B296" s="73" t="s">
        <v>1577</v>
      </c>
      <c r="C296" s="88">
        <v>108.7</v>
      </c>
      <c r="D296" s="109">
        <v>4.7000000000000002E-3</v>
      </c>
      <c r="E296" s="82">
        <v>1.06E-2</v>
      </c>
      <c r="F296" s="110">
        <v>108.9</v>
      </c>
      <c r="G296" s="98">
        <v>107.75</v>
      </c>
      <c r="H296" s="75">
        <v>509</v>
      </c>
      <c r="I296" s="45">
        <v>0.62503472222222223</v>
      </c>
      <c r="J296" s="75">
        <f t="shared" si="118"/>
        <v>128069</v>
      </c>
      <c r="K296" s="87">
        <f t="shared" si="119"/>
        <v>108.7</v>
      </c>
      <c r="L296" s="81">
        <f t="shared" si="120"/>
        <v>4.7000000000000002E-3</v>
      </c>
      <c r="M296" s="74">
        <f t="shared" si="121"/>
        <v>509</v>
      </c>
      <c r="N296" s="93">
        <v>108.7</v>
      </c>
      <c r="O296" s="93">
        <v>108.878</v>
      </c>
      <c r="P296" s="93">
        <v>108.191</v>
      </c>
    </row>
    <row r="297" spans="1:16">
      <c r="A297" s="73" t="s">
        <v>1541</v>
      </c>
      <c r="B297" s="73" t="s">
        <v>1578</v>
      </c>
      <c r="C297" s="88">
        <v>105.113</v>
      </c>
      <c r="D297" s="105">
        <v>-8.0000000000000004E-4</v>
      </c>
      <c r="E297" s="82">
        <v>1.12E-2</v>
      </c>
      <c r="F297" s="110">
        <v>106.194</v>
      </c>
      <c r="G297" s="98">
        <v>105.012</v>
      </c>
      <c r="H297" s="75">
        <v>1755</v>
      </c>
      <c r="I297" s="45">
        <v>0.62503472222222223</v>
      </c>
      <c r="J297" s="75">
        <f t="shared" si="118"/>
        <v>128070</v>
      </c>
      <c r="K297" s="87">
        <f t="shared" si="119"/>
        <v>105.113</v>
      </c>
      <c r="L297" s="81">
        <f t="shared" si="120"/>
        <v>-8.0000000000000004E-4</v>
      </c>
      <c r="M297" s="74">
        <f t="shared" si="121"/>
        <v>1755</v>
      </c>
      <c r="N297" s="93">
        <v>105.113</v>
      </c>
      <c r="O297" s="93">
        <v>105.19</v>
      </c>
      <c r="P297" s="93">
        <v>105.181</v>
      </c>
    </row>
    <row r="298" spans="1:16">
      <c r="A298" s="73" t="s">
        <v>1542</v>
      </c>
      <c r="B298" s="73" t="s">
        <v>1579</v>
      </c>
      <c r="C298" s="88">
        <v>102.78400000000001</v>
      </c>
      <c r="D298" s="109">
        <v>2.2000000000000001E-3</v>
      </c>
      <c r="E298" s="82">
        <v>1.0500000000000001E-2</v>
      </c>
      <c r="F298" s="110">
        <v>103.43</v>
      </c>
      <c r="G298" s="98">
        <v>102.35</v>
      </c>
      <c r="H298" s="75">
        <v>209</v>
      </c>
      <c r="I298" s="45">
        <v>0.62503472222222223</v>
      </c>
      <c r="J298" s="75">
        <f t="shared" si="118"/>
        <v>128072</v>
      </c>
      <c r="K298" s="87">
        <f t="shared" si="119"/>
        <v>102.78400000000001</v>
      </c>
      <c r="L298" s="81">
        <f t="shared" si="120"/>
        <v>2.2000000000000001E-3</v>
      </c>
      <c r="M298" s="74">
        <f t="shared" si="121"/>
        <v>209</v>
      </c>
      <c r="N298" s="93">
        <v>102.788</v>
      </c>
      <c r="O298" s="93">
        <v>102.98</v>
      </c>
      <c r="P298" s="93">
        <v>102.41500000000001</v>
      </c>
    </row>
    <row r="299" spans="1:16">
      <c r="A299" s="73" t="s">
        <v>1543</v>
      </c>
      <c r="B299" s="73" t="s">
        <v>1580</v>
      </c>
      <c r="C299" s="88">
        <v>105.84</v>
      </c>
      <c r="D299" s="109">
        <v>1E-3</v>
      </c>
      <c r="E299" s="82">
        <v>1.37E-2</v>
      </c>
      <c r="F299" s="110">
        <v>106</v>
      </c>
      <c r="G299" s="98">
        <v>104.55500000000001</v>
      </c>
      <c r="H299" s="75">
        <v>3893</v>
      </c>
      <c r="I299" s="45">
        <v>0.62503472222222223</v>
      </c>
      <c r="J299" s="75">
        <f t="shared" si="118"/>
        <v>128073</v>
      </c>
      <c r="K299" s="87">
        <f t="shared" si="119"/>
        <v>105.84</v>
      </c>
      <c r="L299" s="81">
        <f t="shared" si="120"/>
        <v>1E-3</v>
      </c>
      <c r="M299" s="74">
        <f t="shared" si="121"/>
        <v>3893</v>
      </c>
      <c r="N299" s="93">
        <v>105.84</v>
      </c>
      <c r="O299" s="93">
        <v>105.87</v>
      </c>
      <c r="P299" s="93">
        <v>105.31100000000001</v>
      </c>
    </row>
    <row r="300" spans="1:16">
      <c r="A300" s="73" t="s">
        <v>1544</v>
      </c>
      <c r="B300" s="73" t="s">
        <v>1590</v>
      </c>
      <c r="C300" s="88">
        <v>107.62</v>
      </c>
      <c r="D300" s="109">
        <v>7.1999999999999998E-3</v>
      </c>
      <c r="E300" s="82">
        <v>1.3599999999999999E-2</v>
      </c>
      <c r="F300" s="110">
        <v>107.64</v>
      </c>
      <c r="G300" s="98">
        <v>106.19</v>
      </c>
      <c r="H300" s="75">
        <v>246</v>
      </c>
      <c r="I300" s="45">
        <v>0.62532407407407409</v>
      </c>
      <c r="J300" s="75">
        <f t="shared" ref="J300:J320" si="122">RIGHT(A300,6)+0</f>
        <v>113557</v>
      </c>
      <c r="K300" s="87">
        <f t="shared" ref="K300:K320" si="123">C300+0</f>
        <v>107.62</v>
      </c>
      <c r="L300" s="81">
        <f t="shared" ref="L300:L320" si="124">D300</f>
        <v>7.1999999999999998E-3</v>
      </c>
      <c r="M300" s="74">
        <f t="shared" ref="M300:M320" si="125">H300</f>
        <v>246</v>
      </c>
      <c r="N300" s="93">
        <v>107.62</v>
      </c>
      <c r="O300" s="93">
        <v>107.64</v>
      </c>
      <c r="P300" s="93">
        <v>106.19</v>
      </c>
    </row>
    <row r="301" spans="1:16">
      <c r="A301" s="73" t="s">
        <v>1545</v>
      </c>
      <c r="B301" s="73" t="s">
        <v>1591</v>
      </c>
      <c r="C301" s="88">
        <v>103.38</v>
      </c>
      <c r="D301" s="109">
        <v>9.4999999999999998E-3</v>
      </c>
      <c r="E301" s="82">
        <v>1.18E-2</v>
      </c>
      <c r="F301" s="110">
        <v>103.38</v>
      </c>
      <c r="G301" s="98">
        <v>102.17</v>
      </c>
      <c r="H301" s="75">
        <v>355</v>
      </c>
      <c r="I301" s="45">
        <v>0.62532407407407409</v>
      </c>
      <c r="J301" s="75">
        <f t="shared" si="122"/>
        <v>113559</v>
      </c>
      <c r="K301" s="87">
        <f t="shared" si="123"/>
        <v>103.38</v>
      </c>
      <c r="L301" s="81">
        <f t="shared" si="124"/>
        <v>9.4999999999999998E-3</v>
      </c>
      <c r="M301" s="74">
        <f t="shared" si="125"/>
        <v>355</v>
      </c>
      <c r="N301" s="93">
        <v>103.22</v>
      </c>
      <c r="O301" s="93">
        <v>103.38</v>
      </c>
      <c r="P301" s="93">
        <v>102.23</v>
      </c>
    </row>
    <row r="302" spans="1:16">
      <c r="A302" s="73" t="s">
        <v>1546</v>
      </c>
      <c r="B302" s="73" t="s">
        <v>1592</v>
      </c>
      <c r="C302" s="88">
        <v>105.12</v>
      </c>
      <c r="D302" s="109">
        <v>4.1000000000000003E-3</v>
      </c>
      <c r="E302" s="82">
        <v>1.0200000000000001E-2</v>
      </c>
      <c r="F302" s="110">
        <v>105.2</v>
      </c>
      <c r="G302" s="98">
        <v>104.13</v>
      </c>
      <c r="H302" s="75">
        <v>245</v>
      </c>
      <c r="I302" s="45">
        <v>0.62532407407407409</v>
      </c>
      <c r="J302" s="75">
        <f t="shared" si="122"/>
        <v>113561</v>
      </c>
      <c r="K302" s="87">
        <f t="shared" si="123"/>
        <v>105.12</v>
      </c>
      <c r="L302" s="81">
        <f t="shared" si="124"/>
        <v>4.1000000000000003E-3</v>
      </c>
      <c r="M302" s="74">
        <f t="shared" si="125"/>
        <v>245</v>
      </c>
      <c r="N302" s="93">
        <v>105.12</v>
      </c>
      <c r="O302" s="93">
        <v>105.13</v>
      </c>
      <c r="P302" s="93">
        <v>104.13</v>
      </c>
    </row>
    <row r="303" spans="1:16">
      <c r="A303" s="73" t="s">
        <v>1547</v>
      </c>
      <c r="B303" s="73" t="s">
        <v>1593</v>
      </c>
      <c r="C303" s="88">
        <v>116</v>
      </c>
      <c r="D303" s="109">
        <v>1.2800000000000001E-2</v>
      </c>
      <c r="E303" s="82">
        <v>1.41E-2</v>
      </c>
      <c r="F303" s="110">
        <v>116.11</v>
      </c>
      <c r="G303" s="98">
        <v>114.5</v>
      </c>
      <c r="H303" s="75">
        <v>570</v>
      </c>
      <c r="I303" s="45">
        <v>0.62532407407407409</v>
      </c>
      <c r="J303" s="75">
        <f t="shared" si="122"/>
        <v>113564</v>
      </c>
      <c r="K303" s="87">
        <f t="shared" si="123"/>
        <v>116</v>
      </c>
      <c r="L303" s="81">
        <f t="shared" si="124"/>
        <v>1.2800000000000001E-2</v>
      </c>
      <c r="M303" s="74">
        <f t="shared" si="125"/>
        <v>570</v>
      </c>
      <c r="N303" s="93">
        <v>116</v>
      </c>
      <c r="O303" s="93">
        <v>116.04</v>
      </c>
      <c r="P303" s="93">
        <v>114.63</v>
      </c>
    </row>
    <row r="304" spans="1:16">
      <c r="A304" s="73" t="s">
        <v>1548</v>
      </c>
      <c r="B304" s="73" t="s">
        <v>1594</v>
      </c>
      <c r="C304" s="88">
        <v>116.46</v>
      </c>
      <c r="D304" s="109">
        <v>6.0000000000000001E-3</v>
      </c>
      <c r="E304" s="82">
        <v>9.1000000000000004E-3</v>
      </c>
      <c r="F304" s="110">
        <v>116.65</v>
      </c>
      <c r="G304" s="98">
        <v>115.6</v>
      </c>
      <c r="H304" s="75">
        <v>2272</v>
      </c>
      <c r="I304" s="45">
        <v>0.62532407407407409</v>
      </c>
      <c r="J304" s="75">
        <f t="shared" si="122"/>
        <v>113566</v>
      </c>
      <c r="K304" s="87">
        <f t="shared" si="123"/>
        <v>116.46</v>
      </c>
      <c r="L304" s="81">
        <f t="shared" si="124"/>
        <v>6.0000000000000001E-3</v>
      </c>
      <c r="M304" s="74">
        <f t="shared" si="125"/>
        <v>2272</v>
      </c>
      <c r="N304" s="93">
        <v>116.5</v>
      </c>
      <c r="O304" s="93">
        <v>116.59</v>
      </c>
      <c r="P304" s="93">
        <v>115.76</v>
      </c>
    </row>
    <row r="305" spans="1:16">
      <c r="A305" s="73" t="s">
        <v>1549</v>
      </c>
      <c r="B305" s="73" t="s">
        <v>1595</v>
      </c>
      <c r="C305" s="88">
        <v>107.59</v>
      </c>
      <c r="D305" s="109">
        <v>5.5999999999999999E-3</v>
      </c>
      <c r="E305" s="82">
        <v>1.21E-2</v>
      </c>
      <c r="F305" s="110">
        <v>107.94</v>
      </c>
      <c r="G305" s="98">
        <v>106.65</v>
      </c>
      <c r="H305" s="75">
        <v>198</v>
      </c>
      <c r="I305" s="45">
        <v>0.62532407407407409</v>
      </c>
      <c r="J305" s="75">
        <f t="shared" si="122"/>
        <v>113567</v>
      </c>
      <c r="K305" s="87">
        <f t="shared" si="123"/>
        <v>107.59</v>
      </c>
      <c r="L305" s="81">
        <f t="shared" si="124"/>
        <v>5.5999999999999999E-3</v>
      </c>
      <c r="M305" s="74">
        <f t="shared" si="125"/>
        <v>198</v>
      </c>
      <c r="N305" s="93">
        <v>107.59</v>
      </c>
      <c r="O305" s="93">
        <v>107.63</v>
      </c>
      <c r="P305" s="93">
        <v>107.36</v>
      </c>
    </row>
    <row r="306" spans="1:16">
      <c r="A306" s="73" t="s">
        <v>1550</v>
      </c>
      <c r="B306" s="73" t="s">
        <v>1596</v>
      </c>
      <c r="C306" s="88">
        <v>102.34</v>
      </c>
      <c r="D306" s="109">
        <v>2.8999999999999998E-3</v>
      </c>
      <c r="E306" s="82">
        <v>3.3999999999999998E-3</v>
      </c>
      <c r="F306" s="110">
        <v>102.35</v>
      </c>
      <c r="G306" s="98">
        <v>102</v>
      </c>
      <c r="H306" s="75">
        <v>196</v>
      </c>
      <c r="I306" s="45">
        <v>0.62532407407407409</v>
      </c>
      <c r="J306" s="75">
        <f t="shared" si="122"/>
        <v>113569</v>
      </c>
      <c r="K306" s="87">
        <f t="shared" si="123"/>
        <v>102.34</v>
      </c>
      <c r="L306" s="81">
        <f t="shared" si="124"/>
        <v>2.8999999999999998E-3</v>
      </c>
      <c r="M306" s="74">
        <f t="shared" si="125"/>
        <v>196</v>
      </c>
      <c r="N306" s="93">
        <v>102.3</v>
      </c>
      <c r="O306" s="93">
        <v>102.34</v>
      </c>
      <c r="P306" s="93">
        <v>102.04</v>
      </c>
    </row>
    <row r="307" spans="1:16">
      <c r="A307" s="73" t="s">
        <v>1551</v>
      </c>
      <c r="B307" s="73" t="s">
        <v>1597</v>
      </c>
      <c r="C307" s="88">
        <v>108.85</v>
      </c>
      <c r="D307" s="109">
        <v>8.8000000000000005E-3</v>
      </c>
      <c r="E307" s="82">
        <v>1.44E-2</v>
      </c>
      <c r="F307" s="110">
        <v>108.88</v>
      </c>
      <c r="G307" s="98">
        <v>107.33</v>
      </c>
      <c r="H307" s="75">
        <v>322</v>
      </c>
      <c r="I307" s="45">
        <v>0.62532407407407409</v>
      </c>
      <c r="J307" s="75">
        <f t="shared" si="122"/>
        <v>113570</v>
      </c>
      <c r="K307" s="87">
        <f t="shared" si="123"/>
        <v>108.85</v>
      </c>
      <c r="L307" s="81">
        <f t="shared" si="124"/>
        <v>8.8000000000000005E-3</v>
      </c>
      <c r="M307" s="74">
        <f t="shared" si="125"/>
        <v>322</v>
      </c>
      <c r="N307" s="93">
        <v>108.8</v>
      </c>
      <c r="O307" s="93">
        <v>108.88</v>
      </c>
      <c r="P307" s="93">
        <v>107.9</v>
      </c>
    </row>
    <row r="308" spans="1:16">
      <c r="A308" s="73" t="s">
        <v>1552</v>
      </c>
      <c r="B308" s="73" t="s">
        <v>1598</v>
      </c>
      <c r="C308" s="88">
        <v>106.15</v>
      </c>
      <c r="D308" s="109">
        <v>5.1000000000000004E-3</v>
      </c>
      <c r="E308" s="82">
        <v>1.0500000000000001E-2</v>
      </c>
      <c r="F308" s="110">
        <v>106.34</v>
      </c>
      <c r="G308" s="98">
        <v>105.23</v>
      </c>
      <c r="H308" s="75">
        <v>1349</v>
      </c>
      <c r="I308" s="45">
        <v>0.62532407407407409</v>
      </c>
      <c r="J308" s="75">
        <f t="shared" si="122"/>
        <v>113573</v>
      </c>
      <c r="K308" s="87">
        <f t="shared" si="123"/>
        <v>106.15</v>
      </c>
      <c r="L308" s="81">
        <f t="shared" si="124"/>
        <v>5.1000000000000004E-3</v>
      </c>
      <c r="M308" s="74">
        <f t="shared" si="125"/>
        <v>1349</v>
      </c>
      <c r="N308" s="93">
        <v>106.03</v>
      </c>
      <c r="O308" s="93">
        <v>106.14</v>
      </c>
      <c r="P308" s="93">
        <v>105.23</v>
      </c>
    </row>
    <row r="309" spans="1:16">
      <c r="A309" s="73" t="s">
        <v>1553</v>
      </c>
      <c r="B309" s="73" t="s">
        <v>1599</v>
      </c>
      <c r="C309" s="88">
        <v>111.72</v>
      </c>
      <c r="D309" s="109">
        <v>1.1999999999999999E-3</v>
      </c>
      <c r="E309" s="82">
        <v>1.7399999999999999E-2</v>
      </c>
      <c r="F309" s="110">
        <v>112.53</v>
      </c>
      <c r="G309" s="98">
        <v>110.59</v>
      </c>
      <c r="H309" s="75">
        <v>415</v>
      </c>
      <c r="I309" s="45">
        <v>0.62532407407407409</v>
      </c>
      <c r="J309" s="75">
        <f t="shared" si="122"/>
        <v>113574</v>
      </c>
      <c r="K309" s="87">
        <f t="shared" si="123"/>
        <v>111.72</v>
      </c>
      <c r="L309" s="81">
        <f t="shared" si="124"/>
        <v>1.1999999999999999E-3</v>
      </c>
      <c r="M309" s="74">
        <f t="shared" si="125"/>
        <v>415</v>
      </c>
      <c r="N309" s="93">
        <v>111.73</v>
      </c>
      <c r="O309" s="93">
        <v>111.76</v>
      </c>
      <c r="P309" s="93">
        <v>111.31</v>
      </c>
    </row>
    <row r="310" spans="1:16">
      <c r="A310" s="73" t="s">
        <v>1554</v>
      </c>
      <c r="B310" s="73" t="s">
        <v>1600</v>
      </c>
      <c r="C310" s="88">
        <v>100.17</v>
      </c>
      <c r="D310" s="109">
        <v>5.1999999999999998E-3</v>
      </c>
      <c r="E310" s="82">
        <v>8.8000000000000005E-3</v>
      </c>
      <c r="F310" s="110">
        <v>100.39</v>
      </c>
      <c r="G310" s="98">
        <v>99.51</v>
      </c>
      <c r="H310" s="75">
        <v>1451</v>
      </c>
      <c r="I310" s="45">
        <v>0.62532407407407409</v>
      </c>
      <c r="J310" s="75">
        <f t="shared" si="122"/>
        <v>113576</v>
      </c>
      <c r="K310" s="87">
        <f t="shared" si="123"/>
        <v>100.17</v>
      </c>
      <c r="L310" s="81">
        <f t="shared" si="124"/>
        <v>5.1999999999999998E-3</v>
      </c>
      <c r="M310" s="74">
        <f t="shared" si="125"/>
        <v>1451</v>
      </c>
      <c r="N310" s="93">
        <v>100.21</v>
      </c>
      <c r="O310" s="93">
        <v>100.23</v>
      </c>
      <c r="P310" s="93">
        <v>99.65</v>
      </c>
    </row>
    <row r="311" spans="1:16">
      <c r="A311" s="73" t="s">
        <v>1555</v>
      </c>
      <c r="B311" s="73" t="s">
        <v>1601</v>
      </c>
      <c r="C311" s="88">
        <v>110.45</v>
      </c>
      <c r="D311" s="109">
        <v>1.4E-3</v>
      </c>
      <c r="E311" s="82">
        <v>9.4000000000000004E-3</v>
      </c>
      <c r="F311" s="110">
        <v>110.96</v>
      </c>
      <c r="G311" s="98">
        <v>109.92</v>
      </c>
      <c r="H311" s="75">
        <v>178</v>
      </c>
      <c r="I311" s="45">
        <v>0.62532407407407409</v>
      </c>
      <c r="J311" s="75">
        <f t="shared" si="122"/>
        <v>113580</v>
      </c>
      <c r="K311" s="87">
        <f t="shared" si="123"/>
        <v>110.45</v>
      </c>
      <c r="L311" s="81">
        <f t="shared" si="124"/>
        <v>1.4E-3</v>
      </c>
      <c r="M311" s="74">
        <f t="shared" si="125"/>
        <v>178</v>
      </c>
      <c r="N311" s="93">
        <v>110.43</v>
      </c>
      <c r="O311" s="93">
        <v>110.6</v>
      </c>
      <c r="P311" s="93">
        <v>110.3</v>
      </c>
    </row>
    <row r="312" spans="1:16">
      <c r="A312" s="73" t="s">
        <v>1556</v>
      </c>
      <c r="B312" s="73" t="s">
        <v>1602</v>
      </c>
      <c r="C312" s="88">
        <v>109.85599999999999</v>
      </c>
      <c r="D312" s="109">
        <v>6.0000000000000001E-3</v>
      </c>
      <c r="E312" s="82">
        <v>1.2699999999999999E-2</v>
      </c>
      <c r="F312" s="110">
        <v>110.203</v>
      </c>
      <c r="G312" s="98">
        <v>108.81100000000001</v>
      </c>
      <c r="H312" s="75">
        <v>119</v>
      </c>
      <c r="I312" s="45">
        <v>0.62503472222222223</v>
      </c>
      <c r="J312" s="75">
        <f t="shared" si="122"/>
        <v>123039</v>
      </c>
      <c r="K312" s="87">
        <f t="shared" si="123"/>
        <v>109.85599999999999</v>
      </c>
      <c r="L312" s="81">
        <f t="shared" si="124"/>
        <v>6.0000000000000001E-3</v>
      </c>
      <c r="M312" s="74">
        <f t="shared" si="125"/>
        <v>119</v>
      </c>
      <c r="N312" s="93">
        <v>109.85599999999999</v>
      </c>
      <c r="O312" s="93">
        <v>109.98</v>
      </c>
      <c r="P312" s="93">
        <v>109.11</v>
      </c>
    </row>
    <row r="313" spans="1:16">
      <c r="A313" s="73" t="s">
        <v>1557</v>
      </c>
      <c r="B313" s="73" t="s">
        <v>1603</v>
      </c>
      <c r="C313" s="88">
        <v>106.8</v>
      </c>
      <c r="D313" s="109">
        <v>3.0000000000000001E-3</v>
      </c>
      <c r="E313" s="82">
        <v>6.0499999999999998E-2</v>
      </c>
      <c r="F313" s="110">
        <v>112.997</v>
      </c>
      <c r="G313" s="110">
        <v>106.56</v>
      </c>
      <c r="H313" s="75">
        <v>7008</v>
      </c>
      <c r="I313" s="45">
        <v>0.62503472222222223</v>
      </c>
      <c r="J313" s="75">
        <f t="shared" si="122"/>
        <v>123042</v>
      </c>
      <c r="K313" s="87">
        <f t="shared" si="123"/>
        <v>106.8</v>
      </c>
      <c r="L313" s="81">
        <f t="shared" si="124"/>
        <v>3.0000000000000001E-3</v>
      </c>
      <c r="M313" s="74">
        <f t="shared" si="125"/>
        <v>7008</v>
      </c>
      <c r="N313" s="93">
        <v>106.8</v>
      </c>
      <c r="O313" s="93">
        <v>106.9</v>
      </c>
      <c r="P313" s="93">
        <v>110</v>
      </c>
    </row>
    <row r="314" spans="1:16">
      <c r="A314" s="73" t="s">
        <v>1558</v>
      </c>
      <c r="B314" s="73" t="s">
        <v>1604</v>
      </c>
      <c r="C314" s="88">
        <v>109.56</v>
      </c>
      <c r="D314" s="109">
        <v>1.12E-2</v>
      </c>
      <c r="E314" s="82">
        <v>1.3100000000000001E-2</v>
      </c>
      <c r="F314" s="110">
        <v>109.8</v>
      </c>
      <c r="G314" s="110">
        <v>108.38</v>
      </c>
      <c r="H314" s="75">
        <v>1522</v>
      </c>
      <c r="I314" s="45">
        <v>0.62503472222222223</v>
      </c>
      <c r="J314" s="75">
        <f t="shared" si="122"/>
        <v>123043</v>
      </c>
      <c r="K314" s="87">
        <f t="shared" si="123"/>
        <v>109.56</v>
      </c>
      <c r="L314" s="81">
        <f t="shared" si="124"/>
        <v>1.12E-2</v>
      </c>
      <c r="M314" s="74">
        <f t="shared" si="125"/>
        <v>1522</v>
      </c>
      <c r="N314" s="93">
        <v>109.56</v>
      </c>
      <c r="O314" s="93">
        <v>109.57599999999999</v>
      </c>
      <c r="P314" s="93">
        <v>109.8</v>
      </c>
    </row>
    <row r="315" spans="1:16">
      <c r="A315" s="73" t="s">
        <v>1559</v>
      </c>
      <c r="B315" s="73" t="s">
        <v>1605</v>
      </c>
      <c r="C315" s="88">
        <v>112.61</v>
      </c>
      <c r="D315" s="109">
        <v>2.7000000000000001E-3</v>
      </c>
      <c r="E315" s="82">
        <v>1.1599999999999999E-2</v>
      </c>
      <c r="F315" s="110">
        <v>112.9</v>
      </c>
      <c r="G315" s="98">
        <v>111.6</v>
      </c>
      <c r="H315" s="75">
        <v>506</v>
      </c>
      <c r="I315" s="45">
        <v>0.62503472222222223</v>
      </c>
      <c r="J315" s="75">
        <f t="shared" si="122"/>
        <v>123044</v>
      </c>
      <c r="K315" s="87">
        <f t="shared" si="123"/>
        <v>112.61</v>
      </c>
      <c r="L315" s="81">
        <f t="shared" si="124"/>
        <v>2.7000000000000001E-3</v>
      </c>
      <c r="M315" s="74">
        <f t="shared" si="125"/>
        <v>506</v>
      </c>
      <c r="N315" s="93">
        <v>112.61</v>
      </c>
      <c r="O315" s="93">
        <v>112.8</v>
      </c>
      <c r="P315" s="93">
        <v>112.3</v>
      </c>
    </row>
    <row r="316" spans="1:16">
      <c r="A316" s="73" t="s">
        <v>1560</v>
      </c>
      <c r="B316" s="73" t="s">
        <v>1606</v>
      </c>
      <c r="C316" s="88">
        <v>106.1</v>
      </c>
      <c r="D316" s="109">
        <v>4.5999999999999999E-3</v>
      </c>
      <c r="E316" s="82">
        <v>8.3999999999999995E-3</v>
      </c>
      <c r="F316" s="110">
        <v>106.277</v>
      </c>
      <c r="G316" s="98">
        <v>105.39</v>
      </c>
      <c r="H316" s="75">
        <v>250</v>
      </c>
      <c r="I316" s="45">
        <v>0.62503472222222223</v>
      </c>
      <c r="J316" s="75">
        <f t="shared" si="122"/>
        <v>123045</v>
      </c>
      <c r="K316" s="87">
        <f t="shared" si="123"/>
        <v>106.1</v>
      </c>
      <c r="L316" s="81">
        <f t="shared" si="124"/>
        <v>4.5999999999999999E-3</v>
      </c>
      <c r="M316" s="74">
        <f t="shared" si="125"/>
        <v>250</v>
      </c>
      <c r="N316" s="93">
        <v>106.1</v>
      </c>
      <c r="O316" s="93">
        <v>106.22</v>
      </c>
      <c r="P316" s="93">
        <v>105.613</v>
      </c>
    </row>
    <row r="317" spans="1:16">
      <c r="A317" s="73" t="s">
        <v>1561</v>
      </c>
      <c r="B317" s="73" t="s">
        <v>1607</v>
      </c>
      <c r="C317" s="88">
        <v>116.5</v>
      </c>
      <c r="D317" s="109">
        <v>4.3E-3</v>
      </c>
      <c r="E317" s="82">
        <v>1.9699999999999999E-2</v>
      </c>
      <c r="F317" s="110">
        <v>116.9</v>
      </c>
      <c r="G317" s="98">
        <v>114.62</v>
      </c>
      <c r="H317" s="75">
        <v>2087</v>
      </c>
      <c r="I317" s="45">
        <v>0.62503472222222223</v>
      </c>
      <c r="J317" s="75">
        <f t="shared" si="122"/>
        <v>123047</v>
      </c>
      <c r="K317" s="87">
        <f t="shared" si="123"/>
        <v>116.5</v>
      </c>
      <c r="L317" s="81">
        <f t="shared" si="124"/>
        <v>4.3E-3</v>
      </c>
      <c r="M317" s="74">
        <f t="shared" si="125"/>
        <v>2087</v>
      </c>
      <c r="N317" s="93">
        <v>116.5</v>
      </c>
      <c r="O317" s="93">
        <v>116.54</v>
      </c>
      <c r="P317" s="93">
        <v>115.8</v>
      </c>
    </row>
    <row r="318" spans="1:16">
      <c r="A318" s="73" t="s">
        <v>1562</v>
      </c>
      <c r="B318" s="73" t="s">
        <v>1608</v>
      </c>
      <c r="C318" s="88">
        <v>110.066</v>
      </c>
      <c r="D318" s="109">
        <v>6.4999999999999997E-3</v>
      </c>
      <c r="E318" s="82">
        <v>1.26E-2</v>
      </c>
      <c r="F318" s="110">
        <v>110.38</v>
      </c>
      <c r="G318" s="98">
        <v>109</v>
      </c>
      <c r="H318" s="75">
        <v>690</v>
      </c>
      <c r="I318" s="45">
        <v>0.62503472222222223</v>
      </c>
      <c r="J318" s="75">
        <f t="shared" si="122"/>
        <v>123048</v>
      </c>
      <c r="K318" s="87">
        <f t="shared" si="123"/>
        <v>110.066</v>
      </c>
      <c r="L318" s="81">
        <f t="shared" si="124"/>
        <v>6.4999999999999997E-3</v>
      </c>
      <c r="M318" s="74">
        <f t="shared" si="125"/>
        <v>690</v>
      </c>
      <c r="N318" s="93">
        <v>110.066</v>
      </c>
      <c r="O318" s="93">
        <v>110.1</v>
      </c>
      <c r="P318" s="93">
        <v>109</v>
      </c>
    </row>
    <row r="319" spans="1:16">
      <c r="A319" s="73" t="s">
        <v>1563</v>
      </c>
      <c r="B319" s="73" t="s">
        <v>1609</v>
      </c>
      <c r="C319" s="88">
        <v>116.4</v>
      </c>
      <c r="D319" s="109">
        <v>4.1999999999999997E-3</v>
      </c>
      <c r="E319" s="82">
        <v>1.1900000000000001E-2</v>
      </c>
      <c r="F319" s="110">
        <v>116.477</v>
      </c>
      <c r="G319" s="98">
        <v>115.10299999999999</v>
      </c>
      <c r="H319" s="75">
        <v>1818</v>
      </c>
      <c r="I319" s="45">
        <v>0.62503472222222223</v>
      </c>
      <c r="J319" s="75">
        <f t="shared" si="122"/>
        <v>123050</v>
      </c>
      <c r="K319" s="87">
        <f t="shared" si="123"/>
        <v>116.4</v>
      </c>
      <c r="L319" s="81">
        <f t="shared" si="124"/>
        <v>4.1999999999999997E-3</v>
      </c>
      <c r="M319" s="74">
        <f t="shared" si="125"/>
        <v>1818</v>
      </c>
      <c r="N319" s="93">
        <v>116.4</v>
      </c>
      <c r="O319" s="93">
        <v>116.401</v>
      </c>
      <c r="P319" s="93">
        <v>115.5</v>
      </c>
    </row>
    <row r="320" spans="1:16">
      <c r="A320" s="73" t="s">
        <v>1564</v>
      </c>
      <c r="B320" s="73" t="s">
        <v>1610</v>
      </c>
      <c r="C320" s="88">
        <v>110.32</v>
      </c>
      <c r="D320" s="109">
        <v>2.8999999999999998E-3</v>
      </c>
      <c r="E320" s="82">
        <v>2.2100000000000002E-2</v>
      </c>
      <c r="F320" s="110">
        <v>111.996</v>
      </c>
      <c r="G320" s="98">
        <v>109.56</v>
      </c>
      <c r="H320" s="75">
        <v>639</v>
      </c>
      <c r="I320" s="45">
        <v>0.62503472222222223</v>
      </c>
      <c r="J320" s="75">
        <f t="shared" si="122"/>
        <v>128101</v>
      </c>
      <c r="K320" s="87">
        <f t="shared" si="123"/>
        <v>110.32</v>
      </c>
      <c r="L320" s="81">
        <f t="shared" si="124"/>
        <v>2.8999999999999998E-3</v>
      </c>
      <c r="M320" s="74">
        <f t="shared" si="125"/>
        <v>639</v>
      </c>
      <c r="N320" s="93">
        <v>110.32</v>
      </c>
      <c r="O320" s="93">
        <v>110.449</v>
      </c>
      <c r="P320" s="93">
        <v>110.002</v>
      </c>
    </row>
    <row r="321" spans="1:16">
      <c r="A321" s="73" t="s">
        <v>1588</v>
      </c>
      <c r="B321" s="73" t="s">
        <v>1611</v>
      </c>
      <c r="C321" s="88">
        <v>10.57</v>
      </c>
      <c r="D321" s="109">
        <v>3.8E-3</v>
      </c>
      <c r="E321" s="82">
        <v>1.14E-2</v>
      </c>
      <c r="F321" s="110">
        <v>10.57</v>
      </c>
      <c r="G321" s="98">
        <v>10.45</v>
      </c>
      <c r="H321" s="75">
        <v>32282</v>
      </c>
      <c r="I321" s="45">
        <v>0.625</v>
      </c>
      <c r="N321" s="93">
        <v>10.55</v>
      </c>
      <c r="O321" s="93">
        <v>10.57</v>
      </c>
      <c r="P321" s="93">
        <v>10.45</v>
      </c>
    </row>
    <row r="322" spans="1:16">
      <c r="A322" s="73" t="s">
        <v>1587</v>
      </c>
      <c r="B322" s="73" t="s">
        <v>1589</v>
      </c>
      <c r="C322" s="88">
        <v>13</v>
      </c>
      <c r="D322" s="105">
        <v>-5.4000000000000003E-3</v>
      </c>
      <c r="E322" s="82">
        <v>9.1999999999999998E-3</v>
      </c>
      <c r="F322" s="98">
        <v>13.04</v>
      </c>
      <c r="G322" s="98">
        <v>12.92</v>
      </c>
      <c r="H322" s="75">
        <v>59450</v>
      </c>
      <c r="I322" s="45">
        <v>0.62503472222222223</v>
      </c>
      <c r="N322" s="93">
        <v>13</v>
      </c>
      <c r="O322" s="93">
        <v>13.01</v>
      </c>
      <c r="P322" s="93">
        <v>13.01</v>
      </c>
    </row>
  </sheetData>
  <autoFilter ref="A1:Q227"/>
  <sortState ref="A250:Q254">
    <sortCondition ref="B250:B254"/>
  </sortState>
  <phoneticPr fontId="18" type="noConversion"/>
  <pageMargins left="0.69930555555555596" right="0.69930555555555596" top="0.75" bottom="0.75" header="0.3" footer="0.3"/>
  <pageSetup paperSize="9"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sheetPr codeName="Sheet3"/>
  <dimension ref="A1:W57"/>
  <sheetViews>
    <sheetView workbookViewId="0">
      <pane xSplit="1" ySplit="1" topLeftCell="B17" activePane="bottomRight" state="frozen"/>
      <selection pane="topRight" activeCell="B1" sqref="B1"/>
      <selection pane="bottomLeft" activeCell="A2" sqref="A2"/>
      <selection pane="bottomRight" activeCell="J1" sqref="J1:K1048576"/>
    </sheetView>
  </sheetViews>
  <sheetFormatPr defaultRowHeight="14.4"/>
  <cols>
    <col min="1" max="1" width="11" style="16" customWidth="1"/>
    <col min="2" max="2" width="8.44140625" style="26" customWidth="1"/>
    <col min="3" max="3" width="7.33203125" style="25" customWidth="1"/>
    <col min="4" max="4" width="8.44140625" style="35" customWidth="1"/>
    <col min="5" max="6" width="6" style="67" customWidth="1"/>
    <col min="7" max="7" width="8.6640625" customWidth="1"/>
    <col min="8" max="8" width="8.21875" customWidth="1"/>
    <col min="9" max="9" width="7.88671875" style="35" customWidth="1"/>
    <col min="10" max="18" width="7.77734375" style="35" customWidth="1"/>
    <col min="19" max="19" width="8.88671875" style="35" customWidth="1"/>
    <col min="20" max="20" width="8.33203125" style="35" customWidth="1"/>
    <col min="21" max="21" width="5" style="35" customWidth="1"/>
    <col min="22" max="22" width="12.44140625" customWidth="1"/>
    <col min="23" max="23" width="12.109375" style="34" customWidth="1"/>
  </cols>
  <sheetData>
    <row r="1" spans="1:23" ht="57.6">
      <c r="A1" s="51" t="s">
        <v>99</v>
      </c>
      <c r="B1" s="155" t="s">
        <v>100</v>
      </c>
      <c r="C1" s="52" t="s">
        <v>101</v>
      </c>
      <c r="D1" s="55" t="s">
        <v>199</v>
      </c>
      <c r="E1" s="85" t="s">
        <v>102</v>
      </c>
      <c r="F1" s="85" t="s">
        <v>97</v>
      </c>
      <c r="G1" s="54" t="s">
        <v>200</v>
      </c>
      <c r="H1" s="54" t="s">
        <v>108</v>
      </c>
      <c r="I1" s="55" t="s">
        <v>201</v>
      </c>
      <c r="J1" s="55" t="s">
        <v>103</v>
      </c>
      <c r="K1" s="55" t="s">
        <v>98</v>
      </c>
      <c r="L1" s="55" t="s">
        <v>202</v>
      </c>
      <c r="M1" s="55" t="s">
        <v>54</v>
      </c>
      <c r="N1" s="55" t="s">
        <v>203</v>
      </c>
      <c r="O1" s="55" t="s">
        <v>104</v>
      </c>
      <c r="P1" s="55" t="s">
        <v>55</v>
      </c>
      <c r="Q1" s="55" t="s">
        <v>105</v>
      </c>
      <c r="R1" s="55" t="s">
        <v>106</v>
      </c>
      <c r="S1" s="55" t="s">
        <v>204</v>
      </c>
      <c r="T1" s="33"/>
      <c r="U1" s="33"/>
      <c r="V1" s="54" t="s">
        <v>56</v>
      </c>
      <c r="W1" s="53" t="s">
        <v>107</v>
      </c>
    </row>
    <row r="2" spans="1:23">
      <c r="A2" s="56">
        <v>42551</v>
      </c>
      <c r="B2" s="156">
        <v>0.97099999999999997</v>
      </c>
      <c r="C2" s="57"/>
      <c r="D2" s="59">
        <v>0</v>
      </c>
      <c r="E2" s="65">
        <v>1</v>
      </c>
      <c r="F2" s="65">
        <v>1</v>
      </c>
      <c r="G2" s="28">
        <f>Q2/MAX(M$2:M2)</f>
        <v>0</v>
      </c>
      <c r="H2" s="28">
        <f>R2/M2</f>
        <v>0</v>
      </c>
      <c r="I2" s="59">
        <f>W2</f>
        <v>1000</v>
      </c>
      <c r="J2" s="59">
        <f>W2</f>
        <v>1000</v>
      </c>
      <c r="K2" s="59">
        <f>IF(J2&gt;W$4,W$4,IF(J2&lt;W$5,W$5,J2))</f>
        <v>1000</v>
      </c>
      <c r="L2" s="59">
        <f>K2</f>
        <v>1000</v>
      </c>
      <c r="M2" s="59">
        <f>K2</f>
        <v>1000</v>
      </c>
      <c r="N2" s="59">
        <f t="shared" ref="N2:N3" si="0">K2/B2</f>
        <v>1029.8661174047375</v>
      </c>
      <c r="O2" s="59">
        <f>N2</f>
        <v>1029.8661174047375</v>
      </c>
      <c r="P2" s="59">
        <f t="shared" ref="P2:P3" si="1">O2*B2+D2</f>
        <v>1000</v>
      </c>
      <c r="Q2" s="59">
        <f>P2-L2</f>
        <v>0</v>
      </c>
      <c r="R2" s="59">
        <v>0</v>
      </c>
      <c r="S2" s="59">
        <f t="shared" ref="S2:S3" si="2">IF(ROW()&lt;=W$13,K2,-P2+K2)</f>
        <v>1000</v>
      </c>
      <c r="U2" s="17"/>
      <c r="V2" s="4" t="s">
        <v>205</v>
      </c>
      <c r="W2" s="60">
        <v>1000</v>
      </c>
    </row>
    <row r="3" spans="1:23">
      <c r="A3" s="56">
        <v>42580</v>
      </c>
      <c r="B3" s="156">
        <v>1.0089999999999999</v>
      </c>
      <c r="C3" s="57"/>
      <c r="D3" s="59">
        <f>C3*O2+IF(E3&gt;E2,0,D2)</f>
        <v>0</v>
      </c>
      <c r="E3" s="65">
        <f t="shared" ref="E3" si="3">IF(AND(G1&lt;W$6,G2&gt;W$6),E2+1,E2)</f>
        <v>1</v>
      </c>
      <c r="F3" s="65">
        <f>IF(E3&gt;E2,1,F2+1)</f>
        <v>2</v>
      </c>
      <c r="G3" s="28">
        <f ca="1">IF(E3&gt;E2,0,((O2*B3+D3)-L2)/MAX(OFFSET(L2,0,0,-F3+1,1)))</f>
        <v>3.9134912461380053E-2</v>
      </c>
      <c r="H3" s="28">
        <f ca="1">R3/MAX(M$2:M2)</f>
        <v>3.9134912461380053E-2</v>
      </c>
      <c r="I3" s="59">
        <f>IF(E2&lt;&gt;E3,W$2,(I$2*(1+W$3/365.25)^(A3-A$2)))+I2</f>
        <v>2000</v>
      </c>
      <c r="J3" s="59">
        <f t="shared" ref="J3" si="4">I3-O2*B3</f>
        <v>960.86508753861995</v>
      </c>
      <c r="K3" s="59">
        <f t="shared" ref="K3" ca="1" si="5">IF(AND(G2&lt;W$6,G3&gt;W$6),-O2*B3,IF(J3&gt;W$4,W$4,IF(J3&lt;W$5,W$5,J3)))</f>
        <v>960.86508753861995</v>
      </c>
      <c r="L3" s="59">
        <f ca="1">IF(E3&gt;E2,K3,L2+K3)</f>
        <v>1960.8650875386199</v>
      </c>
      <c r="M3" s="59">
        <f ca="1">M2+K3</f>
        <v>1960.8650875386199</v>
      </c>
      <c r="N3" s="59">
        <f t="shared" ca="1" si="0"/>
        <v>952.29443760021809</v>
      </c>
      <c r="O3" s="59">
        <f ca="1">O2+N3</f>
        <v>1982.1605550049555</v>
      </c>
      <c r="P3" s="59">
        <f t="shared" ca="1" si="1"/>
        <v>2000</v>
      </c>
      <c r="Q3" s="59">
        <f t="shared" ref="Q3" ca="1" si="6">P3-L3</f>
        <v>39.134912461380054</v>
      </c>
      <c r="R3" s="59">
        <f t="shared" ref="R3:R46" ca="1" si="7">IFERROR(OFFSET(R$1,MATCH(E3,E:E,0)-2,0,1,1)+Q3,Q3)</f>
        <v>39.134912461380054</v>
      </c>
      <c r="S3" s="59">
        <f t="shared" ca="1" si="2"/>
        <v>960.86508753861995</v>
      </c>
      <c r="U3" s="17"/>
      <c r="V3" s="4" t="s">
        <v>206</v>
      </c>
      <c r="W3" s="61">
        <v>0</v>
      </c>
    </row>
    <row r="4" spans="1:23">
      <c r="A4" s="56">
        <v>42613</v>
      </c>
      <c r="B4" s="156">
        <v>0.98499999999999999</v>
      </c>
      <c r="C4" s="57"/>
      <c r="D4" s="59">
        <f t="shared" ref="D4:D44" ca="1" si="8">C4*O3+IF(E4&gt;E3,0,D3)</f>
        <v>0</v>
      </c>
      <c r="E4" s="65">
        <f t="shared" ref="E4:E44" ca="1" si="9">IF(AND(G2&lt;W$6,G3&gt;W$6),E3+1,E3)</f>
        <v>1</v>
      </c>
      <c r="F4" s="65">
        <f t="shared" ref="F4:F44" ca="1" si="10">IF(E4&gt;E3,1,F3+1)</f>
        <v>3</v>
      </c>
      <c r="G4" s="28">
        <f t="shared" ref="G4:G44" ca="1" si="11">IF(E4&gt;E3,0,((O3*B4+D4)-L3)/MAX(OFFSET(L3,0,0,-F4+1,1)))</f>
        <v>-4.3026625913000962E-3</v>
      </c>
      <c r="H4" s="28">
        <f ca="1">R4/MAX(M$2:M3)</f>
        <v>-4.3026625913002116E-3</v>
      </c>
      <c r="I4" s="59">
        <f t="shared" ref="I4:I44" ca="1" si="12">IF(E3&lt;&gt;E4,W$2,(I$2*(1+W$3/365.25)^(A4-A$2)))+I3</f>
        <v>3000</v>
      </c>
      <c r="J4" s="59">
        <f t="shared" ref="J4:J44" ca="1" si="13">I4-O3*B4</f>
        <v>1047.5718533201189</v>
      </c>
      <c r="K4" s="59">
        <f t="shared" ref="K4:K44" ca="1" si="14">IF(AND(G3&lt;W$6,G4&gt;W$6),-O3*B4,IF(J4&gt;W$4,W$4,IF(J4&lt;W$5,W$5,J4)))</f>
        <v>1047.5718533201189</v>
      </c>
      <c r="L4" s="59">
        <f t="shared" ref="L4:L44" ca="1" si="15">IF(E4&gt;E3,K4,L3+K4)</f>
        <v>3008.436940858739</v>
      </c>
      <c r="M4" s="59">
        <f t="shared" ref="M4:M44" ca="1" si="16">M3+K4</f>
        <v>3008.436940858739</v>
      </c>
      <c r="N4" s="59">
        <f t="shared" ref="N4:N44" ca="1" si="17">K4/B4</f>
        <v>1063.5247241828617</v>
      </c>
      <c r="O4" s="59">
        <f t="shared" ref="O4:O44" ca="1" si="18">O3+N4</f>
        <v>3045.6852791878173</v>
      </c>
      <c r="P4" s="59">
        <f t="shared" ref="P4:P44" ca="1" si="19">O4*B4+D4</f>
        <v>3000</v>
      </c>
      <c r="Q4" s="59">
        <f t="shared" ref="Q4:Q44" ca="1" si="20">P4-L4</f>
        <v>-8.4369408587390353</v>
      </c>
      <c r="R4" s="59">
        <f t="shared" ca="1" si="7"/>
        <v>-8.4369408587390353</v>
      </c>
      <c r="S4" s="59">
        <f t="shared" ref="S4:S44" ca="1" si="21">IF(ROW()&lt;=W$13,K4,-P4+K4)</f>
        <v>1047.5718533201189</v>
      </c>
      <c r="U4" s="17"/>
      <c r="V4" s="4" t="s">
        <v>207</v>
      </c>
      <c r="W4" s="60">
        <v>5000</v>
      </c>
    </row>
    <row r="5" spans="1:23">
      <c r="A5" s="56">
        <v>42643</v>
      </c>
      <c r="B5" s="156">
        <v>0.94</v>
      </c>
      <c r="C5" s="57"/>
      <c r="D5" s="59">
        <f t="shared" ca="1" si="8"/>
        <v>0</v>
      </c>
      <c r="E5" s="65">
        <f t="shared" ca="1" si="9"/>
        <v>1</v>
      </c>
      <c r="F5" s="65">
        <f t="shared" ca="1" si="10"/>
        <v>4</v>
      </c>
      <c r="G5" s="28">
        <f t="shared" ca="1" si="11"/>
        <v>-4.8361584863620549E-2</v>
      </c>
      <c r="H5" s="28">
        <f ca="1">R5/MAX(M$2:M4)</f>
        <v>-4.8361584863620549E-2</v>
      </c>
      <c r="I5" s="59">
        <f t="shared" ca="1" si="12"/>
        <v>4000</v>
      </c>
      <c r="J5" s="59">
        <f t="shared" ca="1" si="13"/>
        <v>1137.0558375634519</v>
      </c>
      <c r="K5" s="59">
        <f t="shared" ca="1" si="14"/>
        <v>1137.0558375634519</v>
      </c>
      <c r="L5" s="59">
        <f t="shared" ca="1" si="15"/>
        <v>4145.4927784221909</v>
      </c>
      <c r="M5" s="59">
        <f t="shared" ca="1" si="16"/>
        <v>4145.4927784221909</v>
      </c>
      <c r="N5" s="59">
        <f t="shared" ca="1" si="17"/>
        <v>1209.6338697483532</v>
      </c>
      <c r="O5" s="59">
        <f t="shared" ca="1" si="18"/>
        <v>4255.3191489361707</v>
      </c>
      <c r="P5" s="59">
        <f t="shared" ca="1" si="19"/>
        <v>4000</v>
      </c>
      <c r="Q5" s="59">
        <f t="shared" ca="1" si="20"/>
        <v>-145.4927784221909</v>
      </c>
      <c r="R5" s="59">
        <f t="shared" ca="1" si="7"/>
        <v>-145.4927784221909</v>
      </c>
      <c r="S5" s="59">
        <f t="shared" ca="1" si="21"/>
        <v>1137.0558375634519</v>
      </c>
      <c r="U5" s="17"/>
      <c r="V5" s="4" t="s">
        <v>208</v>
      </c>
      <c r="W5" s="60">
        <v>-5000</v>
      </c>
    </row>
    <row r="6" spans="1:23">
      <c r="A6" s="56">
        <v>42674</v>
      </c>
      <c r="B6" s="156">
        <v>1.002</v>
      </c>
      <c r="C6" s="57"/>
      <c r="D6" s="59">
        <f t="shared" ca="1" si="8"/>
        <v>0</v>
      </c>
      <c r="E6" s="65">
        <f t="shared" ca="1" si="9"/>
        <v>1</v>
      </c>
      <c r="F6" s="65">
        <f t="shared" ca="1" si="10"/>
        <v>5</v>
      </c>
      <c r="G6" s="28">
        <f t="shared" ca="1" si="11"/>
        <v>2.8545944990619868E-2</v>
      </c>
      <c r="H6" s="28">
        <f ca="1">R6/MAX(M$2:M5)</f>
        <v>2.8545944990619868E-2</v>
      </c>
      <c r="I6" s="59">
        <f t="shared" ca="1" si="12"/>
        <v>5000</v>
      </c>
      <c r="J6" s="59">
        <f t="shared" ca="1" si="13"/>
        <v>736.17021276595733</v>
      </c>
      <c r="K6" s="59">
        <f t="shared" ca="1" si="14"/>
        <v>736.17021276595733</v>
      </c>
      <c r="L6" s="59">
        <f t="shared" ca="1" si="15"/>
        <v>4881.6629911881482</v>
      </c>
      <c r="M6" s="59">
        <f t="shared" ca="1" si="16"/>
        <v>4881.6629911881482</v>
      </c>
      <c r="N6" s="59">
        <f t="shared" ca="1" si="17"/>
        <v>734.70081114366997</v>
      </c>
      <c r="O6" s="59">
        <f t="shared" ca="1" si="18"/>
        <v>4990.0199600798405</v>
      </c>
      <c r="P6" s="59">
        <f t="shared" ca="1" si="19"/>
        <v>5000</v>
      </c>
      <c r="Q6" s="59">
        <f t="shared" ca="1" si="20"/>
        <v>118.33700881185177</v>
      </c>
      <c r="R6" s="59">
        <f t="shared" ca="1" si="7"/>
        <v>118.33700881185177</v>
      </c>
      <c r="S6" s="59">
        <f t="shared" ca="1" si="21"/>
        <v>736.17021276595733</v>
      </c>
      <c r="U6" s="17"/>
      <c r="V6" s="4" t="s">
        <v>209</v>
      </c>
      <c r="W6" s="62">
        <v>1</v>
      </c>
    </row>
    <row r="7" spans="1:23">
      <c r="A7" s="56">
        <v>42704</v>
      </c>
      <c r="B7" s="156">
        <v>1.006</v>
      </c>
      <c r="C7" s="57"/>
      <c r="D7" s="59">
        <f t="shared" ca="1" si="8"/>
        <v>0</v>
      </c>
      <c r="E7" s="65">
        <f t="shared" ca="1" si="9"/>
        <v>1</v>
      </c>
      <c r="F7" s="65">
        <f t="shared" ca="1" si="10"/>
        <v>6</v>
      </c>
      <c r="G7" s="28">
        <f t="shared" ca="1" si="11"/>
        <v>2.8329913167256859E-2</v>
      </c>
      <c r="H7" s="28">
        <f ca="1">R7/MAX(M$2:M6)</f>
        <v>2.8329913167256672E-2</v>
      </c>
      <c r="I7" s="59">
        <f t="shared" ca="1" si="12"/>
        <v>6000</v>
      </c>
      <c r="J7" s="59">
        <f t="shared" ca="1" si="13"/>
        <v>980.03992015968015</v>
      </c>
      <c r="K7" s="59">
        <f t="shared" ca="1" si="14"/>
        <v>980.03992015968015</v>
      </c>
      <c r="L7" s="59">
        <f t="shared" ca="1" si="15"/>
        <v>5861.7029113478284</v>
      </c>
      <c r="M7" s="59">
        <f t="shared" ca="1" si="16"/>
        <v>5861.7029113478284</v>
      </c>
      <c r="N7" s="59">
        <f t="shared" ca="1" si="17"/>
        <v>974.19475164978144</v>
      </c>
      <c r="O7" s="59">
        <f t="shared" ca="1" si="18"/>
        <v>5964.2147117296217</v>
      </c>
      <c r="P7" s="59">
        <f t="shared" ca="1" si="19"/>
        <v>5999.9999999999991</v>
      </c>
      <c r="Q7" s="59">
        <f t="shared" ca="1" si="20"/>
        <v>138.29708865217071</v>
      </c>
      <c r="R7" s="59">
        <f t="shared" ca="1" si="7"/>
        <v>138.29708865217071</v>
      </c>
      <c r="S7" s="59">
        <f t="shared" ca="1" si="21"/>
        <v>980.03992015968015</v>
      </c>
      <c r="U7" s="17"/>
    </row>
    <row r="8" spans="1:23">
      <c r="A8" s="56">
        <v>42735</v>
      </c>
      <c r="B8" s="156">
        <v>0.97899999999999998</v>
      </c>
      <c r="C8" s="57">
        <v>2.2563E-2</v>
      </c>
      <c r="D8" s="59">
        <f t="shared" ca="1" si="8"/>
        <v>134.57057654075544</v>
      </c>
      <c r="E8" s="65">
        <f t="shared" ca="1" si="9"/>
        <v>1</v>
      </c>
      <c r="F8" s="65">
        <f t="shared" ca="1" si="10"/>
        <v>7</v>
      </c>
      <c r="G8" s="28">
        <f t="shared" ca="1" si="11"/>
        <v>1.9078733546820367E-2</v>
      </c>
      <c r="H8" s="28">
        <f ca="1">R8/MAX(M$2:M7)</f>
        <v>1.9078733546820367E-2</v>
      </c>
      <c r="I8" s="59">
        <f t="shared" ca="1" si="12"/>
        <v>7000</v>
      </c>
      <c r="J8" s="59">
        <f t="shared" ca="1" si="13"/>
        <v>1161.0337972167008</v>
      </c>
      <c r="K8" s="59">
        <f t="shared" ca="1" si="14"/>
        <v>1161.0337972167008</v>
      </c>
      <c r="L8" s="59">
        <f t="shared" ca="1" si="15"/>
        <v>7022.7367085645292</v>
      </c>
      <c r="M8" s="59">
        <f t="shared" ca="1" si="16"/>
        <v>7022.7367085645292</v>
      </c>
      <c r="N8" s="59">
        <f t="shared" ca="1" si="17"/>
        <v>1185.9385058393266</v>
      </c>
      <c r="O8" s="59">
        <f t="shared" ca="1" si="18"/>
        <v>7150.1532175689481</v>
      </c>
      <c r="P8" s="59">
        <f t="shared" ca="1" si="19"/>
        <v>7134.5705765407556</v>
      </c>
      <c r="Q8" s="59">
        <f t="shared" ca="1" si="20"/>
        <v>111.83386797622643</v>
      </c>
      <c r="R8" s="59">
        <f t="shared" ca="1" si="7"/>
        <v>111.83386797622643</v>
      </c>
      <c r="S8" s="59">
        <f t="shared" ca="1" si="21"/>
        <v>1161.0337972167008</v>
      </c>
      <c r="U8" s="17"/>
    </row>
    <row r="9" spans="1:23">
      <c r="A9" s="56">
        <v>42761</v>
      </c>
      <c r="B9" s="156">
        <v>0.995</v>
      </c>
      <c r="C9" s="57"/>
      <c r="D9" s="59">
        <f t="shared" ca="1" si="8"/>
        <v>134.57057654075544</v>
      </c>
      <c r="E9" s="65">
        <f t="shared" ca="1" si="9"/>
        <v>1</v>
      </c>
      <c r="F9" s="65">
        <f t="shared" ca="1" si="10"/>
        <v>8</v>
      </c>
      <c r="G9" s="28">
        <f t="shared" ca="1" si="11"/>
        <v>3.2214837156207925E-2</v>
      </c>
      <c r="H9" s="28">
        <f ca="1">R9/MAX(M$2:M8)</f>
        <v>3.2214837156207925E-2</v>
      </c>
      <c r="I9" s="59">
        <f t="shared" ca="1" si="12"/>
        <v>8000</v>
      </c>
      <c r="J9" s="59">
        <f t="shared" ca="1" si="13"/>
        <v>885.59754851889647</v>
      </c>
      <c r="K9" s="59">
        <f t="shared" ca="1" si="14"/>
        <v>885.59754851889647</v>
      </c>
      <c r="L9" s="59">
        <f t="shared" ca="1" si="15"/>
        <v>7908.3342570834257</v>
      </c>
      <c r="M9" s="59">
        <f t="shared" ca="1" si="16"/>
        <v>7908.3342570834257</v>
      </c>
      <c r="N9" s="59">
        <f t="shared" ca="1" si="17"/>
        <v>890.04778745617739</v>
      </c>
      <c r="O9" s="59">
        <f t="shared" ca="1" si="18"/>
        <v>8040.2010050251256</v>
      </c>
      <c r="P9" s="59">
        <f t="shared" ca="1" si="19"/>
        <v>8134.5705765407556</v>
      </c>
      <c r="Q9" s="59">
        <f t="shared" ca="1" si="20"/>
        <v>226.23631945732996</v>
      </c>
      <c r="R9" s="59">
        <f t="shared" ca="1" si="7"/>
        <v>226.23631945732996</v>
      </c>
      <c r="S9" s="59">
        <f t="shared" ca="1" si="21"/>
        <v>885.59754851889647</v>
      </c>
      <c r="U9" s="17"/>
      <c r="V9" s="4" t="s">
        <v>210</v>
      </c>
      <c r="W9" s="28">
        <f ca="1">XIRR(OFFSET(S2,0,0,W13,1),OFFSET(A2,0,0,W13,1))</f>
        <v>0.28412684798240662</v>
      </c>
    </row>
    <row r="10" spans="1:23">
      <c r="A10" s="56">
        <v>42794</v>
      </c>
      <c r="B10" s="156">
        <v>1.085</v>
      </c>
      <c r="C10" s="57"/>
      <c r="D10" s="59">
        <f t="shared" ca="1" si="8"/>
        <v>134.57057654075544</v>
      </c>
      <c r="E10" s="65">
        <f t="shared" ca="1" si="9"/>
        <v>1</v>
      </c>
      <c r="F10" s="65">
        <f t="shared" ca="1" si="10"/>
        <v>9</v>
      </c>
      <c r="G10" s="28">
        <f t="shared" ca="1" si="11"/>
        <v>0.12010802515824537</v>
      </c>
      <c r="H10" s="28">
        <f ca="1">R10/MAX(M$2:M9)</f>
        <v>0.12010802515824537</v>
      </c>
      <c r="I10" s="59">
        <f t="shared" ca="1" si="12"/>
        <v>9000</v>
      </c>
      <c r="J10" s="59">
        <f t="shared" ca="1" si="13"/>
        <v>276.38190954773927</v>
      </c>
      <c r="K10" s="59">
        <f t="shared" ca="1" si="14"/>
        <v>276.38190954773927</v>
      </c>
      <c r="L10" s="59">
        <f t="shared" ca="1" si="15"/>
        <v>8184.7161666311649</v>
      </c>
      <c r="M10" s="59">
        <f t="shared" ca="1" si="16"/>
        <v>8184.7161666311649</v>
      </c>
      <c r="N10" s="59">
        <f t="shared" ca="1" si="17"/>
        <v>254.72987055091178</v>
      </c>
      <c r="O10" s="59">
        <f t="shared" ca="1" si="18"/>
        <v>8294.9308755760376</v>
      </c>
      <c r="P10" s="59">
        <f t="shared" ca="1" si="19"/>
        <v>9134.5705765407547</v>
      </c>
      <c r="Q10" s="59">
        <f t="shared" ca="1" si="20"/>
        <v>949.85440990958978</v>
      </c>
      <c r="R10" s="59">
        <f t="shared" ca="1" si="7"/>
        <v>949.85440990958978</v>
      </c>
      <c r="S10" s="59">
        <f t="shared" ca="1" si="21"/>
        <v>276.38190954773927</v>
      </c>
      <c r="U10" s="17"/>
      <c r="V10" s="4" t="s">
        <v>211</v>
      </c>
      <c r="W10" s="58">
        <f ca="1">MAX(M:M)</f>
        <v>46439.974739127516</v>
      </c>
    </row>
    <row r="11" spans="1:23">
      <c r="A11" s="56">
        <v>42825</v>
      </c>
      <c r="B11" s="156">
        <v>1.151</v>
      </c>
      <c r="C11" s="57"/>
      <c r="D11" s="59">
        <f t="shared" ca="1" si="8"/>
        <v>134.57057654075544</v>
      </c>
      <c r="E11" s="65">
        <f t="shared" ca="1" si="9"/>
        <v>1</v>
      </c>
      <c r="F11" s="65">
        <f t="shared" ca="1" si="10"/>
        <v>10</v>
      </c>
      <c r="G11" s="28">
        <f t="shared" ca="1" si="11"/>
        <v>0.18294096181394001</v>
      </c>
      <c r="H11" s="28">
        <f ca="1">R11/MAX(M$2:M10)</f>
        <v>0.18294096181394012</v>
      </c>
      <c r="I11" s="59">
        <f t="shared" ca="1" si="12"/>
        <v>10000</v>
      </c>
      <c r="J11" s="59">
        <f t="shared" ca="1" si="13"/>
        <v>452.5345622119803</v>
      </c>
      <c r="K11" s="59">
        <f t="shared" ca="1" si="14"/>
        <v>452.5345622119803</v>
      </c>
      <c r="L11" s="59">
        <f t="shared" ca="1" si="15"/>
        <v>8637.2507288431443</v>
      </c>
      <c r="M11" s="59">
        <f t="shared" ca="1" si="16"/>
        <v>8637.2507288431443</v>
      </c>
      <c r="N11" s="59">
        <f t="shared" ca="1" si="17"/>
        <v>393.16643111379693</v>
      </c>
      <c r="O11" s="59">
        <f t="shared" ca="1" si="18"/>
        <v>8688.097306689835</v>
      </c>
      <c r="P11" s="59">
        <f t="shared" ca="1" si="19"/>
        <v>10134.570576540755</v>
      </c>
      <c r="Q11" s="59">
        <f t="shared" ca="1" si="20"/>
        <v>1497.3198476976104</v>
      </c>
      <c r="R11" s="59">
        <f t="shared" ca="1" si="7"/>
        <v>1497.3198476976104</v>
      </c>
      <c r="S11" s="59">
        <f t="shared" ca="1" si="21"/>
        <v>452.5345622119803</v>
      </c>
      <c r="U11" s="17"/>
      <c r="V11" s="4" t="s">
        <v>212</v>
      </c>
      <c r="W11" s="58">
        <f ca="1">MAX(K:K)</f>
        <v>5000</v>
      </c>
    </row>
    <row r="12" spans="1:23">
      <c r="A12" s="56">
        <v>42853</v>
      </c>
      <c r="B12" s="156">
        <v>1.159</v>
      </c>
      <c r="C12" s="57"/>
      <c r="D12" s="59">
        <f t="shared" ca="1" si="8"/>
        <v>134.57057654075544</v>
      </c>
      <c r="E12" s="65">
        <f t="shared" ca="1" si="9"/>
        <v>1</v>
      </c>
      <c r="F12" s="65">
        <f t="shared" ca="1" si="10"/>
        <v>11</v>
      </c>
      <c r="G12" s="28">
        <f t="shared" ca="1" si="11"/>
        <v>0.18140316581512342</v>
      </c>
      <c r="H12" s="28">
        <f ca="1">R12/MAX(M$2:M11)</f>
        <v>0.18140316581512364</v>
      </c>
      <c r="I12" s="59">
        <f t="shared" ca="1" si="12"/>
        <v>11000</v>
      </c>
      <c r="J12" s="59">
        <f t="shared" ca="1" si="13"/>
        <v>930.49522154648184</v>
      </c>
      <c r="K12" s="59">
        <f t="shared" ca="1" si="14"/>
        <v>930.49522154648184</v>
      </c>
      <c r="L12" s="59">
        <f t="shared" ca="1" si="15"/>
        <v>9567.7459503896262</v>
      </c>
      <c r="M12" s="59">
        <f t="shared" ca="1" si="16"/>
        <v>9567.7459503896262</v>
      </c>
      <c r="N12" s="59">
        <f t="shared" ca="1" si="17"/>
        <v>802.84315922906114</v>
      </c>
      <c r="O12" s="59">
        <f t="shared" ca="1" si="18"/>
        <v>9490.9404659188967</v>
      </c>
      <c r="P12" s="59">
        <f t="shared" ca="1" si="19"/>
        <v>11134.570576540757</v>
      </c>
      <c r="Q12" s="59">
        <f t="shared" ca="1" si="20"/>
        <v>1566.8246261511304</v>
      </c>
      <c r="R12" s="59">
        <f t="shared" ca="1" si="7"/>
        <v>1566.8246261511304</v>
      </c>
      <c r="S12" s="59">
        <f t="shared" ca="1" si="21"/>
        <v>930.49522154648184</v>
      </c>
      <c r="U12" s="17"/>
      <c r="V12" s="4" t="s">
        <v>213</v>
      </c>
      <c r="W12" s="65">
        <f ca="1">MAX(E:E)</f>
        <v>1</v>
      </c>
    </row>
    <row r="13" spans="1:23">
      <c r="A13" s="56">
        <v>42886</v>
      </c>
      <c r="B13" s="156">
        <v>1.196</v>
      </c>
      <c r="C13" s="57"/>
      <c r="D13" s="59">
        <f t="shared" ca="1" si="8"/>
        <v>134.57057654075544</v>
      </c>
      <c r="E13" s="65">
        <f t="shared" ca="1" si="9"/>
        <v>1</v>
      </c>
      <c r="F13" s="65">
        <f t="shared" ca="1" si="10"/>
        <v>12</v>
      </c>
      <c r="G13" s="28">
        <f t="shared" ca="1" si="11"/>
        <v>0.20046408352972861</v>
      </c>
      <c r="H13" s="28">
        <f ca="1">R13/MAX(M$2:M12)</f>
        <v>0.20046408352972861</v>
      </c>
      <c r="I13" s="59">
        <f t="shared" ca="1" si="12"/>
        <v>12000</v>
      </c>
      <c r="J13" s="59">
        <f t="shared" ca="1" si="13"/>
        <v>648.83520276099989</v>
      </c>
      <c r="K13" s="59">
        <f t="shared" ca="1" si="14"/>
        <v>648.83520276099989</v>
      </c>
      <c r="L13" s="59">
        <f t="shared" ca="1" si="15"/>
        <v>10216.581153150626</v>
      </c>
      <c r="M13" s="59">
        <f t="shared" ca="1" si="16"/>
        <v>10216.581153150626</v>
      </c>
      <c r="N13" s="59">
        <f t="shared" ca="1" si="17"/>
        <v>542.50435013461527</v>
      </c>
      <c r="O13" s="59">
        <f t="shared" ca="1" si="18"/>
        <v>10033.444816053512</v>
      </c>
      <c r="P13" s="59">
        <f t="shared" ca="1" si="19"/>
        <v>12134.570576540755</v>
      </c>
      <c r="Q13" s="59">
        <f t="shared" ca="1" si="20"/>
        <v>1917.9894233901286</v>
      </c>
      <c r="R13" s="59">
        <f t="shared" ca="1" si="7"/>
        <v>1917.9894233901286</v>
      </c>
      <c r="S13" s="59">
        <f t="shared" ca="1" si="21"/>
        <v>648.83520276099989</v>
      </c>
      <c r="U13" s="17"/>
      <c r="V13" s="4" t="s">
        <v>214</v>
      </c>
      <c r="W13" s="58">
        <f>COUNTIF(B:B,"&gt;0")</f>
        <v>48</v>
      </c>
    </row>
    <row r="14" spans="1:23">
      <c r="A14" s="56">
        <v>42916</v>
      </c>
      <c r="B14" s="156">
        <v>1.286</v>
      </c>
      <c r="C14" s="57"/>
      <c r="D14" s="59">
        <f t="shared" ca="1" si="8"/>
        <v>134.57057654075544</v>
      </c>
      <c r="E14" s="65">
        <f t="shared" ca="1" si="9"/>
        <v>1</v>
      </c>
      <c r="F14" s="65">
        <f t="shared" ca="1" si="10"/>
        <v>13</v>
      </c>
      <c r="G14" s="28">
        <f t="shared" ca="1" si="11"/>
        <v>0.27611971309648875</v>
      </c>
      <c r="H14" s="28">
        <f ca="1">R14/MAX(M$2:M13)</f>
        <v>0.27611971309648875</v>
      </c>
      <c r="I14" s="59">
        <f t="shared" ca="1" si="12"/>
        <v>13000</v>
      </c>
      <c r="J14" s="59">
        <f t="shared" ca="1" si="13"/>
        <v>96.989966555183855</v>
      </c>
      <c r="K14" s="59">
        <f t="shared" ca="1" si="14"/>
        <v>96.989966555183855</v>
      </c>
      <c r="L14" s="59">
        <f t="shared" ca="1" si="15"/>
        <v>10313.57111970581</v>
      </c>
      <c r="M14" s="59">
        <f t="shared" ca="1" si="16"/>
        <v>10313.57111970581</v>
      </c>
      <c r="N14" s="59">
        <f t="shared" ca="1" si="17"/>
        <v>75.419880680547323</v>
      </c>
      <c r="O14" s="59">
        <f t="shared" ca="1" si="18"/>
        <v>10108.864696734059</v>
      </c>
      <c r="P14" s="59">
        <f t="shared" ca="1" si="19"/>
        <v>13134.570576540755</v>
      </c>
      <c r="Q14" s="59">
        <f t="shared" ca="1" si="20"/>
        <v>2820.9994568349448</v>
      </c>
      <c r="R14" s="59">
        <f t="shared" ca="1" si="7"/>
        <v>2820.9994568349448</v>
      </c>
      <c r="S14" s="59">
        <f t="shared" ca="1" si="21"/>
        <v>96.989966555183855</v>
      </c>
      <c r="U14" s="17"/>
      <c r="V14" s="4" t="s">
        <v>215</v>
      </c>
      <c r="W14" s="58">
        <f ca="1">OFFSET(R2,W13-1,0,1,1)</f>
        <v>29947.715775653567</v>
      </c>
    </row>
    <row r="15" spans="1:23">
      <c r="A15" s="56">
        <v>42947</v>
      </c>
      <c r="B15" s="156">
        <v>1.397</v>
      </c>
      <c r="C15" s="57"/>
      <c r="D15" s="59">
        <f t="shared" ca="1" si="8"/>
        <v>134.57057654075544</v>
      </c>
      <c r="E15" s="65">
        <f t="shared" ca="1" si="9"/>
        <v>1</v>
      </c>
      <c r="F15" s="65">
        <f t="shared" ca="1" si="10"/>
        <v>14</v>
      </c>
      <c r="G15" s="28">
        <f t="shared" ca="1" si="11"/>
        <v>0.38231989602888394</v>
      </c>
      <c r="H15" s="28">
        <f ca="1">R15/MAX(M$2:M14)</f>
        <v>0.38231989602888394</v>
      </c>
      <c r="I15" s="59">
        <f t="shared" ca="1" si="12"/>
        <v>14000</v>
      </c>
      <c r="J15" s="59">
        <f t="shared" ca="1" si="13"/>
        <v>-122.08398133748051</v>
      </c>
      <c r="K15" s="59">
        <f t="shared" ca="1" si="14"/>
        <v>-122.08398133748051</v>
      </c>
      <c r="L15" s="59">
        <f t="shared" ca="1" si="15"/>
        <v>10191.487138368329</v>
      </c>
      <c r="M15" s="59">
        <f t="shared" ca="1" si="16"/>
        <v>10191.487138368329</v>
      </c>
      <c r="N15" s="59">
        <f t="shared" ca="1" si="17"/>
        <v>-87.390108330336801</v>
      </c>
      <c r="O15" s="59">
        <f t="shared" ca="1" si="18"/>
        <v>10021.474588403722</v>
      </c>
      <c r="P15" s="59">
        <f t="shared" ca="1" si="19"/>
        <v>14134.570576540755</v>
      </c>
      <c r="Q15" s="59">
        <f t="shared" ca="1" si="20"/>
        <v>3943.0834381724253</v>
      </c>
      <c r="R15" s="59">
        <f t="shared" ca="1" si="7"/>
        <v>3943.0834381724253</v>
      </c>
      <c r="S15" s="59">
        <f t="shared" ca="1" si="21"/>
        <v>-122.08398133748051</v>
      </c>
      <c r="U15" s="17"/>
      <c r="V15" s="4" t="s">
        <v>216</v>
      </c>
      <c r="W15" s="28">
        <f ca="1">W14/W10</f>
        <v>0.64486933819155223</v>
      </c>
    </row>
    <row r="16" spans="1:23">
      <c r="A16" s="56">
        <v>42978</v>
      </c>
      <c r="B16" s="156">
        <v>1.41</v>
      </c>
      <c r="C16" s="57"/>
      <c r="D16" s="59">
        <f t="shared" ca="1" si="8"/>
        <v>134.57057654075544</v>
      </c>
      <c r="E16" s="65">
        <f t="shared" ca="1" si="9"/>
        <v>1</v>
      </c>
      <c r="F16" s="65">
        <f t="shared" ca="1" si="10"/>
        <v>15</v>
      </c>
      <c r="G16" s="28">
        <f t="shared" ca="1" si="11"/>
        <v>0.39495171561272602</v>
      </c>
      <c r="H16" s="28">
        <f ca="1">R16/MAX(M$2:M15)</f>
        <v>0.39495171561272602</v>
      </c>
      <c r="I16" s="59">
        <f t="shared" ca="1" si="12"/>
        <v>15000</v>
      </c>
      <c r="J16" s="59">
        <f t="shared" ca="1" si="13"/>
        <v>869.72083035075229</v>
      </c>
      <c r="K16" s="59">
        <f t="shared" ca="1" si="14"/>
        <v>869.72083035075229</v>
      </c>
      <c r="L16" s="59">
        <f t="shared" ca="1" si="15"/>
        <v>11061.207968719082</v>
      </c>
      <c r="M16" s="59">
        <f t="shared" ca="1" si="16"/>
        <v>11061.207968719082</v>
      </c>
      <c r="N16" s="59">
        <f t="shared" ca="1" si="17"/>
        <v>616.82328393670377</v>
      </c>
      <c r="O16" s="59">
        <f t="shared" ca="1" si="18"/>
        <v>10638.297872340427</v>
      </c>
      <c r="P16" s="59">
        <f t="shared" ca="1" si="19"/>
        <v>15134.570576540755</v>
      </c>
      <c r="Q16" s="59">
        <f t="shared" ca="1" si="20"/>
        <v>4073.362607821673</v>
      </c>
      <c r="R16" s="59">
        <f t="shared" ca="1" si="7"/>
        <v>4073.362607821673</v>
      </c>
      <c r="S16" s="59">
        <f t="shared" ca="1" si="21"/>
        <v>869.72083035075229</v>
      </c>
      <c r="U16" s="17"/>
      <c r="W16" s="17"/>
    </row>
    <row r="17" spans="1:23">
      <c r="A17" s="56">
        <v>43007</v>
      </c>
      <c r="B17" s="156">
        <v>1.012</v>
      </c>
      <c r="C17" s="57">
        <v>0.49419999999999997</v>
      </c>
      <c r="D17" s="59">
        <f t="shared" ca="1" si="8"/>
        <v>5392.0173850513938</v>
      </c>
      <c r="E17" s="65">
        <f t="shared" ca="1" si="9"/>
        <v>1</v>
      </c>
      <c r="F17" s="65">
        <f t="shared" ca="1" si="10"/>
        <v>16</v>
      </c>
      <c r="G17" s="28">
        <f t="shared" ca="1" si="11"/>
        <v>0.46077850426051098</v>
      </c>
      <c r="H17" s="28">
        <f ca="1">R17/MAX(M$2:M16)</f>
        <v>0.46077850426051098</v>
      </c>
      <c r="I17" s="59">
        <f t="shared" ca="1" si="12"/>
        <v>16000</v>
      </c>
      <c r="J17" s="59">
        <f t="shared" ca="1" si="13"/>
        <v>5234.042553191488</v>
      </c>
      <c r="K17" s="59">
        <f t="shared" ca="1" si="14"/>
        <v>5000</v>
      </c>
      <c r="L17" s="59">
        <f t="shared" ca="1" si="15"/>
        <v>16061.207968719082</v>
      </c>
      <c r="M17" s="59">
        <f t="shared" ca="1" si="16"/>
        <v>16061.207968719082</v>
      </c>
      <c r="N17" s="59">
        <f t="shared" ca="1" si="17"/>
        <v>4940.711462450593</v>
      </c>
      <c r="O17" s="59">
        <f t="shared" ca="1" si="18"/>
        <v>15579.009334791019</v>
      </c>
      <c r="P17" s="59">
        <f t="shared" ca="1" si="19"/>
        <v>21157.974831859905</v>
      </c>
      <c r="Q17" s="59">
        <f t="shared" ca="1" si="20"/>
        <v>5096.7668631408233</v>
      </c>
      <c r="R17" s="59">
        <f t="shared" ca="1" si="7"/>
        <v>5096.7668631408233</v>
      </c>
      <c r="S17" s="59">
        <f t="shared" ca="1" si="21"/>
        <v>5000</v>
      </c>
      <c r="T17" s="17"/>
      <c r="U17" s="17"/>
      <c r="V17" s="18"/>
    </row>
    <row r="18" spans="1:23">
      <c r="A18" s="56">
        <v>43039</v>
      </c>
      <c r="B18" s="156">
        <v>1.1040000000000001</v>
      </c>
      <c r="C18" s="57"/>
      <c r="D18" s="59">
        <f t="shared" ca="1" si="8"/>
        <v>5392.0173850513938</v>
      </c>
      <c r="E18" s="65">
        <f t="shared" ca="1" si="9"/>
        <v>1</v>
      </c>
      <c r="F18" s="65">
        <f t="shared" ca="1" si="10"/>
        <v>17</v>
      </c>
      <c r="G18" s="28">
        <f t="shared" ca="1" si="11"/>
        <v>0.4065718926409233</v>
      </c>
      <c r="H18" s="28">
        <f ca="1">R18/MAX(M$2:M17)</f>
        <v>0.4065718926409233</v>
      </c>
      <c r="I18" s="59">
        <f t="shared" ca="1" si="12"/>
        <v>17000</v>
      </c>
      <c r="J18" s="59">
        <f t="shared" ca="1" si="13"/>
        <v>-199.22630560928519</v>
      </c>
      <c r="K18" s="59">
        <f t="shared" ca="1" si="14"/>
        <v>-199.22630560928519</v>
      </c>
      <c r="L18" s="59">
        <f t="shared" ca="1" si="15"/>
        <v>15861.981663109797</v>
      </c>
      <c r="M18" s="59">
        <f t="shared" ca="1" si="16"/>
        <v>15861.981663109797</v>
      </c>
      <c r="N18" s="59">
        <f t="shared" ca="1" si="17"/>
        <v>-180.45861015333801</v>
      </c>
      <c r="O18" s="59">
        <f t="shared" ca="1" si="18"/>
        <v>15398.55072463768</v>
      </c>
      <c r="P18" s="59">
        <f t="shared" ca="1" si="19"/>
        <v>22392.017385051393</v>
      </c>
      <c r="Q18" s="59">
        <f t="shared" ca="1" si="20"/>
        <v>6530.0357219415964</v>
      </c>
      <c r="R18" s="59">
        <f t="shared" ca="1" si="7"/>
        <v>6530.0357219415964</v>
      </c>
      <c r="S18" s="59">
        <f t="shared" ca="1" si="21"/>
        <v>-199.22630560928519</v>
      </c>
      <c r="U18" s="17"/>
    </row>
    <row r="19" spans="1:23">
      <c r="A19" s="56">
        <v>43069</v>
      </c>
      <c r="B19" s="156">
        <v>1.038</v>
      </c>
      <c r="C19" s="57"/>
      <c r="D19" s="59">
        <f t="shared" ca="1" si="8"/>
        <v>5392.0173850513938</v>
      </c>
      <c r="E19" s="65">
        <f t="shared" ca="1" si="9"/>
        <v>1</v>
      </c>
      <c r="F19" s="65">
        <f t="shared" ca="1" si="10"/>
        <v>18</v>
      </c>
      <c r="G19" s="28">
        <f t="shared" ca="1" si="11"/>
        <v>0.34329493677275641</v>
      </c>
      <c r="H19" s="28">
        <f ca="1">R19/MAX(M$2:M18)</f>
        <v>0.34329493677275663</v>
      </c>
      <c r="I19" s="59">
        <f t="shared" ca="1" si="12"/>
        <v>18000</v>
      </c>
      <c r="J19" s="59">
        <f t="shared" ca="1" si="13"/>
        <v>2016.3043478260879</v>
      </c>
      <c r="K19" s="59">
        <f t="shared" ca="1" si="14"/>
        <v>2016.3043478260879</v>
      </c>
      <c r="L19" s="59">
        <f t="shared" ca="1" si="15"/>
        <v>17878.286010935884</v>
      </c>
      <c r="M19" s="59">
        <f t="shared" ca="1" si="16"/>
        <v>17878.286010935884</v>
      </c>
      <c r="N19" s="59">
        <f t="shared" ca="1" si="17"/>
        <v>1942.4897377900654</v>
      </c>
      <c r="O19" s="59">
        <f t="shared" ca="1" si="18"/>
        <v>17341.040462427747</v>
      </c>
      <c r="P19" s="59">
        <f t="shared" ca="1" si="19"/>
        <v>23392.017385051397</v>
      </c>
      <c r="Q19" s="59">
        <f t="shared" ca="1" si="20"/>
        <v>5513.7313741155122</v>
      </c>
      <c r="R19" s="59">
        <f t="shared" ca="1" si="7"/>
        <v>5513.7313741155122</v>
      </c>
      <c r="S19" s="59">
        <f t="shared" ca="1" si="21"/>
        <v>2016.3043478260879</v>
      </c>
      <c r="U19" s="17"/>
      <c r="W19" s="17"/>
    </row>
    <row r="20" spans="1:23">
      <c r="A20" s="56">
        <v>43098</v>
      </c>
      <c r="B20" s="156">
        <v>1.141</v>
      </c>
      <c r="C20" s="57">
        <v>4.9814999999999998E-2</v>
      </c>
      <c r="D20" s="59">
        <f t="shared" ca="1" si="8"/>
        <v>6255.8613156872325</v>
      </c>
      <c r="E20" s="65">
        <f t="shared" ca="1" si="9"/>
        <v>1</v>
      </c>
      <c r="F20" s="65">
        <f t="shared" ca="1" si="10"/>
        <v>19</v>
      </c>
      <c r="G20" s="28">
        <f t="shared" ca="1" si="11"/>
        <v>0.45662668487279989</v>
      </c>
      <c r="H20" s="28">
        <f ca="1">R20/MAX(M$2:M19)</f>
        <v>0.45662668487279989</v>
      </c>
      <c r="I20" s="59">
        <f t="shared" ca="1" si="12"/>
        <v>19000</v>
      </c>
      <c r="J20" s="59">
        <f t="shared" ca="1" si="13"/>
        <v>-786.12716763006028</v>
      </c>
      <c r="K20" s="59">
        <f t="shared" ca="1" si="14"/>
        <v>-786.12716763006028</v>
      </c>
      <c r="L20" s="59">
        <f t="shared" ca="1" si="15"/>
        <v>17092.158843305824</v>
      </c>
      <c r="M20" s="59">
        <f t="shared" ca="1" si="16"/>
        <v>17092.158843305824</v>
      </c>
      <c r="N20" s="59">
        <f t="shared" ca="1" si="17"/>
        <v>-688.98086558287491</v>
      </c>
      <c r="O20" s="59">
        <f t="shared" ca="1" si="18"/>
        <v>16652.059596844872</v>
      </c>
      <c r="P20" s="59">
        <f t="shared" ca="1" si="19"/>
        <v>25255.861315687231</v>
      </c>
      <c r="Q20" s="59">
        <f t="shared" ca="1" si="20"/>
        <v>8163.7024723814066</v>
      </c>
      <c r="R20" s="59">
        <f t="shared" ca="1" si="7"/>
        <v>8163.7024723814066</v>
      </c>
      <c r="S20" s="59">
        <f t="shared" ca="1" si="21"/>
        <v>-786.12716763006028</v>
      </c>
      <c r="U20" s="17"/>
    </row>
    <row r="21" spans="1:23">
      <c r="A21" s="56">
        <v>43131</v>
      </c>
      <c r="B21" s="156">
        <v>1.1950000000000001</v>
      </c>
      <c r="C21" s="57"/>
      <c r="D21" s="59">
        <f t="shared" ca="1" si="8"/>
        <v>6255.8613156872325</v>
      </c>
      <c r="E21" s="65">
        <f t="shared" ca="1" si="9"/>
        <v>1</v>
      </c>
      <c r="F21" s="65">
        <f t="shared" ca="1" si="10"/>
        <v>20</v>
      </c>
      <c r="G21" s="28">
        <f t="shared" ca="1" si="11"/>
        <v>0.50692296146662952</v>
      </c>
      <c r="H21" s="28">
        <f ca="1">R21/MAX(M$2:M20)</f>
        <v>0.50692296146662974</v>
      </c>
      <c r="I21" s="59">
        <f t="shared" ca="1" si="12"/>
        <v>20000</v>
      </c>
      <c r="J21" s="59">
        <f t="shared" ca="1" si="13"/>
        <v>100.78878177037768</v>
      </c>
      <c r="K21" s="59">
        <f t="shared" ca="1" si="14"/>
        <v>100.78878177037768</v>
      </c>
      <c r="L21" s="59">
        <f t="shared" ca="1" si="15"/>
        <v>17192.947625076202</v>
      </c>
      <c r="M21" s="59">
        <f t="shared" ca="1" si="16"/>
        <v>17192.947625076202</v>
      </c>
      <c r="N21" s="59">
        <f t="shared" ca="1" si="17"/>
        <v>84.342076795295128</v>
      </c>
      <c r="O21" s="59">
        <f t="shared" ca="1" si="18"/>
        <v>16736.401673640168</v>
      </c>
      <c r="P21" s="59">
        <f t="shared" ca="1" si="19"/>
        <v>26255.861315687238</v>
      </c>
      <c r="Q21" s="59">
        <f t="shared" ca="1" si="20"/>
        <v>9062.9136906110361</v>
      </c>
      <c r="R21" s="59">
        <f t="shared" ca="1" si="7"/>
        <v>9062.9136906110361</v>
      </c>
      <c r="S21" s="59">
        <f t="shared" ca="1" si="21"/>
        <v>100.78878177037768</v>
      </c>
      <c r="U21" s="17"/>
    </row>
    <row r="22" spans="1:23">
      <c r="A22" s="56">
        <v>43159</v>
      </c>
      <c r="B22" s="156">
        <v>1.0880000000000001</v>
      </c>
      <c r="C22" s="57"/>
      <c r="D22" s="59">
        <f t="shared" ca="1" si="8"/>
        <v>6255.8613156872325</v>
      </c>
      <c r="E22" s="65">
        <f t="shared" ca="1" si="9"/>
        <v>1</v>
      </c>
      <c r="F22" s="65">
        <f t="shared" ca="1" si="10"/>
        <v>21</v>
      </c>
      <c r="G22" s="28">
        <f t="shared" ca="1" si="11"/>
        <v>0.40675704075230062</v>
      </c>
      <c r="H22" s="28">
        <f ca="1">R22/MAX(M$2:M21)</f>
        <v>0.40675704075230062</v>
      </c>
      <c r="I22" s="59">
        <f t="shared" ca="1" si="12"/>
        <v>21000</v>
      </c>
      <c r="J22" s="59">
        <f t="shared" ca="1" si="13"/>
        <v>2790.7949790794955</v>
      </c>
      <c r="K22" s="59">
        <f t="shared" ca="1" si="14"/>
        <v>2790.7949790794955</v>
      </c>
      <c r="L22" s="59">
        <f t="shared" ca="1" si="15"/>
        <v>19983.742604155697</v>
      </c>
      <c r="M22" s="59">
        <f t="shared" ca="1" si="16"/>
        <v>19983.742604155697</v>
      </c>
      <c r="N22" s="59">
        <f t="shared" ca="1" si="17"/>
        <v>2565.0689145951242</v>
      </c>
      <c r="O22" s="59">
        <f t="shared" ca="1" si="18"/>
        <v>19301.470588235294</v>
      </c>
      <c r="P22" s="59">
        <f t="shared" ca="1" si="19"/>
        <v>27255.861315687231</v>
      </c>
      <c r="Q22" s="59">
        <f t="shared" ca="1" si="20"/>
        <v>7272.1187115315333</v>
      </c>
      <c r="R22" s="59">
        <f t="shared" ca="1" si="7"/>
        <v>7272.1187115315333</v>
      </c>
      <c r="S22" s="59">
        <f t="shared" ca="1" si="21"/>
        <v>2790.7949790794955</v>
      </c>
      <c r="U22" s="17"/>
    </row>
    <row r="23" spans="1:23">
      <c r="A23" s="56">
        <v>43189</v>
      </c>
      <c r="B23" s="156">
        <v>1.0329999999999999</v>
      </c>
      <c r="C23" s="57"/>
      <c r="D23" s="59">
        <f t="shared" ca="1" si="8"/>
        <v>6255.8613156872325</v>
      </c>
      <c r="E23" s="65">
        <f t="shared" ca="1" si="9"/>
        <v>1</v>
      </c>
      <c r="F23" s="65">
        <f t="shared" ca="1" si="10"/>
        <v>22</v>
      </c>
      <c r="G23" s="28">
        <f t="shared" ca="1" si="11"/>
        <v>0.31077951473849968</v>
      </c>
      <c r="H23" s="28">
        <f ca="1">R23/MAX(M$2:M22)</f>
        <v>0.31077951473849968</v>
      </c>
      <c r="I23" s="59">
        <f t="shared" ca="1" si="12"/>
        <v>22000</v>
      </c>
      <c r="J23" s="59">
        <f t="shared" ca="1" si="13"/>
        <v>2061.5808823529442</v>
      </c>
      <c r="K23" s="59">
        <f t="shared" ca="1" si="14"/>
        <v>2061.5808823529442</v>
      </c>
      <c r="L23" s="59">
        <f t="shared" ca="1" si="15"/>
        <v>22045.323486508642</v>
      </c>
      <c r="M23" s="59">
        <f t="shared" ca="1" si="16"/>
        <v>22045.323486508642</v>
      </c>
      <c r="N23" s="59">
        <f t="shared" ca="1" si="17"/>
        <v>1995.722054552705</v>
      </c>
      <c r="O23" s="59">
        <f t="shared" ca="1" si="18"/>
        <v>21297.192642787999</v>
      </c>
      <c r="P23" s="59">
        <f t="shared" ca="1" si="19"/>
        <v>28255.861315687231</v>
      </c>
      <c r="Q23" s="59">
        <f t="shared" ca="1" si="20"/>
        <v>6210.5378291785892</v>
      </c>
      <c r="R23" s="59">
        <f t="shared" ca="1" si="7"/>
        <v>6210.5378291785892</v>
      </c>
      <c r="S23" s="59">
        <f t="shared" ca="1" si="21"/>
        <v>2061.5808823529442</v>
      </c>
      <c r="U23" s="17"/>
      <c r="V23" s="17"/>
    </row>
    <row r="24" spans="1:23">
      <c r="A24" s="56">
        <v>43217</v>
      </c>
      <c r="B24" s="156">
        <v>1.054</v>
      </c>
      <c r="C24" s="57"/>
      <c r="D24" s="59">
        <f t="shared" ca="1" si="8"/>
        <v>6255.8613156872325</v>
      </c>
      <c r="E24" s="65">
        <f t="shared" ca="1" si="9"/>
        <v>1</v>
      </c>
      <c r="F24" s="65">
        <f t="shared" ca="1" si="10"/>
        <v>23</v>
      </c>
      <c r="G24" s="28">
        <f t="shared" ca="1" si="11"/>
        <v>0.30200413610403976</v>
      </c>
      <c r="H24" s="28">
        <f ca="1">R24/MAX(M$2:M23)</f>
        <v>0.30200413610403976</v>
      </c>
      <c r="I24" s="59">
        <f t="shared" ca="1" si="12"/>
        <v>23000</v>
      </c>
      <c r="J24" s="59">
        <f t="shared" ca="1" si="13"/>
        <v>552.7589545014489</v>
      </c>
      <c r="K24" s="59">
        <f t="shared" ca="1" si="14"/>
        <v>552.7589545014489</v>
      </c>
      <c r="L24" s="59">
        <f t="shared" ca="1" si="15"/>
        <v>22598.08244101009</v>
      </c>
      <c r="M24" s="59">
        <f t="shared" ca="1" si="16"/>
        <v>22598.08244101009</v>
      </c>
      <c r="N24" s="59">
        <f t="shared" ca="1" si="17"/>
        <v>524.43923576987561</v>
      </c>
      <c r="O24" s="59">
        <f t="shared" ca="1" si="18"/>
        <v>21821.631878557873</v>
      </c>
      <c r="P24" s="59">
        <f t="shared" ca="1" si="19"/>
        <v>29255.861315687231</v>
      </c>
      <c r="Q24" s="59">
        <f t="shared" ca="1" si="20"/>
        <v>6657.7788746771403</v>
      </c>
      <c r="R24" s="59">
        <f t="shared" ca="1" si="7"/>
        <v>6657.7788746771403</v>
      </c>
      <c r="S24" s="59">
        <f t="shared" ca="1" si="21"/>
        <v>552.7589545014489</v>
      </c>
      <c r="U24" s="17"/>
    </row>
    <row r="25" spans="1:23">
      <c r="A25" s="56">
        <v>43251</v>
      </c>
      <c r="B25" s="156">
        <v>1.2749999999999999</v>
      </c>
      <c r="C25" s="57"/>
      <c r="D25" s="59">
        <f t="shared" ca="1" si="8"/>
        <v>6255.8613156872325</v>
      </c>
      <c r="E25" s="65">
        <f t="shared" ca="1" si="9"/>
        <v>1</v>
      </c>
      <c r="F25" s="65">
        <f t="shared" ca="1" si="10"/>
        <v>24</v>
      </c>
      <c r="G25" s="28">
        <f t="shared" ca="1" si="11"/>
        <v>0.50802361438439281</v>
      </c>
      <c r="H25" s="28">
        <f ca="1">R25/MAX(M$2:M24)</f>
        <v>0.50802361438439281</v>
      </c>
      <c r="I25" s="59">
        <f t="shared" ca="1" si="12"/>
        <v>24000</v>
      </c>
      <c r="J25" s="59">
        <f t="shared" ca="1" si="13"/>
        <v>-3822.580645161288</v>
      </c>
      <c r="K25" s="59">
        <f t="shared" ca="1" si="14"/>
        <v>-3822.580645161288</v>
      </c>
      <c r="L25" s="59">
        <f t="shared" ca="1" si="15"/>
        <v>18775.501795848802</v>
      </c>
      <c r="M25" s="59">
        <f t="shared" ca="1" si="16"/>
        <v>18775.501795848802</v>
      </c>
      <c r="N25" s="59">
        <f t="shared" ca="1" si="17"/>
        <v>-2998.1024667931674</v>
      </c>
      <c r="O25" s="59">
        <f t="shared" ca="1" si="18"/>
        <v>18823.529411764706</v>
      </c>
      <c r="P25" s="59">
        <f t="shared" ca="1" si="19"/>
        <v>30255.861315687231</v>
      </c>
      <c r="Q25" s="59">
        <f t="shared" ca="1" si="20"/>
        <v>11480.359519838428</v>
      </c>
      <c r="R25" s="59">
        <f t="shared" ca="1" si="7"/>
        <v>11480.359519838428</v>
      </c>
      <c r="S25" s="59">
        <f t="shared" ca="1" si="21"/>
        <v>-3822.580645161288</v>
      </c>
      <c r="U25" s="17"/>
    </row>
    <row r="26" spans="1:23">
      <c r="A26" s="56">
        <v>43280</v>
      </c>
      <c r="B26" s="156">
        <v>1.23</v>
      </c>
      <c r="C26" s="57"/>
      <c r="D26" s="59">
        <f t="shared" ca="1" si="8"/>
        <v>6255.8613156872325</v>
      </c>
      <c r="E26" s="65">
        <f t="shared" ca="1" si="9"/>
        <v>1</v>
      </c>
      <c r="F26" s="65">
        <f t="shared" ca="1" si="10"/>
        <v>25</v>
      </c>
      <c r="G26" s="28">
        <f t="shared" ca="1" si="11"/>
        <v>0.47053995506327251</v>
      </c>
      <c r="H26" s="28">
        <f ca="1">R26/MAX(M$2:M25)</f>
        <v>0.47053995506327284</v>
      </c>
      <c r="I26" s="59">
        <f t="shared" ca="1" si="12"/>
        <v>25000</v>
      </c>
      <c r="J26" s="59">
        <f t="shared" ca="1" si="13"/>
        <v>1847.0588235294126</v>
      </c>
      <c r="K26" s="59">
        <f t="shared" ca="1" si="14"/>
        <v>1847.0588235294126</v>
      </c>
      <c r="L26" s="59">
        <f t="shared" ca="1" si="15"/>
        <v>20622.560619378215</v>
      </c>
      <c r="M26" s="59">
        <f t="shared" ca="1" si="16"/>
        <v>20622.560619378215</v>
      </c>
      <c r="N26" s="59">
        <f t="shared" ca="1" si="17"/>
        <v>1501.6738402678152</v>
      </c>
      <c r="O26" s="59">
        <f t="shared" ca="1" si="18"/>
        <v>20325.203252032523</v>
      </c>
      <c r="P26" s="59">
        <f t="shared" ca="1" si="19"/>
        <v>31255.861315687238</v>
      </c>
      <c r="Q26" s="59">
        <f t="shared" ca="1" si="20"/>
        <v>10633.300696309023</v>
      </c>
      <c r="R26" s="59">
        <f t="shared" ca="1" si="7"/>
        <v>10633.300696309023</v>
      </c>
      <c r="S26" s="59">
        <f t="shared" ca="1" si="21"/>
        <v>1847.0588235294126</v>
      </c>
      <c r="U26" s="17"/>
    </row>
    <row r="27" spans="1:23">
      <c r="A27" s="56">
        <v>43312</v>
      </c>
      <c r="B27" s="156">
        <v>1.2092000000000001</v>
      </c>
      <c r="C27" s="57"/>
      <c r="D27" s="59">
        <f t="shared" ca="1" si="8"/>
        <v>6255.8613156872325</v>
      </c>
      <c r="E27" s="65">
        <f t="shared" ca="1" si="9"/>
        <v>1</v>
      </c>
      <c r="F27" s="65">
        <f t="shared" ca="1" si="10"/>
        <v>26</v>
      </c>
      <c r="G27" s="28">
        <f t="shared" ca="1" si="11"/>
        <v>0.45183198598023849</v>
      </c>
      <c r="H27" s="28">
        <f ca="1">R27/MAX(M$2:M26)</f>
        <v>0.45183198598023838</v>
      </c>
      <c r="I27" s="59">
        <f t="shared" ca="1" si="12"/>
        <v>26000</v>
      </c>
      <c r="J27" s="59">
        <f t="shared" ca="1" si="13"/>
        <v>1422.7642276422739</v>
      </c>
      <c r="K27" s="59">
        <f t="shared" ca="1" si="14"/>
        <v>1422.7642276422739</v>
      </c>
      <c r="L27" s="59">
        <f t="shared" ca="1" si="15"/>
        <v>22045.324847020489</v>
      </c>
      <c r="M27" s="59">
        <f t="shared" ca="1" si="16"/>
        <v>22045.324847020489</v>
      </c>
      <c r="N27" s="59">
        <f t="shared" ca="1" si="17"/>
        <v>1176.6161326846459</v>
      </c>
      <c r="O27" s="59">
        <f t="shared" ca="1" si="18"/>
        <v>21501.819384717168</v>
      </c>
      <c r="P27" s="59">
        <f t="shared" ca="1" si="19"/>
        <v>32255.861315687231</v>
      </c>
      <c r="Q27" s="59">
        <f t="shared" ca="1" si="20"/>
        <v>10210.536468666742</v>
      </c>
      <c r="R27" s="59">
        <f t="shared" ca="1" si="7"/>
        <v>10210.536468666742</v>
      </c>
      <c r="S27" s="59">
        <f t="shared" ca="1" si="21"/>
        <v>1422.7642276422739</v>
      </c>
      <c r="U27" s="17"/>
    </row>
    <row r="28" spans="1:23">
      <c r="A28" s="56">
        <v>43343</v>
      </c>
      <c r="B28" s="156">
        <v>1.0479000000000001</v>
      </c>
      <c r="C28" s="57"/>
      <c r="D28" s="59">
        <f t="shared" ca="1" si="8"/>
        <v>6255.8613156872325</v>
      </c>
      <c r="E28" s="65">
        <f t="shared" ca="1" si="9"/>
        <v>1</v>
      </c>
      <c r="F28" s="65">
        <f t="shared" ca="1" si="10"/>
        <v>27</v>
      </c>
      <c r="G28" s="28">
        <f t="shared" ca="1" si="11"/>
        <v>0.29835686366362779</v>
      </c>
      <c r="H28" s="28">
        <f ca="1">R28/MAX(M$2:M27)</f>
        <v>0.29835686366362763</v>
      </c>
      <c r="I28" s="59">
        <f t="shared" ca="1" si="12"/>
        <v>27000</v>
      </c>
      <c r="J28" s="59">
        <f t="shared" ca="1" si="13"/>
        <v>4468.2434667548769</v>
      </c>
      <c r="K28" s="59">
        <f t="shared" ca="1" si="14"/>
        <v>4468.2434667548769</v>
      </c>
      <c r="L28" s="59">
        <f t="shared" ca="1" si="15"/>
        <v>26513.568313775366</v>
      </c>
      <c r="M28" s="59">
        <f t="shared" ca="1" si="16"/>
        <v>26513.568313775366</v>
      </c>
      <c r="N28" s="59">
        <f t="shared" ca="1" si="17"/>
        <v>4263.9979642665112</v>
      </c>
      <c r="O28" s="59">
        <f t="shared" ca="1" si="18"/>
        <v>25765.817348983677</v>
      </c>
      <c r="P28" s="59">
        <f t="shared" ca="1" si="19"/>
        <v>33255.861315687231</v>
      </c>
      <c r="Q28" s="59">
        <f t="shared" ca="1" si="20"/>
        <v>6742.2930019118648</v>
      </c>
      <c r="R28" s="59">
        <f t="shared" ca="1" si="7"/>
        <v>6742.2930019118648</v>
      </c>
      <c r="S28" s="59">
        <f t="shared" ca="1" si="21"/>
        <v>4468.2434667548769</v>
      </c>
      <c r="U28" s="17"/>
    </row>
    <row r="29" spans="1:23">
      <c r="A29" s="56">
        <v>43371</v>
      </c>
      <c r="B29" s="156">
        <v>1.1240000000000001</v>
      </c>
      <c r="C29" s="57"/>
      <c r="D29" s="59">
        <f t="shared" ca="1" si="8"/>
        <v>6255.8613156872325</v>
      </c>
      <c r="E29" s="65">
        <f t="shared" ca="1" si="9"/>
        <v>1</v>
      </c>
      <c r="F29" s="65">
        <f t="shared" ca="1" si="10"/>
        <v>28</v>
      </c>
      <c r="G29" s="28">
        <f t="shared" ca="1" si="11"/>
        <v>0.32824973233224752</v>
      </c>
      <c r="H29" s="28">
        <f ca="1">R29/MAX(M$2:M28)</f>
        <v>0.32824973233224741</v>
      </c>
      <c r="I29" s="59">
        <f t="shared" ca="1" si="12"/>
        <v>28000</v>
      </c>
      <c r="J29" s="59">
        <f t="shared" ca="1" si="13"/>
        <v>-960.77870025765515</v>
      </c>
      <c r="K29" s="59">
        <f t="shared" ca="1" si="14"/>
        <v>-960.77870025765515</v>
      </c>
      <c r="L29" s="59">
        <f t="shared" ca="1" si="15"/>
        <v>25552.789613517711</v>
      </c>
      <c r="M29" s="59">
        <f t="shared" ca="1" si="16"/>
        <v>25552.789613517711</v>
      </c>
      <c r="N29" s="59">
        <f t="shared" ca="1" si="17"/>
        <v>-854.78532051392801</v>
      </c>
      <c r="O29" s="59">
        <f t="shared" ca="1" si="18"/>
        <v>24911.032028469748</v>
      </c>
      <c r="P29" s="59">
        <f t="shared" ca="1" si="19"/>
        <v>34255.861315687231</v>
      </c>
      <c r="Q29" s="59">
        <f t="shared" ca="1" si="20"/>
        <v>8703.07170216952</v>
      </c>
      <c r="R29" s="59">
        <f t="shared" ca="1" si="7"/>
        <v>8703.07170216952</v>
      </c>
      <c r="S29" s="59">
        <f t="shared" ca="1" si="21"/>
        <v>-960.77870025765515</v>
      </c>
      <c r="U29" s="17"/>
    </row>
    <row r="30" spans="1:23">
      <c r="A30" s="56">
        <v>43404</v>
      </c>
      <c r="B30" s="156">
        <v>0.83</v>
      </c>
      <c r="C30" s="57"/>
      <c r="D30" s="59">
        <f t="shared" ca="1" si="8"/>
        <v>6255.8613156872325</v>
      </c>
      <c r="E30" s="65">
        <f t="shared" ca="1" si="9"/>
        <v>1</v>
      </c>
      <c r="F30" s="65">
        <f t="shared" ca="1" si="10"/>
        <v>29</v>
      </c>
      <c r="G30" s="28">
        <f t="shared" ca="1" si="11"/>
        <v>5.2019715697144392E-2</v>
      </c>
      <c r="H30" s="28">
        <f ca="1">R30/MAX(M$2:M29)</f>
        <v>5.2019715697144392E-2</v>
      </c>
      <c r="I30" s="59">
        <f t="shared" ca="1" si="12"/>
        <v>29000</v>
      </c>
      <c r="J30" s="59">
        <f t="shared" ca="1" si="13"/>
        <v>8323.8434163701095</v>
      </c>
      <c r="K30" s="59">
        <f t="shared" ca="1" si="14"/>
        <v>5000</v>
      </c>
      <c r="L30" s="59">
        <f t="shared" ca="1" si="15"/>
        <v>30552.789613517711</v>
      </c>
      <c r="M30" s="59">
        <f t="shared" ca="1" si="16"/>
        <v>30552.789613517711</v>
      </c>
      <c r="N30" s="59">
        <f t="shared" ca="1" si="17"/>
        <v>6024.0963855421687</v>
      </c>
      <c r="O30" s="59">
        <f t="shared" ca="1" si="18"/>
        <v>30935.128414011917</v>
      </c>
      <c r="P30" s="59">
        <f t="shared" ca="1" si="19"/>
        <v>31932.017899317121</v>
      </c>
      <c r="Q30" s="59">
        <f t="shared" ca="1" si="20"/>
        <v>1379.2282857994105</v>
      </c>
      <c r="R30" s="59">
        <f t="shared" ca="1" si="7"/>
        <v>1379.2282857994105</v>
      </c>
      <c r="S30" s="59">
        <f t="shared" ca="1" si="21"/>
        <v>5000</v>
      </c>
      <c r="U30" s="17"/>
    </row>
    <row r="31" spans="1:23">
      <c r="A31" s="56">
        <v>43434</v>
      </c>
      <c r="B31" s="156">
        <v>0.89029999999999998</v>
      </c>
      <c r="C31" s="57"/>
      <c r="D31" s="59">
        <f t="shared" ca="1" si="8"/>
        <v>6255.8613156872325</v>
      </c>
      <c r="E31" s="65">
        <f t="shared" ca="1" si="9"/>
        <v>1</v>
      </c>
      <c r="F31" s="65">
        <f t="shared" ca="1" si="10"/>
        <v>30</v>
      </c>
      <c r="G31" s="28">
        <f t="shared" ca="1" si="11"/>
        <v>0.10619706318825921</v>
      </c>
      <c r="H31" s="28">
        <f ca="1">R31/MAX(M$2:M30)</f>
        <v>0.1061970631882591</v>
      </c>
      <c r="I31" s="59">
        <f t="shared" ca="1" si="12"/>
        <v>30000</v>
      </c>
      <c r="J31" s="59">
        <f t="shared" ca="1" si="13"/>
        <v>2458.4551730051899</v>
      </c>
      <c r="K31" s="59">
        <f t="shared" ca="1" si="14"/>
        <v>2458.4551730051899</v>
      </c>
      <c r="L31" s="59">
        <f t="shared" ca="1" si="15"/>
        <v>33011.244786522904</v>
      </c>
      <c r="M31" s="59">
        <f t="shared" ca="1" si="16"/>
        <v>33011.244786522904</v>
      </c>
      <c r="N31" s="59">
        <f t="shared" ca="1" si="17"/>
        <v>2761.3783814502863</v>
      </c>
      <c r="O31" s="59">
        <f t="shared" ca="1" si="18"/>
        <v>33696.506795462206</v>
      </c>
      <c r="P31" s="59">
        <f t="shared" ca="1" si="19"/>
        <v>36255.861315687231</v>
      </c>
      <c r="Q31" s="59">
        <f t="shared" ca="1" si="20"/>
        <v>3244.6165291643265</v>
      </c>
      <c r="R31" s="59">
        <f t="shared" ca="1" si="7"/>
        <v>3244.6165291643265</v>
      </c>
      <c r="S31" s="59">
        <f t="shared" ca="1" si="21"/>
        <v>2458.4551730051899</v>
      </c>
      <c r="U31" s="17"/>
    </row>
    <row r="32" spans="1:23">
      <c r="A32" s="56">
        <v>43462</v>
      </c>
      <c r="B32" s="156">
        <v>0.84840000000000004</v>
      </c>
      <c r="C32" s="57">
        <v>2.2649099999999998E-2</v>
      </c>
      <c r="D32" s="59">
        <f t="shared" ca="1" si="8"/>
        <v>7019.0568677483352</v>
      </c>
      <c r="E32" s="65">
        <f t="shared" ca="1" si="9"/>
        <v>1</v>
      </c>
      <c r="F32" s="65">
        <f t="shared" ca="1" si="10"/>
        <v>31</v>
      </c>
      <c r="G32" s="28">
        <f t="shared" ca="1" si="11"/>
        <v>7.8637702494496017E-2</v>
      </c>
      <c r="H32" s="28">
        <f ca="1">R32/MAX(M$2:M31)</f>
        <v>7.8637702494496017E-2</v>
      </c>
      <c r="I32" s="59">
        <f t="shared" ca="1" si="12"/>
        <v>31000</v>
      </c>
      <c r="J32" s="59">
        <f t="shared" ca="1" si="13"/>
        <v>2411.8836347298638</v>
      </c>
      <c r="K32" s="59">
        <f t="shared" ca="1" si="14"/>
        <v>2411.8836347298638</v>
      </c>
      <c r="L32" s="59">
        <f t="shared" ca="1" si="15"/>
        <v>35423.128421252768</v>
      </c>
      <c r="M32" s="59">
        <f t="shared" ca="1" si="16"/>
        <v>35423.128421252768</v>
      </c>
      <c r="N32" s="59">
        <f t="shared" ca="1" si="17"/>
        <v>2842.8614270743324</v>
      </c>
      <c r="O32" s="59">
        <f t="shared" ca="1" si="18"/>
        <v>36539.368222536541</v>
      </c>
      <c r="P32" s="59">
        <f t="shared" ca="1" si="19"/>
        <v>38019.056867748339</v>
      </c>
      <c r="Q32" s="59">
        <f t="shared" ca="1" si="20"/>
        <v>2595.9284464955708</v>
      </c>
      <c r="R32" s="59">
        <f t="shared" ca="1" si="7"/>
        <v>2595.9284464955708</v>
      </c>
      <c r="S32" s="59">
        <f t="shared" ca="1" si="21"/>
        <v>2411.8836347298638</v>
      </c>
      <c r="U32" s="17"/>
    </row>
    <row r="33" spans="1:23">
      <c r="A33" s="56">
        <v>43496</v>
      </c>
      <c r="B33" s="156">
        <v>0.93669999999999998</v>
      </c>
      <c r="C33" s="57"/>
      <c r="D33" s="59">
        <f t="shared" ca="1" si="8"/>
        <v>7019.0568677483352</v>
      </c>
      <c r="E33" s="65">
        <f t="shared" ca="1" si="9"/>
        <v>1</v>
      </c>
      <c r="F33" s="65">
        <f t="shared" ca="1" si="10"/>
        <v>32</v>
      </c>
      <c r="G33" s="28">
        <f t="shared" ca="1" si="11"/>
        <v>0.16436590781327823</v>
      </c>
      <c r="H33" s="28">
        <f ca="1">R33/MAX(M$2:M32)</f>
        <v>0.16436590781327803</v>
      </c>
      <c r="I33" s="59">
        <f t="shared" ca="1" si="12"/>
        <v>32000</v>
      </c>
      <c r="J33" s="59">
        <f t="shared" ca="1" si="13"/>
        <v>-2226.4262140499777</v>
      </c>
      <c r="K33" s="59">
        <f t="shared" ca="1" si="14"/>
        <v>-2226.4262140499777</v>
      </c>
      <c r="L33" s="59">
        <f t="shared" ca="1" si="15"/>
        <v>33196.70220720279</v>
      </c>
      <c r="M33" s="59">
        <f t="shared" ca="1" si="16"/>
        <v>33196.70220720279</v>
      </c>
      <c r="N33" s="59">
        <f t="shared" ca="1" si="17"/>
        <v>-2376.882901729452</v>
      </c>
      <c r="O33" s="59">
        <f t="shared" ca="1" si="18"/>
        <v>34162.485320807085</v>
      </c>
      <c r="P33" s="59">
        <f t="shared" ca="1" si="19"/>
        <v>39019.056867748332</v>
      </c>
      <c r="Q33" s="59">
        <f t="shared" ca="1" si="20"/>
        <v>5822.3546605455413</v>
      </c>
      <c r="R33" s="59">
        <f t="shared" ca="1" si="7"/>
        <v>5822.3546605455413</v>
      </c>
      <c r="S33" s="59">
        <f t="shared" ca="1" si="21"/>
        <v>-2226.4262140499777</v>
      </c>
      <c r="U33" s="96"/>
      <c r="V33" s="67"/>
      <c r="W33" s="67"/>
    </row>
    <row r="34" spans="1:23">
      <c r="A34" s="56">
        <v>43524</v>
      </c>
      <c r="B34" s="156">
        <v>1.0810999999999999</v>
      </c>
      <c r="C34" s="57"/>
      <c r="D34" s="59">
        <f t="shared" ca="1" si="8"/>
        <v>7019.0568677483352</v>
      </c>
      <c r="E34" s="65">
        <f t="shared" ca="1" si="9"/>
        <v>1</v>
      </c>
      <c r="F34" s="65">
        <f t="shared" ca="1" si="10"/>
        <v>33</v>
      </c>
      <c r="G34" s="28">
        <f t="shared" ca="1" si="11"/>
        <v>0.3036269810211672</v>
      </c>
      <c r="H34" s="28">
        <f ca="1">R34/MAX(M$2:M33)</f>
        <v>0.30362698102116742</v>
      </c>
      <c r="I34" s="59">
        <f t="shared" ca="1" si="12"/>
        <v>33000</v>
      </c>
      <c r="J34" s="59">
        <f t="shared" ca="1" si="13"/>
        <v>-3933.0628803245418</v>
      </c>
      <c r="K34" s="59">
        <f t="shared" ca="1" si="14"/>
        <v>-3933.0628803245418</v>
      </c>
      <c r="L34" s="59">
        <f t="shared" ca="1" si="15"/>
        <v>29263.639326878249</v>
      </c>
      <c r="M34" s="59">
        <f t="shared" ca="1" si="16"/>
        <v>29263.639326878249</v>
      </c>
      <c r="N34" s="59">
        <f t="shared" ca="1" si="17"/>
        <v>-3638.0194989589695</v>
      </c>
      <c r="O34" s="59">
        <f t="shared" ca="1" si="18"/>
        <v>30524.465821848116</v>
      </c>
      <c r="P34" s="59">
        <f t="shared" ca="1" si="19"/>
        <v>40019.056867748339</v>
      </c>
      <c r="Q34" s="59">
        <f t="shared" ca="1" si="20"/>
        <v>10755.41754087009</v>
      </c>
      <c r="R34" s="59">
        <f t="shared" ca="1" si="7"/>
        <v>10755.41754087009</v>
      </c>
      <c r="S34" s="59">
        <f t="shared" ca="1" si="21"/>
        <v>-3933.0628803245418</v>
      </c>
      <c r="U34" s="96"/>
      <c r="V34" s="67"/>
      <c r="W34" s="67"/>
    </row>
    <row r="35" spans="1:23">
      <c r="A35" s="56">
        <v>43553</v>
      </c>
      <c r="B35" s="156">
        <v>1.3327</v>
      </c>
      <c r="C35" s="57"/>
      <c r="D35" s="59">
        <f t="shared" ca="1" si="8"/>
        <v>7019.0568677483352</v>
      </c>
      <c r="E35" s="65">
        <f t="shared" ca="1" si="9"/>
        <v>1</v>
      </c>
      <c r="F35" s="65">
        <f t="shared" ca="1" si="10"/>
        <v>34</v>
      </c>
      <c r="G35" s="28">
        <f t="shared" ca="1" si="11"/>
        <v>0.52043323001890562</v>
      </c>
      <c r="H35" s="28">
        <f ca="1">R35/MAX(M$2:M34)</f>
        <v>0.52043323001890562</v>
      </c>
      <c r="I35" s="59">
        <f t="shared" ca="1" si="12"/>
        <v>34000</v>
      </c>
      <c r="J35" s="59">
        <f t="shared" ca="1" si="13"/>
        <v>-6679.9556007769861</v>
      </c>
      <c r="K35" s="59">
        <f t="shared" ca="1" si="14"/>
        <v>-5000</v>
      </c>
      <c r="L35" s="59">
        <f t="shared" ca="1" si="15"/>
        <v>24263.639326878249</v>
      </c>
      <c r="M35" s="59">
        <f t="shared" ca="1" si="16"/>
        <v>24263.639326878249</v>
      </c>
      <c r="N35" s="59">
        <f t="shared" ca="1" si="17"/>
        <v>-3751.7820964958355</v>
      </c>
      <c r="O35" s="59">
        <f t="shared" ca="1" si="18"/>
        <v>26772.683725352283</v>
      </c>
      <c r="P35" s="59">
        <f t="shared" ca="1" si="19"/>
        <v>42699.012468525325</v>
      </c>
      <c r="Q35" s="59">
        <f t="shared" ca="1" si="20"/>
        <v>18435.373141647076</v>
      </c>
      <c r="R35" s="59">
        <f t="shared" ca="1" si="7"/>
        <v>18435.373141647076</v>
      </c>
      <c r="S35" s="59">
        <f t="shared" ca="1" si="21"/>
        <v>-5000</v>
      </c>
      <c r="U35" s="96"/>
      <c r="V35" s="67"/>
      <c r="W35" s="67"/>
    </row>
    <row r="36" spans="1:23">
      <c r="A36" s="56">
        <v>43585</v>
      </c>
      <c r="B36" s="156">
        <v>1.3898212728857893</v>
      </c>
      <c r="C36" s="57"/>
      <c r="D36" s="59">
        <f t="shared" ca="1" si="8"/>
        <v>7019.0568677483352</v>
      </c>
      <c r="E36" s="65">
        <f t="shared" ca="1" si="9"/>
        <v>1</v>
      </c>
      <c r="F36" s="65">
        <f t="shared" ca="1" si="10"/>
        <v>35</v>
      </c>
      <c r="G36" s="28">
        <f t="shared" ca="1" si="11"/>
        <v>0.56360529982523178</v>
      </c>
      <c r="H36" s="28">
        <f ca="1">R36/MAX(M$2:M35)</f>
        <v>0.56360529982523178</v>
      </c>
      <c r="I36" s="59">
        <f t="shared" ca="1" si="12"/>
        <v>35000</v>
      </c>
      <c r="J36" s="59">
        <f t="shared" ca="1" si="13"/>
        <v>-2209.2453737377655</v>
      </c>
      <c r="K36" s="59">
        <f t="shared" ca="1" si="14"/>
        <v>-2209.2453737377655</v>
      </c>
      <c r="L36" s="59">
        <f t="shared" ca="1" si="15"/>
        <v>22054.393953140483</v>
      </c>
      <c r="M36" s="59">
        <f t="shared" ca="1" si="16"/>
        <v>22054.393953140483</v>
      </c>
      <c r="N36" s="59">
        <f t="shared" ca="1" si="17"/>
        <v>-1589.5895514324263</v>
      </c>
      <c r="O36" s="59">
        <f t="shared" ca="1" si="18"/>
        <v>25183.094173919857</v>
      </c>
      <c r="P36" s="59">
        <f t="shared" ca="1" si="19"/>
        <v>42019.056867748339</v>
      </c>
      <c r="Q36" s="59">
        <f t="shared" ca="1" si="20"/>
        <v>19964.662914607856</v>
      </c>
      <c r="R36" s="59">
        <f t="shared" ca="1" si="7"/>
        <v>19964.662914607856</v>
      </c>
      <c r="S36" s="59">
        <f t="shared" ca="1" si="21"/>
        <v>-2209.2453737377655</v>
      </c>
      <c r="U36" s="96"/>
      <c r="V36" s="67"/>
      <c r="W36" s="67"/>
    </row>
    <row r="37" spans="1:23">
      <c r="A37" s="56">
        <v>43616</v>
      </c>
      <c r="B37" s="156">
        <v>1.3104</v>
      </c>
      <c r="C37" s="57"/>
      <c r="D37" s="59">
        <f t="shared" ca="1" si="8"/>
        <v>7019.0568677483352</v>
      </c>
      <c r="E37" s="65">
        <f t="shared" ca="1" si="9"/>
        <v>1</v>
      </c>
      <c r="F37" s="65">
        <f t="shared" ca="1" si="10"/>
        <v>36</v>
      </c>
      <c r="G37" s="28">
        <f t="shared" ca="1" si="11"/>
        <v>0.50714294080627387</v>
      </c>
      <c r="H37" s="28">
        <f ca="1">R37/MAX(M$2:M36)</f>
        <v>0.50714294080627409</v>
      </c>
      <c r="I37" s="59">
        <f t="shared" ca="1" si="12"/>
        <v>36000</v>
      </c>
      <c r="J37" s="59">
        <f t="shared" ca="1" si="13"/>
        <v>3000.0733944954191</v>
      </c>
      <c r="K37" s="59">
        <f t="shared" ca="1" si="14"/>
        <v>3000.0733944954191</v>
      </c>
      <c r="L37" s="59">
        <f t="shared" ca="1" si="15"/>
        <v>25054.467347635902</v>
      </c>
      <c r="M37" s="59">
        <f t="shared" ca="1" si="16"/>
        <v>25054.467347635902</v>
      </c>
      <c r="N37" s="59">
        <f t="shared" ca="1" si="17"/>
        <v>2289.4332986076151</v>
      </c>
      <c r="O37" s="59">
        <f t="shared" ca="1" si="18"/>
        <v>27472.527472527472</v>
      </c>
      <c r="P37" s="59">
        <f t="shared" ca="1" si="19"/>
        <v>43019.056867748339</v>
      </c>
      <c r="Q37" s="59">
        <f t="shared" ca="1" si="20"/>
        <v>17964.589520112437</v>
      </c>
      <c r="R37" s="59">
        <f t="shared" ca="1" si="7"/>
        <v>17964.589520112437</v>
      </c>
      <c r="S37" s="59">
        <f t="shared" ca="1" si="21"/>
        <v>3000.0733944954191</v>
      </c>
      <c r="U37" s="96"/>
      <c r="V37" s="67"/>
      <c r="W37" s="67"/>
    </row>
    <row r="38" spans="1:23">
      <c r="A38" s="56">
        <v>43644</v>
      </c>
      <c r="B38" s="156">
        <v>1.4739</v>
      </c>
      <c r="C38" s="57"/>
      <c r="D38" s="59">
        <f t="shared" ca="1" si="8"/>
        <v>7019.0568677483352</v>
      </c>
      <c r="E38" s="65">
        <f t="shared" ca="1" si="9"/>
        <v>1</v>
      </c>
      <c r="F38" s="65">
        <f t="shared" ca="1" si="10"/>
        <v>37</v>
      </c>
      <c r="G38" s="28">
        <f t="shared" ca="1" si="11"/>
        <v>0.6339459207221676</v>
      </c>
      <c r="H38" s="28">
        <f ca="1">R38/MAX(M$2:M37)</f>
        <v>0.63394592072216771</v>
      </c>
      <c r="I38" s="59">
        <f t="shared" ca="1" si="12"/>
        <v>37000</v>
      </c>
      <c r="J38" s="59">
        <f t="shared" ca="1" si="13"/>
        <v>-3491.758241758238</v>
      </c>
      <c r="K38" s="59">
        <f t="shared" ca="1" si="14"/>
        <v>-3491.758241758238</v>
      </c>
      <c r="L38" s="59">
        <f t="shared" ca="1" si="15"/>
        <v>21562.709105877664</v>
      </c>
      <c r="M38" s="59">
        <f t="shared" ca="1" si="16"/>
        <v>21562.709105877664</v>
      </c>
      <c r="N38" s="59">
        <f t="shared" ca="1" si="17"/>
        <v>-2369.0604801942045</v>
      </c>
      <c r="O38" s="59">
        <f t="shared" ca="1" si="18"/>
        <v>25103.466992333269</v>
      </c>
      <c r="P38" s="59">
        <f t="shared" ca="1" si="19"/>
        <v>44019.056867748339</v>
      </c>
      <c r="Q38" s="59">
        <f t="shared" ca="1" si="20"/>
        <v>22456.347761870675</v>
      </c>
      <c r="R38" s="59">
        <f t="shared" ca="1" si="7"/>
        <v>22456.347761870675</v>
      </c>
      <c r="S38" s="59">
        <f t="shared" ca="1" si="21"/>
        <v>-3491.758241758238</v>
      </c>
      <c r="U38" s="96"/>
      <c r="V38" s="67"/>
      <c r="W38" s="67"/>
    </row>
    <row r="39" spans="1:23">
      <c r="A39" s="56">
        <v>43677</v>
      </c>
      <c r="B39" s="156">
        <v>0.80700000000000005</v>
      </c>
      <c r="C39" s="57">
        <v>0.55689999999999995</v>
      </c>
      <c r="D39" s="59">
        <f t="shared" ca="1" si="8"/>
        <v>20999.177635778731</v>
      </c>
      <c r="E39" s="65">
        <f t="shared" ca="1" si="9"/>
        <v>1</v>
      </c>
      <c r="F39" s="65">
        <f t="shared" ca="1" si="10"/>
        <v>38</v>
      </c>
      <c r="G39" s="28">
        <f t="shared" ca="1" si="11"/>
        <v>0.55599172829968491</v>
      </c>
      <c r="H39" s="28">
        <f ca="1">R39/MAX(M$2:M38)</f>
        <v>0.55599172829968491</v>
      </c>
      <c r="I39" s="59">
        <f t="shared" ca="1" si="12"/>
        <v>38000</v>
      </c>
      <c r="J39" s="59">
        <f t="shared" ca="1" si="13"/>
        <v>17741.50213718705</v>
      </c>
      <c r="K39" s="59">
        <f t="shared" ca="1" si="14"/>
        <v>5000</v>
      </c>
      <c r="L39" s="59">
        <f t="shared" ca="1" si="15"/>
        <v>26562.709105877664</v>
      </c>
      <c r="M39" s="59">
        <f t="shared" ca="1" si="16"/>
        <v>26562.709105877664</v>
      </c>
      <c r="N39" s="59">
        <f t="shared" ca="1" si="17"/>
        <v>6195.7868649318461</v>
      </c>
      <c r="O39" s="59">
        <f t="shared" ca="1" si="18"/>
        <v>31299.253857265117</v>
      </c>
      <c r="P39" s="59">
        <f t="shared" ca="1" si="19"/>
        <v>46257.675498591678</v>
      </c>
      <c r="Q39" s="59">
        <f t="shared" ca="1" si="20"/>
        <v>19694.966392714014</v>
      </c>
      <c r="R39" s="59">
        <f t="shared" ca="1" si="7"/>
        <v>19694.966392714014</v>
      </c>
      <c r="S39" s="59">
        <f t="shared" ca="1" si="21"/>
        <v>5000</v>
      </c>
      <c r="U39" s="96"/>
      <c r="V39" s="67"/>
      <c r="W39" s="67"/>
    </row>
    <row r="40" spans="1:23">
      <c r="A40" s="56">
        <v>43707</v>
      </c>
      <c r="B40" s="156">
        <v>1.0299</v>
      </c>
      <c r="C40" s="57"/>
      <c r="D40" s="59">
        <f t="shared" ca="1" si="8"/>
        <v>20999.177635778731</v>
      </c>
      <c r="E40" s="65">
        <f t="shared" ca="1" si="9"/>
        <v>1</v>
      </c>
      <c r="F40" s="65">
        <f t="shared" ca="1" si="10"/>
        <v>39</v>
      </c>
      <c r="G40" s="28">
        <f t="shared" ca="1" si="11"/>
        <v>0.75294225174917939</v>
      </c>
      <c r="H40" s="28">
        <f ca="1">R40/MAX(M$2:M39)</f>
        <v>0.75294225174917939</v>
      </c>
      <c r="I40" s="59">
        <f t="shared" ca="1" si="12"/>
        <v>39000</v>
      </c>
      <c r="J40" s="59">
        <f t="shared" ca="1" si="13"/>
        <v>6764.8984524026528</v>
      </c>
      <c r="K40" s="59">
        <f t="shared" ca="1" si="14"/>
        <v>5000</v>
      </c>
      <c r="L40" s="59">
        <f t="shared" ca="1" si="15"/>
        <v>31562.709105877664</v>
      </c>
      <c r="M40" s="59">
        <f t="shared" ca="1" si="16"/>
        <v>31562.709105877664</v>
      </c>
      <c r="N40" s="59">
        <f t="shared" ca="1" si="17"/>
        <v>4854.8402757549275</v>
      </c>
      <c r="O40" s="59">
        <f t="shared" ca="1" si="18"/>
        <v>36154.094133020044</v>
      </c>
      <c r="P40" s="59">
        <f t="shared" ca="1" si="19"/>
        <v>58234.279183376078</v>
      </c>
      <c r="Q40" s="59">
        <f t="shared" ca="1" si="20"/>
        <v>26671.570077498414</v>
      </c>
      <c r="R40" s="59">
        <f t="shared" ca="1" si="7"/>
        <v>26671.570077498414</v>
      </c>
      <c r="S40" s="59">
        <f t="shared" ca="1" si="21"/>
        <v>5000</v>
      </c>
      <c r="U40" s="96"/>
      <c r="V40" s="67"/>
      <c r="W40" s="67"/>
    </row>
    <row r="41" spans="1:23">
      <c r="A41" s="56">
        <v>43738</v>
      </c>
      <c r="B41" s="156">
        <v>0.98950000000000005</v>
      </c>
      <c r="C41" s="57"/>
      <c r="D41" s="59">
        <f t="shared" ca="1" si="8"/>
        <v>20999.177635778731</v>
      </c>
      <c r="E41" s="65">
        <f t="shared" ca="1" si="9"/>
        <v>1</v>
      </c>
      <c r="F41" s="65">
        <f t="shared" ca="1" si="10"/>
        <v>40</v>
      </c>
      <c r="G41" s="28">
        <f t="shared" ca="1" si="11"/>
        <v>0.71170858696372585</v>
      </c>
      <c r="H41" s="28">
        <f ca="1">R41/MAX(M$2:M40)</f>
        <v>0.71170858696372585</v>
      </c>
      <c r="I41" s="59">
        <f t="shared" ca="1" si="12"/>
        <v>40000</v>
      </c>
      <c r="J41" s="59">
        <f t="shared" ca="1" si="13"/>
        <v>4225.5238553766612</v>
      </c>
      <c r="K41" s="59">
        <f t="shared" ca="1" si="14"/>
        <v>4225.5238553766612</v>
      </c>
      <c r="L41" s="59">
        <f t="shared" ca="1" si="15"/>
        <v>35788.232961254325</v>
      </c>
      <c r="M41" s="59">
        <f t="shared" ca="1" si="16"/>
        <v>35788.232961254325</v>
      </c>
      <c r="N41" s="59">
        <f t="shared" ca="1" si="17"/>
        <v>4270.3626633417498</v>
      </c>
      <c r="O41" s="59">
        <f t="shared" ca="1" si="18"/>
        <v>40424.456796361796</v>
      </c>
      <c r="P41" s="59">
        <f t="shared" ca="1" si="19"/>
        <v>60999.177635778731</v>
      </c>
      <c r="Q41" s="59">
        <f t="shared" ca="1" si="20"/>
        <v>25210.944674524406</v>
      </c>
      <c r="R41" s="59">
        <f t="shared" ca="1" si="7"/>
        <v>25210.944674524406</v>
      </c>
      <c r="S41" s="59">
        <f t="shared" ca="1" si="21"/>
        <v>4225.5238553766612</v>
      </c>
      <c r="U41" s="96"/>
      <c r="V41" s="67"/>
      <c r="W41" s="67"/>
    </row>
    <row r="42" spans="1:23">
      <c r="A42" s="56">
        <v>43769</v>
      </c>
      <c r="B42" s="156">
        <v>0.98229999999999995</v>
      </c>
      <c r="C42" s="57"/>
      <c r="D42" s="59">
        <f t="shared" ca="1" si="8"/>
        <v>20999.177635778731</v>
      </c>
      <c r="E42" s="65">
        <f t="shared" ca="1" si="9"/>
        <v>1</v>
      </c>
      <c r="F42" s="65">
        <f t="shared" ca="1" si="10"/>
        <v>41</v>
      </c>
      <c r="G42" s="28">
        <f t="shared" ca="1" si="11"/>
        <v>0.6963151439348737</v>
      </c>
      <c r="H42" s="28">
        <f ca="1">R42/MAX(M$2:M41)</f>
        <v>0.6963151439348737</v>
      </c>
      <c r="I42" s="59">
        <f t="shared" ca="1" si="12"/>
        <v>41000</v>
      </c>
      <c r="J42" s="59">
        <f t="shared" ca="1" si="13"/>
        <v>1291.0560889338085</v>
      </c>
      <c r="K42" s="59">
        <f t="shared" ca="1" si="14"/>
        <v>1291.0560889338085</v>
      </c>
      <c r="L42" s="59">
        <f t="shared" ca="1" si="15"/>
        <v>37079.289050188134</v>
      </c>
      <c r="M42" s="59">
        <f t="shared" ca="1" si="16"/>
        <v>37079.289050188134</v>
      </c>
      <c r="N42" s="59">
        <f t="shared" ca="1" si="17"/>
        <v>1314.3195448781519</v>
      </c>
      <c r="O42" s="59">
        <f t="shared" ca="1" si="18"/>
        <v>41738.776341239951</v>
      </c>
      <c r="P42" s="59">
        <f t="shared" ca="1" si="19"/>
        <v>61999.177635778731</v>
      </c>
      <c r="Q42" s="59">
        <f t="shared" ca="1" si="20"/>
        <v>24919.888585590597</v>
      </c>
      <c r="R42" s="59">
        <f t="shared" ca="1" si="7"/>
        <v>24919.888585590597</v>
      </c>
      <c r="S42" s="59">
        <f t="shared" ca="1" si="21"/>
        <v>1291.0560889338085</v>
      </c>
      <c r="U42" s="96"/>
      <c r="V42" s="67"/>
      <c r="W42" s="67"/>
    </row>
    <row r="43" spans="1:23">
      <c r="A43" s="56">
        <v>43798</v>
      </c>
      <c r="B43" s="156">
        <v>0.96860000000000002</v>
      </c>
      <c r="C43" s="57"/>
      <c r="D43" s="59">
        <f t="shared" ca="1" si="8"/>
        <v>20999.177635778731</v>
      </c>
      <c r="E43" s="65">
        <f t="shared" ca="1" si="9"/>
        <v>1</v>
      </c>
      <c r="F43" s="65">
        <f t="shared" ca="1" si="10"/>
        <v>42</v>
      </c>
      <c r="G43" s="28">
        <f t="shared" ca="1" si="11"/>
        <v>0.65664871073335962</v>
      </c>
      <c r="H43" s="28">
        <f ca="1">R43/MAX(M$2:M42)</f>
        <v>0.65664871073335962</v>
      </c>
      <c r="I43" s="59">
        <f t="shared" ca="1" si="12"/>
        <v>42000</v>
      </c>
      <c r="J43" s="59">
        <f t="shared" ca="1" si="13"/>
        <v>1571.8212358749806</v>
      </c>
      <c r="K43" s="59">
        <f t="shared" ca="1" si="14"/>
        <v>1571.8212358749806</v>
      </c>
      <c r="L43" s="59">
        <f t="shared" ca="1" si="15"/>
        <v>38651.110286063114</v>
      </c>
      <c r="M43" s="59">
        <f t="shared" ca="1" si="16"/>
        <v>38651.110286063114</v>
      </c>
      <c r="N43" s="59">
        <f t="shared" ca="1" si="17"/>
        <v>1622.7764153158998</v>
      </c>
      <c r="O43" s="59">
        <f t="shared" ca="1" si="18"/>
        <v>43361.552756555851</v>
      </c>
      <c r="P43" s="59">
        <f t="shared" ca="1" si="19"/>
        <v>62999.177635778731</v>
      </c>
      <c r="Q43" s="59">
        <f t="shared" ca="1" si="20"/>
        <v>24348.067349715617</v>
      </c>
      <c r="R43" s="59">
        <f t="shared" ca="1" si="7"/>
        <v>24348.067349715617</v>
      </c>
      <c r="S43" s="59">
        <f t="shared" ca="1" si="21"/>
        <v>1571.8212358749806</v>
      </c>
      <c r="U43" s="96"/>
      <c r="V43" s="67"/>
      <c r="W43" s="67"/>
    </row>
    <row r="44" spans="1:23">
      <c r="A44" s="56">
        <v>43830</v>
      </c>
      <c r="B44" s="156">
        <v>1.0073000000000001</v>
      </c>
      <c r="C44" s="57">
        <v>1.0324429999999999E-2</v>
      </c>
      <c r="D44" s="59">
        <f t="shared" ca="1" si="8"/>
        <v>21446.860951905099</v>
      </c>
      <c r="E44" s="65">
        <f t="shared" ca="1" si="9"/>
        <v>1</v>
      </c>
      <c r="F44" s="65">
        <f t="shared" ca="1" si="10"/>
        <v>43</v>
      </c>
      <c r="G44" s="28">
        <f t="shared" ca="1" si="11"/>
        <v>0.68494391394150145</v>
      </c>
      <c r="H44" s="28">
        <f ca="1">R44/MAX(M$2:M43)</f>
        <v>0.68494391394150145</v>
      </c>
      <c r="I44" s="59">
        <f t="shared" ca="1" si="12"/>
        <v>43000</v>
      </c>
      <c r="J44" s="59">
        <f t="shared" ca="1" si="13"/>
        <v>-678.0920916787145</v>
      </c>
      <c r="K44" s="59">
        <f t="shared" ca="1" si="14"/>
        <v>-678.0920916787145</v>
      </c>
      <c r="L44" s="59">
        <f t="shared" ca="1" si="15"/>
        <v>37973.0181943844</v>
      </c>
      <c r="M44" s="59">
        <f t="shared" ca="1" si="16"/>
        <v>37973.0181943844</v>
      </c>
      <c r="N44" s="59">
        <f t="shared" ca="1" si="17"/>
        <v>-673.17789305938095</v>
      </c>
      <c r="O44" s="59">
        <f t="shared" ca="1" si="18"/>
        <v>42688.374863496472</v>
      </c>
      <c r="P44" s="59">
        <f t="shared" ca="1" si="19"/>
        <v>64446.860951905095</v>
      </c>
      <c r="Q44" s="59">
        <f t="shared" ca="1" si="20"/>
        <v>26473.842757520695</v>
      </c>
      <c r="R44" s="59">
        <f t="shared" ca="1" si="7"/>
        <v>26473.842757520695</v>
      </c>
      <c r="S44" s="59">
        <f t="shared" ca="1" si="21"/>
        <v>-678.0920916787145</v>
      </c>
      <c r="U44" s="96"/>
      <c r="V44" s="67"/>
      <c r="W44" s="67"/>
    </row>
    <row r="45" spans="1:23">
      <c r="A45" s="56">
        <v>43853</v>
      </c>
      <c r="B45" s="156">
        <v>0.96750000000000003</v>
      </c>
      <c r="C45" s="57"/>
      <c r="D45" s="59">
        <f t="shared" ref="D45:D46" ca="1" si="22">C45*O44+IF(E45&gt;E44,0,D44)</f>
        <v>21446.860951905099</v>
      </c>
      <c r="E45" s="65">
        <f t="shared" ref="E45:E46" ca="1" si="23">IF(AND(G43&lt;W$6,G44&gt;W$6),E44+1,E44)</f>
        <v>1</v>
      </c>
      <c r="F45" s="65">
        <f t="shared" ref="F45:F46" ca="1" si="24">IF(E45&gt;E44,1,F44+1)</f>
        <v>44</v>
      </c>
      <c r="G45" s="28">
        <f t="shared" ref="G45:G46" ca="1" si="25">IF(E45&gt;E44,0,((O44*B45+D45)-L44)/MAX(OFFSET(L44,0,0,-F45+1,1)))</f>
        <v>0.64098664319319409</v>
      </c>
      <c r="H45" s="28">
        <f ca="1">R45/MAX(M$2:M44)</f>
        <v>0.64098664319319409</v>
      </c>
      <c r="I45" s="59">
        <f t="shared" ref="I45:I46" ca="1" si="26">IF(E44&lt;&gt;E45,W$2,(I$2*(1+W$3/365.25)^(A45-A$2)))+I44</f>
        <v>44000</v>
      </c>
      <c r="J45" s="59">
        <f t="shared" ref="J45:J46" ca="1" si="27">I45-O44*B45</f>
        <v>2698.9973195671628</v>
      </c>
      <c r="K45" s="59">
        <f t="shared" ref="K45:K46" ca="1" si="28">IF(AND(G44&lt;W$6,G45&gt;W$6),-O44*B45,IF(J45&gt;W$4,W$4,IF(J45&lt;W$5,W$5,J45)))</f>
        <v>2698.9973195671628</v>
      </c>
      <c r="L45" s="59">
        <f t="shared" ref="L45:L46" ca="1" si="29">IF(E45&gt;E44,K45,L44+K45)</f>
        <v>40672.015513951563</v>
      </c>
      <c r="M45" s="59">
        <f t="shared" ref="M45:M46" ca="1" si="30">M44+K45</f>
        <v>40672.015513951563</v>
      </c>
      <c r="N45" s="59">
        <f t="shared" ref="N45:N46" ca="1" si="31">K45/B45</f>
        <v>2789.6613122141216</v>
      </c>
      <c r="O45" s="59">
        <f t="shared" ref="O45:O46" ca="1" si="32">O44+N45</f>
        <v>45478.036175710593</v>
      </c>
      <c r="P45" s="59">
        <f t="shared" ref="P45:P46" ca="1" si="33">O45*B45+D45</f>
        <v>65446.860951905095</v>
      </c>
      <c r="Q45" s="59">
        <f t="shared" ref="Q45:Q46" ca="1" si="34">P45-L45</f>
        <v>24774.845437953532</v>
      </c>
      <c r="R45" s="59">
        <f t="shared" ca="1" si="7"/>
        <v>24774.845437953532</v>
      </c>
      <c r="S45" s="59">
        <f t="shared" ref="S45:S46" ca="1" si="35">IF(ROW()&lt;=W$13,K45,-P45+K45)</f>
        <v>2698.9973195671628</v>
      </c>
      <c r="U45" s="96"/>
      <c r="V45" s="67"/>
      <c r="W45" s="67"/>
    </row>
    <row r="46" spans="1:23">
      <c r="A46" s="56">
        <v>43889</v>
      </c>
      <c r="B46" s="156">
        <v>0.90849999999999997</v>
      </c>
      <c r="C46" s="57"/>
      <c r="D46" s="59">
        <f t="shared" ca="1" si="22"/>
        <v>21446.860951905099</v>
      </c>
      <c r="E46" s="65">
        <f t="shared" ca="1" si="23"/>
        <v>1</v>
      </c>
      <c r="F46" s="65">
        <f t="shared" ca="1" si="24"/>
        <v>45</v>
      </c>
      <c r="G46" s="28">
        <f t="shared" ca="1" si="25"/>
        <v>0.5431656391852181</v>
      </c>
      <c r="H46" s="28">
        <f ca="1">R46/MAX(M$2:M45)</f>
        <v>0.5431656391852181</v>
      </c>
      <c r="I46" s="59">
        <f t="shared" ca="1" si="26"/>
        <v>45000</v>
      </c>
      <c r="J46" s="59">
        <f t="shared" ca="1" si="27"/>
        <v>3683.2041343669262</v>
      </c>
      <c r="K46" s="59">
        <f t="shared" ca="1" si="28"/>
        <v>3683.2041343669262</v>
      </c>
      <c r="L46" s="59">
        <f t="shared" ca="1" si="29"/>
        <v>44355.219648318489</v>
      </c>
      <c r="M46" s="59">
        <f t="shared" ca="1" si="30"/>
        <v>44355.219648318489</v>
      </c>
      <c r="N46" s="59">
        <f t="shared" ca="1" si="31"/>
        <v>4054.1597516421862</v>
      </c>
      <c r="O46" s="59">
        <f t="shared" ca="1" si="32"/>
        <v>49532.195927352775</v>
      </c>
      <c r="P46" s="59">
        <f t="shared" ca="1" si="33"/>
        <v>66446.860951905095</v>
      </c>
      <c r="Q46" s="59">
        <f t="shared" ca="1" si="34"/>
        <v>22091.641303586606</v>
      </c>
      <c r="R46" s="59">
        <f t="shared" ca="1" si="7"/>
        <v>22091.641303586606</v>
      </c>
      <c r="S46" s="59">
        <f t="shared" ca="1" si="35"/>
        <v>3683.2041343669262</v>
      </c>
      <c r="U46" s="96"/>
      <c r="V46" s="67"/>
      <c r="W46" s="67"/>
    </row>
    <row r="47" spans="1:23">
      <c r="A47" s="56">
        <v>43921</v>
      </c>
      <c r="B47" s="156">
        <v>0.88660000000000005</v>
      </c>
      <c r="C47" s="57"/>
      <c r="D47" s="59">
        <f t="shared" ref="D47:D49" ca="1" si="36">C47*O46+IF(E47&gt;E46,0,D46)</f>
        <v>21446.860951905099</v>
      </c>
      <c r="E47" s="65">
        <f t="shared" ref="E47:E49" ca="1" si="37">IF(AND(G45&lt;W$6,G46&gt;W$6),E46+1,E46)</f>
        <v>1</v>
      </c>
      <c r="F47" s="65">
        <f t="shared" ref="F47:F49" ca="1" si="38">IF(E47&gt;E46,1,F46+1)</f>
        <v>46</v>
      </c>
      <c r="G47" s="28">
        <f t="shared" ref="G47:G49" ca="1" si="39">IF(E47&gt;E46,0,((O46*B47+D47)-L46)/MAX(OFFSET(L46,0,0,-F47+1,1)))</f>
        <v>0.47360573071976569</v>
      </c>
      <c r="H47" s="28">
        <f ca="1">R47/MAX(M$2:M46)</f>
        <v>0.47360573071976553</v>
      </c>
      <c r="I47" s="59">
        <f t="shared" ref="I47:I49" ca="1" si="40">IF(E46&lt;&gt;E47,W$2,(I$2*(1+W$3/365.25)^(A47-A$2)))+I46</f>
        <v>46000</v>
      </c>
      <c r="J47" s="59">
        <f t="shared" ref="J47:J49" ca="1" si="41">I47-O46*B47</f>
        <v>2084.755090809027</v>
      </c>
      <c r="K47" s="59">
        <f t="shared" ref="K47:K49" ca="1" si="42">IF(AND(G46&lt;W$6,G47&gt;W$6),-O46*B47,IF(J47&gt;W$4,W$4,IF(J47&lt;W$5,W$5,J47)))</f>
        <v>2084.755090809027</v>
      </c>
      <c r="L47" s="59">
        <f t="shared" ref="L47:L49" ca="1" si="43">IF(E47&gt;E46,K47,L46+K47)</f>
        <v>46439.974739127516</v>
      </c>
      <c r="M47" s="59">
        <f t="shared" ref="M47:M49" ca="1" si="44">M46+K47</f>
        <v>46439.974739127516</v>
      </c>
      <c r="N47" s="59">
        <f t="shared" ref="N47:N49" ca="1" si="45">K47/B47</f>
        <v>2351.4043433442666</v>
      </c>
      <c r="O47" s="59">
        <f t="shared" ref="O47:O49" ca="1" si="46">O46+N47</f>
        <v>51883.600270697039</v>
      </c>
      <c r="P47" s="59">
        <f t="shared" ref="P47:P49" ca="1" si="47">O47*B47+D47</f>
        <v>67446.860951905095</v>
      </c>
      <c r="Q47" s="59">
        <f t="shared" ref="Q47:Q49" ca="1" si="48">P47-L47</f>
        <v>21006.886212777579</v>
      </c>
      <c r="R47" s="59">
        <f t="shared" ref="R47:R49" ca="1" si="49">IFERROR(OFFSET(R$1,MATCH(E47,E:E,0)-2,0,1,1)+Q47,Q47)</f>
        <v>21006.886212777579</v>
      </c>
      <c r="S47" s="59">
        <f t="shared" ref="S47:S49" ca="1" si="50">IF(ROW()&lt;=W$13,K47,-P47+K47)</f>
        <v>2084.755090809027</v>
      </c>
      <c r="U47" s="96"/>
      <c r="V47" s="67"/>
      <c r="W47" s="67"/>
    </row>
    <row r="48" spans="1:23">
      <c r="A48" s="56">
        <v>43951</v>
      </c>
      <c r="B48" s="156">
        <v>0.97340000000000004</v>
      </c>
      <c r="C48" s="57"/>
      <c r="D48" s="59">
        <f t="shared" ca="1" si="36"/>
        <v>21446.860951905099</v>
      </c>
      <c r="E48" s="65">
        <f t="shared" ca="1" si="37"/>
        <v>1</v>
      </c>
      <c r="F48" s="65">
        <f t="shared" ca="1" si="38"/>
        <v>47</v>
      </c>
      <c r="G48" s="28">
        <f t="shared" ca="1" si="39"/>
        <v>0.54931947873736831</v>
      </c>
      <c r="H48" s="28">
        <f ca="1">R48/MAX(M$2:M47)</f>
        <v>0.54931947873736831</v>
      </c>
      <c r="I48" s="59">
        <f t="shared" ca="1" si="40"/>
        <v>47000</v>
      </c>
      <c r="J48" s="59">
        <f t="shared" ca="1" si="41"/>
        <v>-3503.4965034964989</v>
      </c>
      <c r="K48" s="59">
        <f t="shared" ca="1" si="42"/>
        <v>-3503.4965034964989</v>
      </c>
      <c r="L48" s="59">
        <f t="shared" ca="1" si="43"/>
        <v>42936.478235631017</v>
      </c>
      <c r="M48" s="59">
        <f t="shared" ca="1" si="44"/>
        <v>42936.478235631017</v>
      </c>
      <c r="N48" s="59">
        <f t="shared" ca="1" si="45"/>
        <v>-3599.2361860453038</v>
      </c>
      <c r="O48" s="59">
        <f t="shared" ca="1" si="46"/>
        <v>48284.364084651737</v>
      </c>
      <c r="P48" s="59">
        <f t="shared" ca="1" si="47"/>
        <v>68446.860951905095</v>
      </c>
      <c r="Q48" s="59">
        <f t="shared" ca="1" si="48"/>
        <v>25510.382716274078</v>
      </c>
      <c r="R48" s="59">
        <f t="shared" ca="1" si="49"/>
        <v>25510.382716274078</v>
      </c>
      <c r="S48" s="59">
        <f t="shared" ca="1" si="50"/>
        <v>-3503.4965034964989</v>
      </c>
      <c r="U48" s="96"/>
      <c r="V48" s="67"/>
      <c r="W48" s="67"/>
    </row>
    <row r="49" spans="1:23">
      <c r="A49" s="56">
        <f>轮动业绩!Y2</f>
        <v>43980</v>
      </c>
      <c r="B49" s="156">
        <f>'2'!C16</f>
        <v>1.0652999999999999</v>
      </c>
      <c r="C49" s="57"/>
      <c r="D49" s="59">
        <f t="shared" ca="1" si="36"/>
        <v>21446.860951905099</v>
      </c>
      <c r="E49" s="65">
        <f t="shared" ca="1" si="37"/>
        <v>1</v>
      </c>
      <c r="F49" s="65">
        <f t="shared" ca="1" si="38"/>
        <v>48</v>
      </c>
      <c r="G49" s="28">
        <f t="shared" ca="1" si="39"/>
        <v>0.64486933819155245</v>
      </c>
      <c r="H49" s="28">
        <f ca="1">R49/MAX(M$2:M48)</f>
        <v>0.64486933819155223</v>
      </c>
      <c r="I49" s="59">
        <f t="shared" ca="1" si="40"/>
        <v>48000</v>
      </c>
      <c r="J49" s="59">
        <f t="shared" ca="1" si="41"/>
        <v>-3437.333059379489</v>
      </c>
      <c r="K49" s="59">
        <f t="shared" ca="1" si="42"/>
        <v>-3437.333059379489</v>
      </c>
      <c r="L49" s="59">
        <f t="shared" ca="1" si="43"/>
        <v>39499.145176251528</v>
      </c>
      <c r="M49" s="59">
        <f t="shared" ca="1" si="44"/>
        <v>39499.145176251528</v>
      </c>
      <c r="N49" s="59">
        <f t="shared" ca="1" si="45"/>
        <v>-3226.6338678114043</v>
      </c>
      <c r="O49" s="59">
        <f t="shared" ca="1" si="46"/>
        <v>45057.730216840333</v>
      </c>
      <c r="P49" s="59">
        <f t="shared" ca="1" si="47"/>
        <v>69446.860951905095</v>
      </c>
      <c r="Q49" s="59">
        <f t="shared" ca="1" si="48"/>
        <v>29947.715775653567</v>
      </c>
      <c r="R49" s="59">
        <f t="shared" ca="1" si="49"/>
        <v>29947.715775653567</v>
      </c>
      <c r="S49" s="59">
        <f t="shared" ca="1" si="50"/>
        <v>-72884.194011284591</v>
      </c>
      <c r="U49" s="96"/>
      <c r="V49" s="67"/>
      <c r="W49" s="67"/>
    </row>
    <row r="50" spans="1:23">
      <c r="G50" s="96"/>
      <c r="I50" s="67"/>
    </row>
    <row r="51" spans="1:23">
      <c r="G51" s="67"/>
      <c r="I51" s="67"/>
    </row>
    <row r="52" spans="1:23">
      <c r="B52" s="157"/>
      <c r="G52" s="67"/>
      <c r="I52" s="67"/>
    </row>
    <row r="53" spans="1:23">
      <c r="G53" s="67"/>
      <c r="I53" s="67"/>
    </row>
    <row r="54" spans="1:23">
      <c r="B54" s="157"/>
    </row>
    <row r="57" spans="1:23">
      <c r="B57" s="157"/>
    </row>
  </sheetData>
  <phoneticPr fontId="1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说明</vt:lpstr>
      <vt:lpstr>每日提醒</vt:lpstr>
      <vt:lpstr>新手必读</vt:lpstr>
      <vt:lpstr>债券</vt:lpstr>
      <vt:lpstr>轮动可转债</vt:lpstr>
      <vt:lpstr>死守可转债</vt:lpstr>
      <vt:lpstr>场外基金</vt:lpstr>
      <vt:lpstr>场内基金</vt:lpstr>
      <vt:lpstr>晨星奖</vt:lpstr>
      <vt:lpstr>股票</vt:lpstr>
      <vt:lpstr>轮动业绩</vt:lpstr>
      <vt:lpstr>2</vt:lpstr>
      <vt:lpstr>1</vt:lpstr>
      <vt:lpstr>定投招商白酒</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CJHD20</dc:creator>
  <cp:lastModifiedBy>Micorosoft</cp:lastModifiedBy>
  <dcterms:created xsi:type="dcterms:W3CDTF">2013-09-18T14:02:55Z</dcterms:created>
  <dcterms:modified xsi:type="dcterms:W3CDTF">2020-05-31T13:58:53Z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2052-9.1.0.4249</vt:lpwstr>
  </property>
</Properties>
</file>